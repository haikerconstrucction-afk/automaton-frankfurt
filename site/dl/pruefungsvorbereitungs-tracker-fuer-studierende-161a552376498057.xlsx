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Lernmaterialien" sheetId="3" state="visible" r:id="rId3"/>
    <sheet name="Zeitplanung" sheetId="4" state="visible" r:id="rId4"/>
    <sheet name="Fortschrit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2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" fontId="0" fillId="0" borderId="1" pivotButton="0" quotePrefix="0" xfId="0"/>
    <xf numFmtId="166" fontId="7" fillId="3" borderId="1" pivotButton="0" quotePrefix="0" xfId="0"/>
    <xf numFmtId="2" fontId="0" fillId="0" borderId="1" pivotButton="0" quotePrefix="0" xfId="0"/>
    <xf numFmtId="2" fontId="7" fillId="3" borderId="1" pivotButton="0" quotePrefix="0" xfId="0"/>
    <xf numFmtId="166" fontId="0" fillId="0" borderId="1" pivotButton="0" quotePrefix="0" xfId="0"/>
    <xf numFmtId="0" fontId="7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Fortschritt der Themen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'Fortschritt'!C1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'Fortschritt'!$B$2:$B$9</f>
            </numRef>
          </cat>
          <val>
            <numRef>
              <f>'Fortschritt'!$C$2:$C$9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Lernmaterialien" displayName="T_Lernmaterialien" ref="A1:E69" headerRowCount="1">
  <autoFilter ref="A1:E69"/>
  <tableColumns count="5">
    <tableColumn id="1" name="Datum"/>
    <tableColumn id="2" name="Kategorie"/>
    <tableColumn id="3" name="Thema"/>
    <tableColumn id="4" name="Seitenzahl"/>
    <tableColumn id="5" name="Fortschritt"/>
  </tableColumns>
  <tableStyleInfo name="TableStyleMedium7" showRowStripes="1"/>
</table>
</file>

<file path=xl/tables/table2.xml><?xml version="1.0" encoding="utf-8"?>
<table xmlns="http://schemas.openxmlformats.org/spreadsheetml/2006/main" id="2" name="T_Zeitplanung" displayName="T_Zeitplanung" ref="A1:E69" headerRowCount="1">
  <autoFilter ref="A1:E69"/>
  <tableColumns count="5">
    <tableColumn id="1" name="Datum"/>
    <tableColumn id="2" name="Thema"/>
    <tableColumn id="3" name="Geplante Zeit"/>
    <tableColumn id="4" name="Tatsächliche Zeit"/>
    <tableColumn id="5" name="Abweichung"/>
  </tableColumns>
  <tableStyleInfo name="TableStyleMedium7" showRowStripes="1"/>
</table>
</file>

<file path=xl/tables/table3.xml><?xml version="1.0" encoding="utf-8"?>
<table xmlns="http://schemas.openxmlformats.org/spreadsheetml/2006/main" id="3" name="T_Fortschritt" displayName="T_Fortschritt" ref="A1:D69" headerRowCount="1">
  <autoFilter ref="A1:D69"/>
  <tableColumns count="4">
    <tableColumn id="1" name="Datum"/>
    <tableColumn id="2" name="Thema"/>
    <tableColumn id="3" name="Gesamtfortschritt"/>
    <tableColumn id="4" name="Statu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Lernmaterialien'!A1" TargetMode="External" Id="rId2" /><Relationship Type="http://schemas.openxmlformats.org/officeDocument/2006/relationships/hyperlink" Target="#'Zeitplanung'!A1" TargetMode="External" Id="rId3" /><Relationship Type="http://schemas.openxmlformats.org/officeDocument/2006/relationships/hyperlink" Target="#'Fortschritt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Prüfungsvorbereitungs-Tracker für Studierende</t>
        </is>
      </c>
    </row>
    <row r="3" ht="45" customHeight="1">
      <c r="C3" s="2" t="inlineStr">
        <is>
          <t>Effiziente Prüfungsvorbereitung mit dieser professionellen Excel-Vorlage – behalte den Überblick über Lernmaterialien, Zeitplanung und Fortschritte.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Erstelle eine Liste aller relevanten Lernmaterialien.</t>
        </is>
      </c>
    </row>
    <row r="7" ht="18" customHeight="1">
      <c r="B7" s="4" t="inlineStr">
        <is>
          <t>2.</t>
        </is>
      </c>
      <c r="C7" s="5" t="inlineStr">
        <is>
          <t>Plane deine Lernzeiten und halte sie ein.</t>
        </is>
      </c>
    </row>
    <row r="8" ht="18" customHeight="1">
      <c r="B8" s="4" t="inlineStr">
        <is>
          <t>3.</t>
        </is>
      </c>
      <c r="C8" s="5" t="inlineStr">
        <is>
          <t>Trage deinen Lernfortschritt regelmäßig ein.</t>
        </is>
      </c>
    </row>
    <row r="9" ht="18" customHeight="1">
      <c r="B9" s="4" t="inlineStr">
        <is>
          <t>4.</t>
        </is>
      </c>
      <c r="C9" s="5" t="inlineStr">
        <is>
          <t>Nutze die KPIs, um deine Fortschritte zu überwachen.</t>
        </is>
      </c>
    </row>
    <row r="10" ht="18" customHeight="1">
      <c r="B10" s="4" t="inlineStr">
        <is>
          <t>5.</t>
        </is>
      </c>
      <c r="C10" s="5" t="inlineStr">
        <is>
          <t>Passe die Kategorien und Prioritäten nach Bedarf an.</t>
        </is>
      </c>
    </row>
    <row r="11" ht="18" customHeight="1">
      <c r="B11" s="4" t="inlineStr">
        <is>
          <t>6.</t>
        </is>
      </c>
      <c r="C11" s="5" t="inlineStr">
        <is>
          <t>Nutze die Charts zur Visualisierung deiner Fortschritte.</t>
        </is>
      </c>
    </row>
    <row r="12" ht="18" customHeight="1">
      <c r="B12" s="4" t="inlineStr">
        <is>
          <t>7.</t>
        </is>
      </c>
      <c r="C12" s="5" t="inlineStr">
        <is>
          <t>Halte Fristen ein und plane Pufferzeiten ein.</t>
        </is>
      </c>
    </row>
    <row r="13" ht="18" customHeight="1">
      <c r="B13" s="4" t="inlineStr">
        <is>
          <t>8.</t>
        </is>
      </c>
      <c r="C13" s="5" t="inlineStr">
        <is>
          <t>Setze dir klare Ziele und verfolge sie konsequent.</t>
        </is>
      </c>
    </row>
    <row r="15">
      <c r="C15" s="6" t="inlineStr">
        <is>
          <t>Nur weiße Zellen ausfüllen – grüne Spalten rechnen automatisch.</t>
        </is>
      </c>
    </row>
    <row r="17">
      <c r="C17" s="3" t="inlineStr">
        <is>
          <t>Zum Blatt</t>
        </is>
      </c>
    </row>
    <row r="18">
      <c r="C18" s="7" t="inlineStr">
        <is>
          <t>→ Übersicht</t>
        </is>
      </c>
    </row>
    <row r="19">
      <c r="C19" s="7" t="inlineStr">
        <is>
          <t>→ Lernmaterialien</t>
        </is>
      </c>
    </row>
    <row r="20">
      <c r="C20" s="7" t="inlineStr">
        <is>
          <t>→ Zeitplanung</t>
        </is>
      </c>
    </row>
    <row r="21">
      <c r="C21" s="7" t="inlineStr">
        <is>
          <t>→ Fortschritt</t>
        </is>
      </c>
    </row>
    <row r="23">
      <c r="C23" s="8" t="inlineStr">
        <is>
          <t>Erstellt von Haiktec · haiktec.tech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  <hyperlink xmlns:r="http://schemas.openxmlformats.org/officeDocument/2006/relationships" ref="C21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Übersicht – Prüfungsvorbereitungs-Tracker für Studierende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Gesamtfortschritt</t>
        </is>
      </c>
      <c r="C5" s="12">
        <f>AVERAGE('Fortschritt'!C2:C300)</f>
        <v/>
      </c>
    </row>
    <row r="6" ht="24" customHeight="1">
      <c r="B6" s="11" t="inlineStr">
        <is>
          <t>Gesamte Lernzeit</t>
        </is>
      </c>
      <c r="C6" s="13">
        <f>SUM('Zeitplanung'!C2:C300)</f>
        <v/>
      </c>
    </row>
    <row r="7" ht="24" customHeight="1">
      <c r="B7" s="11" t="inlineStr">
        <is>
          <t>Durchschnittliche Abweichung</t>
        </is>
      </c>
      <c r="C7" s="13">
        <f>AVERAGE('Zeitplanung'!E2:E300)</f>
        <v/>
      </c>
    </row>
    <row r="8" ht="24" customHeight="1">
      <c r="B8" s="11" t="inlineStr">
        <is>
          <t>Anzahl Themen</t>
        </is>
      </c>
      <c r="C8" s="14">
        <f>COUNTA('Lernmaterialien'!C2:C300)</f>
        <v/>
      </c>
    </row>
    <row r="9" ht="24" customHeight="1">
      <c r="B9" s="11" t="inlineStr">
        <is>
          <t>Fortgeschrittene Themen</t>
        </is>
      </c>
      <c r="C9" s="14">
        <f>COUNTIF('Fortschritt'!D2:D300,'Fortgeschritten')</f>
        <v/>
      </c>
    </row>
    <row r="10" ht="24" customHeight="1">
      <c r="B10" s="11" t="inlineStr">
        <is>
          <t>Materialien in Bearbeitung</t>
        </is>
      </c>
      <c r="C10" s="14">
        <f>COUNTIF('Fortschritt'!D2:D300,'In Bearbeitung')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0" customWidth="1" min="3" max="3"/>
    <col width="13" customWidth="1" min="4" max="4"/>
    <col width="25" customWidth="1" min="5" max="5"/>
  </cols>
  <sheetData>
    <row r="1" ht="32" customHeight="1">
      <c r="A1" s="15" t="inlineStr">
        <is>
          <t>Datum</t>
        </is>
      </c>
      <c r="B1" s="15" t="inlineStr">
        <is>
          <t>Kategorie</t>
        </is>
      </c>
      <c r="C1" s="15" t="inlineStr">
        <is>
          <t>Thema</t>
        </is>
      </c>
      <c r="D1" s="15" t="inlineStr">
        <is>
          <t>Seitenzahl</t>
        </is>
      </c>
      <c r="E1" s="15" t="inlineStr">
        <is>
          <t>Fortschritt</t>
        </is>
      </c>
    </row>
    <row r="2">
      <c r="A2" s="16" t="n">
        <v>46037</v>
      </c>
      <c r="B2" s="17" t="inlineStr">
        <is>
          <t>Mathematik</t>
        </is>
      </c>
      <c r="C2" s="17" t="inlineStr">
        <is>
          <t>Lineare Algebra</t>
        </is>
      </c>
      <c r="D2" s="18" t="n">
        <v>50</v>
      </c>
      <c r="E2" s="19">
        <f>D2/100</f>
        <v/>
      </c>
    </row>
    <row r="3">
      <c r="A3" s="16" t="n">
        <v>46038</v>
      </c>
      <c r="B3" s="17" t="inlineStr">
        <is>
          <t>Physik</t>
        </is>
      </c>
      <c r="C3" s="17" t="inlineStr">
        <is>
          <t>Mechanik</t>
        </is>
      </c>
      <c r="D3" s="18" t="n">
        <v>30</v>
      </c>
      <c r="E3" s="19">
        <f>D3/100</f>
        <v/>
      </c>
    </row>
    <row r="4">
      <c r="A4" s="16" t="n">
        <v>46039</v>
      </c>
      <c r="B4" s="17" t="inlineStr">
        <is>
          <t>Chemie</t>
        </is>
      </c>
      <c r="C4" s="17" t="inlineStr">
        <is>
          <t>Organische Chemie</t>
        </is>
      </c>
      <c r="D4" s="18" t="n">
        <v>40</v>
      </c>
      <c r="E4" s="19">
        <f>D4/100</f>
        <v/>
      </c>
    </row>
    <row r="5">
      <c r="A5" s="16" t="n">
        <v>46040</v>
      </c>
      <c r="B5" s="17" t="inlineStr">
        <is>
          <t>Biologie</t>
        </is>
      </c>
      <c r="C5" s="17" t="inlineStr">
        <is>
          <t>Zellbiologie</t>
        </is>
      </c>
      <c r="D5" s="18" t="n">
        <v>25</v>
      </c>
      <c r="E5" s="19">
        <f>D5/100</f>
        <v/>
      </c>
    </row>
    <row r="6">
      <c r="A6" s="16" t="n">
        <v>46041</v>
      </c>
      <c r="B6" s="17" t="inlineStr">
        <is>
          <t>Informatik</t>
        </is>
      </c>
      <c r="C6" s="17" t="inlineStr">
        <is>
          <t>Datenstrukturen</t>
        </is>
      </c>
      <c r="D6" s="18" t="n">
        <v>45</v>
      </c>
      <c r="E6" s="19">
        <f>D6/100</f>
        <v/>
      </c>
    </row>
    <row r="7">
      <c r="A7" s="16" t="n">
        <v>46042</v>
      </c>
      <c r="B7" s="17" t="inlineStr">
        <is>
          <t>Wirtschaft</t>
        </is>
      </c>
      <c r="C7" s="17" t="inlineStr">
        <is>
          <t>Marketing</t>
        </is>
      </c>
      <c r="D7" s="18" t="n">
        <v>35</v>
      </c>
      <c r="E7" s="19">
        <f>D7/100</f>
        <v/>
      </c>
    </row>
    <row r="8">
      <c r="A8" s="16" t="n">
        <v>46043</v>
      </c>
      <c r="B8" s="17" t="inlineStr">
        <is>
          <t>Geschichte</t>
        </is>
      </c>
      <c r="C8" s="17" t="inlineStr">
        <is>
          <t>Weltkriege</t>
        </is>
      </c>
      <c r="D8" s="18" t="n">
        <v>55</v>
      </c>
      <c r="E8" s="19">
        <f>D8/100</f>
        <v/>
      </c>
    </row>
    <row r="9">
      <c r="A9" s="16" t="n">
        <v>46044</v>
      </c>
      <c r="B9" s="17" t="inlineStr">
        <is>
          <t>Englisch</t>
        </is>
      </c>
      <c r="C9" s="17" t="inlineStr">
        <is>
          <t>Grammatik</t>
        </is>
      </c>
      <c r="D9" s="18" t="n">
        <v>20</v>
      </c>
      <c r="E9" s="19">
        <f>D9/100</f>
        <v/>
      </c>
    </row>
    <row r="10">
      <c r="A10" s="16" t="n"/>
      <c r="B10" s="17" t="n"/>
      <c r="C10" s="17" t="n"/>
      <c r="D10" s="18" t="n"/>
      <c r="E10" s="19">
        <f>IF(A10="","",D10/100)</f>
        <v/>
      </c>
    </row>
    <row r="11">
      <c r="A11" s="16" t="n"/>
      <c r="B11" s="17" t="n"/>
      <c r="C11" s="17" t="n"/>
      <c r="D11" s="18" t="n"/>
      <c r="E11" s="19">
        <f>IF(A11="","",D11/100)</f>
        <v/>
      </c>
    </row>
    <row r="12">
      <c r="A12" s="16" t="n"/>
      <c r="B12" s="17" t="n"/>
      <c r="C12" s="17" t="n"/>
      <c r="D12" s="18" t="n"/>
      <c r="E12" s="19">
        <f>IF(A12="","",D12/100)</f>
        <v/>
      </c>
    </row>
    <row r="13">
      <c r="A13" s="16" t="n"/>
      <c r="B13" s="17" t="n"/>
      <c r="C13" s="17" t="n"/>
      <c r="D13" s="18" t="n"/>
      <c r="E13" s="19">
        <f>IF(A13="","",D13/100)</f>
        <v/>
      </c>
    </row>
    <row r="14">
      <c r="A14" s="16" t="n"/>
      <c r="B14" s="17" t="n"/>
      <c r="C14" s="17" t="n"/>
      <c r="D14" s="18" t="n"/>
      <c r="E14" s="19">
        <f>IF(A14="","",D14/100)</f>
        <v/>
      </c>
    </row>
    <row r="15">
      <c r="A15" s="16" t="n"/>
      <c r="B15" s="17" t="n"/>
      <c r="C15" s="17" t="n"/>
      <c r="D15" s="18" t="n"/>
      <c r="E15" s="19">
        <f>IF(A15="","",D15/100)</f>
        <v/>
      </c>
    </row>
    <row r="16">
      <c r="A16" s="16" t="n"/>
      <c r="B16" s="17" t="n"/>
      <c r="C16" s="17" t="n"/>
      <c r="D16" s="18" t="n"/>
      <c r="E16" s="19">
        <f>IF(A16="","",D16/100)</f>
        <v/>
      </c>
    </row>
    <row r="17">
      <c r="A17" s="16" t="n"/>
      <c r="B17" s="17" t="n"/>
      <c r="C17" s="17" t="n"/>
      <c r="D17" s="18" t="n"/>
      <c r="E17" s="19">
        <f>IF(A17="","",D17/100)</f>
        <v/>
      </c>
    </row>
    <row r="18">
      <c r="A18" s="16" t="n"/>
      <c r="B18" s="17" t="n"/>
      <c r="C18" s="17" t="n"/>
      <c r="D18" s="18" t="n"/>
      <c r="E18" s="19">
        <f>IF(A18="","",D18/100)</f>
        <v/>
      </c>
    </row>
    <row r="19">
      <c r="A19" s="16" t="n"/>
      <c r="B19" s="17" t="n"/>
      <c r="C19" s="17" t="n"/>
      <c r="D19" s="18" t="n"/>
      <c r="E19" s="19">
        <f>IF(A19="","",D19/100)</f>
        <v/>
      </c>
    </row>
    <row r="20">
      <c r="A20" s="16" t="n"/>
      <c r="B20" s="17" t="n"/>
      <c r="C20" s="17" t="n"/>
      <c r="D20" s="18" t="n"/>
      <c r="E20" s="19">
        <f>IF(A20="","",D20/100)</f>
        <v/>
      </c>
    </row>
    <row r="21">
      <c r="A21" s="16" t="n"/>
      <c r="B21" s="17" t="n"/>
      <c r="C21" s="17" t="n"/>
      <c r="D21" s="18" t="n"/>
      <c r="E21" s="19">
        <f>IF(A21="","",D21/100)</f>
        <v/>
      </c>
    </row>
    <row r="22">
      <c r="A22" s="16" t="n"/>
      <c r="B22" s="17" t="n"/>
      <c r="C22" s="17" t="n"/>
      <c r="D22" s="18" t="n"/>
      <c r="E22" s="19">
        <f>IF(A22="","",D22/100)</f>
        <v/>
      </c>
    </row>
    <row r="23">
      <c r="A23" s="16" t="n"/>
      <c r="B23" s="17" t="n"/>
      <c r="C23" s="17" t="n"/>
      <c r="D23" s="18" t="n"/>
      <c r="E23" s="19">
        <f>IF(A23="","",D23/100)</f>
        <v/>
      </c>
    </row>
    <row r="24">
      <c r="A24" s="16" t="n"/>
      <c r="B24" s="17" t="n"/>
      <c r="C24" s="17" t="n"/>
      <c r="D24" s="18" t="n"/>
      <c r="E24" s="19">
        <f>IF(A24="","",D24/100)</f>
        <v/>
      </c>
    </row>
    <row r="25">
      <c r="A25" s="16" t="n"/>
      <c r="B25" s="17" t="n"/>
      <c r="C25" s="17" t="n"/>
      <c r="D25" s="18" t="n"/>
      <c r="E25" s="19">
        <f>IF(A25="","",D25/100)</f>
        <v/>
      </c>
    </row>
    <row r="26">
      <c r="A26" s="16" t="n"/>
      <c r="B26" s="17" t="n"/>
      <c r="C26" s="17" t="n"/>
      <c r="D26" s="18" t="n"/>
      <c r="E26" s="19">
        <f>IF(A26="","",D26/100)</f>
        <v/>
      </c>
    </row>
    <row r="27">
      <c r="A27" s="16" t="n"/>
      <c r="B27" s="17" t="n"/>
      <c r="C27" s="17" t="n"/>
      <c r="D27" s="18" t="n"/>
      <c r="E27" s="19">
        <f>IF(A27="","",D27/100)</f>
        <v/>
      </c>
    </row>
    <row r="28">
      <c r="A28" s="16" t="n"/>
      <c r="B28" s="17" t="n"/>
      <c r="C28" s="17" t="n"/>
      <c r="D28" s="18" t="n"/>
      <c r="E28" s="19">
        <f>IF(A28="","",D28/100)</f>
        <v/>
      </c>
    </row>
    <row r="29">
      <c r="A29" s="16" t="n"/>
      <c r="B29" s="17" t="n"/>
      <c r="C29" s="17" t="n"/>
      <c r="D29" s="18" t="n"/>
      <c r="E29" s="19">
        <f>IF(A29="","",D29/100)</f>
        <v/>
      </c>
    </row>
    <row r="30">
      <c r="A30" s="16" t="n"/>
      <c r="B30" s="17" t="n"/>
      <c r="C30" s="17" t="n"/>
      <c r="D30" s="18" t="n"/>
      <c r="E30" s="19">
        <f>IF(A30="","",D30/100)</f>
        <v/>
      </c>
    </row>
    <row r="31">
      <c r="A31" s="16" t="n"/>
      <c r="B31" s="17" t="n"/>
      <c r="C31" s="17" t="n"/>
      <c r="D31" s="18" t="n"/>
      <c r="E31" s="19">
        <f>IF(A31="","",D31/100)</f>
        <v/>
      </c>
    </row>
    <row r="32">
      <c r="A32" s="16" t="n"/>
      <c r="B32" s="17" t="n"/>
      <c r="C32" s="17" t="n"/>
      <c r="D32" s="18" t="n"/>
      <c r="E32" s="19">
        <f>IF(A32="","",D32/100)</f>
        <v/>
      </c>
    </row>
    <row r="33">
      <c r="A33" s="16" t="n"/>
      <c r="B33" s="17" t="n"/>
      <c r="C33" s="17" t="n"/>
      <c r="D33" s="18" t="n"/>
      <c r="E33" s="19">
        <f>IF(A33="","",D33/100)</f>
        <v/>
      </c>
    </row>
    <row r="34">
      <c r="A34" s="16" t="n"/>
      <c r="B34" s="17" t="n"/>
      <c r="C34" s="17" t="n"/>
      <c r="D34" s="18" t="n"/>
      <c r="E34" s="19">
        <f>IF(A34="","",D34/100)</f>
        <v/>
      </c>
    </row>
    <row r="35">
      <c r="A35" s="16" t="n"/>
      <c r="B35" s="17" t="n"/>
      <c r="C35" s="17" t="n"/>
      <c r="D35" s="18" t="n"/>
      <c r="E35" s="19">
        <f>IF(A35="","",D35/100)</f>
        <v/>
      </c>
    </row>
    <row r="36">
      <c r="A36" s="16" t="n"/>
      <c r="B36" s="17" t="n"/>
      <c r="C36" s="17" t="n"/>
      <c r="D36" s="18" t="n"/>
      <c r="E36" s="19">
        <f>IF(A36="","",D36/100)</f>
        <v/>
      </c>
    </row>
    <row r="37">
      <c r="A37" s="16" t="n"/>
      <c r="B37" s="17" t="n"/>
      <c r="C37" s="17" t="n"/>
      <c r="D37" s="18" t="n"/>
      <c r="E37" s="19">
        <f>IF(A37="","",D37/100)</f>
        <v/>
      </c>
    </row>
    <row r="38">
      <c r="A38" s="16" t="n"/>
      <c r="B38" s="17" t="n"/>
      <c r="C38" s="17" t="n"/>
      <c r="D38" s="18" t="n"/>
      <c r="E38" s="19">
        <f>IF(A38="","",D38/100)</f>
        <v/>
      </c>
    </row>
    <row r="39">
      <c r="A39" s="16" t="n"/>
      <c r="B39" s="17" t="n"/>
      <c r="C39" s="17" t="n"/>
      <c r="D39" s="18" t="n"/>
      <c r="E39" s="19">
        <f>IF(A39="","",D39/100)</f>
        <v/>
      </c>
    </row>
    <row r="40">
      <c r="A40" s="16" t="n"/>
      <c r="B40" s="17" t="n"/>
      <c r="C40" s="17" t="n"/>
      <c r="D40" s="18" t="n"/>
      <c r="E40" s="19">
        <f>IF(A40="","",D40/100)</f>
        <v/>
      </c>
    </row>
    <row r="41">
      <c r="A41" s="16" t="n"/>
      <c r="B41" s="17" t="n"/>
      <c r="C41" s="17" t="n"/>
      <c r="D41" s="18" t="n"/>
      <c r="E41" s="19">
        <f>IF(A41="","",D41/100)</f>
        <v/>
      </c>
    </row>
    <row r="42">
      <c r="A42" s="16" t="n"/>
      <c r="B42" s="17" t="n"/>
      <c r="C42" s="17" t="n"/>
      <c r="D42" s="18" t="n"/>
      <c r="E42" s="19">
        <f>IF(A42="","",D42/100)</f>
        <v/>
      </c>
    </row>
    <row r="43">
      <c r="A43" s="16" t="n"/>
      <c r="B43" s="17" t="n"/>
      <c r="C43" s="17" t="n"/>
      <c r="D43" s="18" t="n"/>
      <c r="E43" s="19">
        <f>IF(A43="","",D43/100)</f>
        <v/>
      </c>
    </row>
    <row r="44">
      <c r="A44" s="16" t="n"/>
      <c r="B44" s="17" t="n"/>
      <c r="C44" s="17" t="n"/>
      <c r="D44" s="18" t="n"/>
      <c r="E44" s="19">
        <f>IF(A44="","",D44/100)</f>
        <v/>
      </c>
    </row>
    <row r="45">
      <c r="A45" s="16" t="n"/>
      <c r="B45" s="17" t="n"/>
      <c r="C45" s="17" t="n"/>
      <c r="D45" s="18" t="n"/>
      <c r="E45" s="19">
        <f>IF(A45="","",D45/100)</f>
        <v/>
      </c>
    </row>
    <row r="46">
      <c r="A46" s="16" t="n"/>
      <c r="B46" s="17" t="n"/>
      <c r="C46" s="17" t="n"/>
      <c r="D46" s="18" t="n"/>
      <c r="E46" s="19">
        <f>IF(A46="","",D46/100)</f>
        <v/>
      </c>
    </row>
    <row r="47">
      <c r="A47" s="16" t="n"/>
      <c r="B47" s="17" t="n"/>
      <c r="C47" s="17" t="n"/>
      <c r="D47" s="18" t="n"/>
      <c r="E47" s="19">
        <f>IF(A47="","",D47/100)</f>
        <v/>
      </c>
    </row>
    <row r="48">
      <c r="A48" s="16" t="n"/>
      <c r="B48" s="17" t="n"/>
      <c r="C48" s="17" t="n"/>
      <c r="D48" s="18" t="n"/>
      <c r="E48" s="19">
        <f>IF(A48="","",D48/100)</f>
        <v/>
      </c>
    </row>
    <row r="49">
      <c r="A49" s="16" t="n"/>
      <c r="B49" s="17" t="n"/>
      <c r="C49" s="17" t="n"/>
      <c r="D49" s="18" t="n"/>
      <c r="E49" s="19">
        <f>IF(A49="","",D49/100)</f>
        <v/>
      </c>
    </row>
    <row r="50">
      <c r="A50" s="16" t="n"/>
      <c r="B50" s="17" t="n"/>
      <c r="C50" s="17" t="n"/>
      <c r="D50" s="18" t="n"/>
      <c r="E50" s="19">
        <f>IF(A50="","",D50/100)</f>
        <v/>
      </c>
    </row>
    <row r="51">
      <c r="A51" s="16" t="n"/>
      <c r="B51" s="17" t="n"/>
      <c r="C51" s="17" t="n"/>
      <c r="D51" s="18" t="n"/>
      <c r="E51" s="19">
        <f>IF(A51="","",D51/100)</f>
        <v/>
      </c>
    </row>
    <row r="52">
      <c r="A52" s="16" t="n"/>
      <c r="B52" s="17" t="n"/>
      <c r="C52" s="17" t="n"/>
      <c r="D52" s="18" t="n"/>
      <c r="E52" s="19">
        <f>IF(A52="","",D52/100)</f>
        <v/>
      </c>
    </row>
    <row r="53">
      <c r="A53" s="16" t="n"/>
      <c r="B53" s="17" t="n"/>
      <c r="C53" s="17" t="n"/>
      <c r="D53" s="18" t="n"/>
      <c r="E53" s="19">
        <f>IF(A53="","",D53/100)</f>
        <v/>
      </c>
    </row>
    <row r="54">
      <c r="A54" s="16" t="n"/>
      <c r="B54" s="17" t="n"/>
      <c r="C54" s="17" t="n"/>
      <c r="D54" s="18" t="n"/>
      <c r="E54" s="19">
        <f>IF(A54="","",D54/100)</f>
        <v/>
      </c>
    </row>
    <row r="55">
      <c r="A55" s="16" t="n"/>
      <c r="B55" s="17" t="n"/>
      <c r="C55" s="17" t="n"/>
      <c r="D55" s="18" t="n"/>
      <c r="E55" s="19">
        <f>IF(A55="","",D55/100)</f>
        <v/>
      </c>
    </row>
    <row r="56">
      <c r="A56" s="16" t="n"/>
      <c r="B56" s="17" t="n"/>
      <c r="C56" s="17" t="n"/>
      <c r="D56" s="18" t="n"/>
      <c r="E56" s="19">
        <f>IF(A56="","",D56/100)</f>
        <v/>
      </c>
    </row>
    <row r="57">
      <c r="A57" s="16" t="n"/>
      <c r="B57" s="17" t="n"/>
      <c r="C57" s="17" t="n"/>
      <c r="D57" s="18" t="n"/>
      <c r="E57" s="19">
        <f>IF(A57="","",D57/100)</f>
        <v/>
      </c>
    </row>
    <row r="58">
      <c r="A58" s="16" t="n"/>
      <c r="B58" s="17" t="n"/>
      <c r="C58" s="17" t="n"/>
      <c r="D58" s="18" t="n"/>
      <c r="E58" s="19">
        <f>IF(A58="","",D58/100)</f>
        <v/>
      </c>
    </row>
    <row r="59">
      <c r="A59" s="16" t="n"/>
      <c r="B59" s="17" t="n"/>
      <c r="C59" s="17" t="n"/>
      <c r="D59" s="18" t="n"/>
      <c r="E59" s="19">
        <f>IF(A59="","",D59/100)</f>
        <v/>
      </c>
    </row>
    <row r="60">
      <c r="A60" s="16" t="n"/>
      <c r="B60" s="17" t="n"/>
      <c r="C60" s="17" t="n"/>
      <c r="D60" s="18" t="n"/>
      <c r="E60" s="19">
        <f>IF(A60="","",D60/100)</f>
        <v/>
      </c>
    </row>
    <row r="61">
      <c r="A61" s="16" t="n"/>
      <c r="B61" s="17" t="n"/>
      <c r="C61" s="17" t="n"/>
      <c r="D61" s="18" t="n"/>
      <c r="E61" s="19">
        <f>IF(A61="","",D61/100)</f>
        <v/>
      </c>
    </row>
    <row r="62">
      <c r="A62" s="16" t="n"/>
      <c r="B62" s="17" t="n"/>
      <c r="C62" s="17" t="n"/>
      <c r="D62" s="18" t="n"/>
      <c r="E62" s="19">
        <f>IF(A62="","",D62/100)</f>
        <v/>
      </c>
    </row>
    <row r="63">
      <c r="A63" s="16" t="n"/>
      <c r="B63" s="17" t="n"/>
      <c r="C63" s="17" t="n"/>
      <c r="D63" s="18" t="n"/>
      <c r="E63" s="19">
        <f>IF(A63="","",D63/100)</f>
        <v/>
      </c>
    </row>
    <row r="64">
      <c r="A64" s="16" t="n"/>
      <c r="B64" s="17" t="n"/>
      <c r="C64" s="17" t="n"/>
      <c r="D64" s="18" t="n"/>
      <c r="E64" s="19">
        <f>IF(A64="","",D64/100)</f>
        <v/>
      </c>
    </row>
    <row r="65">
      <c r="A65" s="16" t="n"/>
      <c r="B65" s="17" t="n"/>
      <c r="C65" s="17" t="n"/>
      <c r="D65" s="18" t="n"/>
      <c r="E65" s="19">
        <f>IF(A65="","",D65/100)</f>
        <v/>
      </c>
    </row>
    <row r="66">
      <c r="A66" s="16" t="n"/>
      <c r="B66" s="17" t="n"/>
      <c r="C66" s="17" t="n"/>
      <c r="D66" s="18" t="n"/>
      <c r="E66" s="19">
        <f>IF(A66="","",D66/100)</f>
        <v/>
      </c>
    </row>
    <row r="67">
      <c r="A67" s="16" t="n"/>
      <c r="B67" s="17" t="n"/>
      <c r="C67" s="17" t="n"/>
      <c r="D67" s="18" t="n"/>
      <c r="E67" s="19">
        <f>IF(A67="","",D67/100)</f>
        <v/>
      </c>
    </row>
    <row r="68">
      <c r="A68" s="16" t="n"/>
      <c r="B68" s="17" t="n"/>
      <c r="C68" s="17" t="n"/>
      <c r="D68" s="18" t="n"/>
      <c r="E68" s="19">
        <f>IF(A68="","",D68/100)</f>
        <v/>
      </c>
    </row>
    <row r="69">
      <c r="A69" s="16" t="n"/>
      <c r="B69" s="17" t="n"/>
      <c r="C69" s="17" t="n"/>
      <c r="D69" s="18" t="n"/>
      <c r="E69" s="19">
        <f>IF(A69="","",D69/100)</f>
        <v/>
      </c>
    </row>
  </sheetData>
  <conditionalFormatting sqref="E2:E69">
    <cfRule type="dataBar" priority="1">
      <dataBar>
        <cfvo type="num" val="0"/>
        <cfvo type="num" val="1"/>
        <color rgb="005FB38F"/>
      </dataBar>
    </cfRule>
  </conditionalFormatting>
  <dataValidations count="1">
    <dataValidation sqref="B2:B69" showDropDown="0" showInputMessage="0" showErrorMessage="0" allowBlank="1" type="list">
      <formula1>"Mathematik,Physik,Chemie,Biologie,Informatik,Wirtschaft,Geschichte,Englisch"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6" customWidth="1" min="3" max="3"/>
    <col width="20" customWidth="1" min="4" max="4"/>
    <col width="25" customWidth="1" min="5" max="5"/>
  </cols>
  <sheetData>
    <row r="1" ht="32" customHeight="1">
      <c r="A1" s="15" t="inlineStr">
        <is>
          <t>Datum</t>
        </is>
      </c>
      <c r="B1" s="15" t="inlineStr">
        <is>
          <t>Thema</t>
        </is>
      </c>
      <c r="C1" s="15" t="inlineStr">
        <is>
          <t>Geplante Zeit</t>
        </is>
      </c>
      <c r="D1" s="15" t="inlineStr">
        <is>
          <t>Tatsächliche Zeit</t>
        </is>
      </c>
      <c r="E1" s="15" t="inlineStr">
        <is>
          <t>Abweichung</t>
        </is>
      </c>
    </row>
    <row r="2">
      <c r="A2" s="16" t="n">
        <v>46037</v>
      </c>
      <c r="B2" s="17" t="inlineStr">
        <is>
          <t>Lineare Algebra</t>
        </is>
      </c>
      <c r="C2" s="20" t="n">
        <v>4</v>
      </c>
      <c r="D2" s="20" t="n">
        <v>3</v>
      </c>
      <c r="E2" s="21">
        <f>D2-C2</f>
        <v/>
      </c>
    </row>
    <row r="3">
      <c r="A3" s="16" t="n">
        <v>46038</v>
      </c>
      <c r="B3" s="17" t="inlineStr">
        <is>
          <t>Mechanik</t>
        </is>
      </c>
      <c r="C3" s="20" t="n">
        <v>3</v>
      </c>
      <c r="D3" s="20" t="n">
        <v>4</v>
      </c>
      <c r="E3" s="21">
        <f>D3-C3</f>
        <v/>
      </c>
    </row>
    <row r="4">
      <c r="A4" s="16" t="n">
        <v>46039</v>
      </c>
      <c r="B4" s="17" t="inlineStr">
        <is>
          <t>Organische Chemie</t>
        </is>
      </c>
      <c r="C4" s="20" t="n">
        <v>5</v>
      </c>
      <c r="D4" s="20" t="n">
        <v>6</v>
      </c>
      <c r="E4" s="21">
        <f>D4-C4</f>
        <v/>
      </c>
    </row>
    <row r="5">
      <c r="A5" s="16" t="n">
        <v>46040</v>
      </c>
      <c r="B5" s="17" t="inlineStr">
        <is>
          <t>Zellbiologie</t>
        </is>
      </c>
      <c r="C5" s="20" t="n">
        <v>2</v>
      </c>
      <c r="D5" s="20" t="n">
        <v>2</v>
      </c>
      <c r="E5" s="21">
        <f>D5-C5</f>
        <v/>
      </c>
    </row>
    <row r="6">
      <c r="A6" s="16" t="n">
        <v>46041</v>
      </c>
      <c r="B6" s="17" t="inlineStr">
        <is>
          <t>Datenstrukturen</t>
        </is>
      </c>
      <c r="C6" s="20" t="n">
        <v>6</v>
      </c>
      <c r="D6" s="20" t="n">
        <v>5</v>
      </c>
      <c r="E6" s="21">
        <f>D6-C6</f>
        <v/>
      </c>
    </row>
    <row r="7">
      <c r="A7" s="16" t="n">
        <v>46042</v>
      </c>
      <c r="B7" s="17" t="inlineStr">
        <is>
          <t>Marketing</t>
        </is>
      </c>
      <c r="C7" s="20" t="n">
        <v>4</v>
      </c>
      <c r="D7" s="20" t="n">
        <v>3</v>
      </c>
      <c r="E7" s="21">
        <f>D7-C7</f>
        <v/>
      </c>
    </row>
    <row r="8">
      <c r="A8" s="16" t="n">
        <v>46043</v>
      </c>
      <c r="B8" s="17" t="inlineStr">
        <is>
          <t>Weltkriege</t>
        </is>
      </c>
      <c r="C8" s="20" t="n">
        <v>5</v>
      </c>
      <c r="D8" s="20" t="n">
        <v>4</v>
      </c>
      <c r="E8" s="21">
        <f>D8-C8</f>
        <v/>
      </c>
    </row>
    <row r="9">
      <c r="A9" s="16" t="n">
        <v>46044</v>
      </c>
      <c r="B9" s="17" t="inlineStr">
        <is>
          <t>Grammatik</t>
        </is>
      </c>
      <c r="C9" s="20" t="n">
        <v>3</v>
      </c>
      <c r="D9" s="20" t="n">
        <v>3</v>
      </c>
      <c r="E9" s="21">
        <f>D9-C9</f>
        <v/>
      </c>
    </row>
    <row r="10">
      <c r="A10" s="16" t="n"/>
      <c r="B10" s="17" t="n"/>
      <c r="C10" s="20" t="n"/>
      <c r="D10" s="20" t="n"/>
      <c r="E10" s="21">
        <f>IF(A10="","",D10-C10)</f>
        <v/>
      </c>
    </row>
    <row r="11">
      <c r="A11" s="16" t="n"/>
      <c r="B11" s="17" t="n"/>
      <c r="C11" s="20" t="n"/>
      <c r="D11" s="20" t="n"/>
      <c r="E11" s="21">
        <f>IF(A11="","",D11-C11)</f>
        <v/>
      </c>
    </row>
    <row r="12">
      <c r="A12" s="16" t="n"/>
      <c r="B12" s="17" t="n"/>
      <c r="C12" s="20" t="n"/>
      <c r="D12" s="20" t="n"/>
      <c r="E12" s="21">
        <f>IF(A12="","",D12-C12)</f>
        <v/>
      </c>
    </row>
    <row r="13">
      <c r="A13" s="16" t="n"/>
      <c r="B13" s="17" t="n"/>
      <c r="C13" s="20" t="n"/>
      <c r="D13" s="20" t="n"/>
      <c r="E13" s="21">
        <f>IF(A13="","",D13-C13)</f>
        <v/>
      </c>
    </row>
    <row r="14">
      <c r="A14" s="16" t="n"/>
      <c r="B14" s="17" t="n"/>
      <c r="C14" s="20" t="n"/>
      <c r="D14" s="20" t="n"/>
      <c r="E14" s="21">
        <f>IF(A14="","",D14-C14)</f>
        <v/>
      </c>
    </row>
    <row r="15">
      <c r="A15" s="16" t="n"/>
      <c r="B15" s="17" t="n"/>
      <c r="C15" s="20" t="n"/>
      <c r="D15" s="20" t="n"/>
      <c r="E15" s="21">
        <f>IF(A15="","",D15-C15)</f>
        <v/>
      </c>
    </row>
    <row r="16">
      <c r="A16" s="16" t="n"/>
      <c r="B16" s="17" t="n"/>
      <c r="C16" s="20" t="n"/>
      <c r="D16" s="20" t="n"/>
      <c r="E16" s="21">
        <f>IF(A16="","",D16-C16)</f>
        <v/>
      </c>
    </row>
    <row r="17">
      <c r="A17" s="16" t="n"/>
      <c r="B17" s="17" t="n"/>
      <c r="C17" s="20" t="n"/>
      <c r="D17" s="20" t="n"/>
      <c r="E17" s="21">
        <f>IF(A17="","",D17-C17)</f>
        <v/>
      </c>
    </row>
    <row r="18">
      <c r="A18" s="16" t="n"/>
      <c r="B18" s="17" t="n"/>
      <c r="C18" s="20" t="n"/>
      <c r="D18" s="20" t="n"/>
      <c r="E18" s="21">
        <f>IF(A18="","",D18-C18)</f>
        <v/>
      </c>
    </row>
    <row r="19">
      <c r="A19" s="16" t="n"/>
      <c r="B19" s="17" t="n"/>
      <c r="C19" s="20" t="n"/>
      <c r="D19" s="20" t="n"/>
      <c r="E19" s="21">
        <f>IF(A19="","",D19-C19)</f>
        <v/>
      </c>
    </row>
    <row r="20">
      <c r="A20" s="16" t="n"/>
      <c r="B20" s="17" t="n"/>
      <c r="C20" s="20" t="n"/>
      <c r="D20" s="20" t="n"/>
      <c r="E20" s="21">
        <f>IF(A20="","",D20-C20)</f>
        <v/>
      </c>
    </row>
    <row r="21">
      <c r="A21" s="16" t="n"/>
      <c r="B21" s="17" t="n"/>
      <c r="C21" s="20" t="n"/>
      <c r="D21" s="20" t="n"/>
      <c r="E21" s="21">
        <f>IF(A21="","",D21-C21)</f>
        <v/>
      </c>
    </row>
    <row r="22">
      <c r="A22" s="16" t="n"/>
      <c r="B22" s="17" t="n"/>
      <c r="C22" s="20" t="n"/>
      <c r="D22" s="20" t="n"/>
      <c r="E22" s="21">
        <f>IF(A22="","",D22-C22)</f>
        <v/>
      </c>
    </row>
    <row r="23">
      <c r="A23" s="16" t="n"/>
      <c r="B23" s="17" t="n"/>
      <c r="C23" s="20" t="n"/>
      <c r="D23" s="20" t="n"/>
      <c r="E23" s="21">
        <f>IF(A23="","",D23-C23)</f>
        <v/>
      </c>
    </row>
    <row r="24">
      <c r="A24" s="16" t="n"/>
      <c r="B24" s="17" t="n"/>
      <c r="C24" s="20" t="n"/>
      <c r="D24" s="20" t="n"/>
      <c r="E24" s="21">
        <f>IF(A24="","",D24-C24)</f>
        <v/>
      </c>
    </row>
    <row r="25">
      <c r="A25" s="16" t="n"/>
      <c r="B25" s="17" t="n"/>
      <c r="C25" s="20" t="n"/>
      <c r="D25" s="20" t="n"/>
      <c r="E25" s="21">
        <f>IF(A25="","",D25-C25)</f>
        <v/>
      </c>
    </row>
    <row r="26">
      <c r="A26" s="16" t="n"/>
      <c r="B26" s="17" t="n"/>
      <c r="C26" s="20" t="n"/>
      <c r="D26" s="20" t="n"/>
      <c r="E26" s="21">
        <f>IF(A26="","",D26-C26)</f>
        <v/>
      </c>
    </row>
    <row r="27">
      <c r="A27" s="16" t="n"/>
      <c r="B27" s="17" t="n"/>
      <c r="C27" s="20" t="n"/>
      <c r="D27" s="20" t="n"/>
      <c r="E27" s="21">
        <f>IF(A27="","",D27-C27)</f>
        <v/>
      </c>
    </row>
    <row r="28">
      <c r="A28" s="16" t="n"/>
      <c r="B28" s="17" t="n"/>
      <c r="C28" s="20" t="n"/>
      <c r="D28" s="20" t="n"/>
      <c r="E28" s="21">
        <f>IF(A28="","",D28-C28)</f>
        <v/>
      </c>
    </row>
    <row r="29">
      <c r="A29" s="16" t="n"/>
      <c r="B29" s="17" t="n"/>
      <c r="C29" s="20" t="n"/>
      <c r="D29" s="20" t="n"/>
      <c r="E29" s="21">
        <f>IF(A29="","",D29-C29)</f>
        <v/>
      </c>
    </row>
    <row r="30">
      <c r="A30" s="16" t="n"/>
      <c r="B30" s="17" t="n"/>
      <c r="C30" s="20" t="n"/>
      <c r="D30" s="20" t="n"/>
      <c r="E30" s="21">
        <f>IF(A30="","",D30-C30)</f>
        <v/>
      </c>
    </row>
    <row r="31">
      <c r="A31" s="16" t="n"/>
      <c r="B31" s="17" t="n"/>
      <c r="C31" s="20" t="n"/>
      <c r="D31" s="20" t="n"/>
      <c r="E31" s="21">
        <f>IF(A31="","",D31-C31)</f>
        <v/>
      </c>
    </row>
    <row r="32">
      <c r="A32" s="16" t="n"/>
      <c r="B32" s="17" t="n"/>
      <c r="C32" s="20" t="n"/>
      <c r="D32" s="20" t="n"/>
      <c r="E32" s="21">
        <f>IF(A32="","",D32-C32)</f>
        <v/>
      </c>
    </row>
    <row r="33">
      <c r="A33" s="16" t="n"/>
      <c r="B33" s="17" t="n"/>
      <c r="C33" s="20" t="n"/>
      <c r="D33" s="20" t="n"/>
      <c r="E33" s="21">
        <f>IF(A33="","",D33-C33)</f>
        <v/>
      </c>
    </row>
    <row r="34">
      <c r="A34" s="16" t="n"/>
      <c r="B34" s="17" t="n"/>
      <c r="C34" s="20" t="n"/>
      <c r="D34" s="20" t="n"/>
      <c r="E34" s="21">
        <f>IF(A34="","",D34-C34)</f>
        <v/>
      </c>
    </row>
    <row r="35">
      <c r="A35" s="16" t="n"/>
      <c r="B35" s="17" t="n"/>
      <c r="C35" s="20" t="n"/>
      <c r="D35" s="20" t="n"/>
      <c r="E35" s="21">
        <f>IF(A35="","",D35-C35)</f>
        <v/>
      </c>
    </row>
    <row r="36">
      <c r="A36" s="16" t="n"/>
      <c r="B36" s="17" t="n"/>
      <c r="C36" s="20" t="n"/>
      <c r="D36" s="20" t="n"/>
      <c r="E36" s="21">
        <f>IF(A36="","",D36-C36)</f>
        <v/>
      </c>
    </row>
    <row r="37">
      <c r="A37" s="16" t="n"/>
      <c r="B37" s="17" t="n"/>
      <c r="C37" s="20" t="n"/>
      <c r="D37" s="20" t="n"/>
      <c r="E37" s="21">
        <f>IF(A37="","",D37-C37)</f>
        <v/>
      </c>
    </row>
    <row r="38">
      <c r="A38" s="16" t="n"/>
      <c r="B38" s="17" t="n"/>
      <c r="C38" s="20" t="n"/>
      <c r="D38" s="20" t="n"/>
      <c r="E38" s="21">
        <f>IF(A38="","",D38-C38)</f>
        <v/>
      </c>
    </row>
    <row r="39">
      <c r="A39" s="16" t="n"/>
      <c r="B39" s="17" t="n"/>
      <c r="C39" s="20" t="n"/>
      <c r="D39" s="20" t="n"/>
      <c r="E39" s="21">
        <f>IF(A39="","",D39-C39)</f>
        <v/>
      </c>
    </row>
    <row r="40">
      <c r="A40" s="16" t="n"/>
      <c r="B40" s="17" t="n"/>
      <c r="C40" s="20" t="n"/>
      <c r="D40" s="20" t="n"/>
      <c r="E40" s="21">
        <f>IF(A40="","",D40-C40)</f>
        <v/>
      </c>
    </row>
    <row r="41">
      <c r="A41" s="16" t="n"/>
      <c r="B41" s="17" t="n"/>
      <c r="C41" s="20" t="n"/>
      <c r="D41" s="20" t="n"/>
      <c r="E41" s="21">
        <f>IF(A41="","",D41-C41)</f>
        <v/>
      </c>
    </row>
    <row r="42">
      <c r="A42" s="16" t="n"/>
      <c r="B42" s="17" t="n"/>
      <c r="C42" s="20" t="n"/>
      <c r="D42" s="20" t="n"/>
      <c r="E42" s="21">
        <f>IF(A42="","",D42-C42)</f>
        <v/>
      </c>
    </row>
    <row r="43">
      <c r="A43" s="16" t="n"/>
      <c r="B43" s="17" t="n"/>
      <c r="C43" s="20" t="n"/>
      <c r="D43" s="20" t="n"/>
      <c r="E43" s="21">
        <f>IF(A43="","",D43-C43)</f>
        <v/>
      </c>
    </row>
    <row r="44">
      <c r="A44" s="16" t="n"/>
      <c r="B44" s="17" t="n"/>
      <c r="C44" s="20" t="n"/>
      <c r="D44" s="20" t="n"/>
      <c r="E44" s="21">
        <f>IF(A44="","",D44-C44)</f>
        <v/>
      </c>
    </row>
    <row r="45">
      <c r="A45" s="16" t="n"/>
      <c r="B45" s="17" t="n"/>
      <c r="C45" s="20" t="n"/>
      <c r="D45" s="20" t="n"/>
      <c r="E45" s="21">
        <f>IF(A45="","",D45-C45)</f>
        <v/>
      </c>
    </row>
    <row r="46">
      <c r="A46" s="16" t="n"/>
      <c r="B46" s="17" t="n"/>
      <c r="C46" s="20" t="n"/>
      <c r="D46" s="20" t="n"/>
      <c r="E46" s="21">
        <f>IF(A46="","",D46-C46)</f>
        <v/>
      </c>
    </row>
    <row r="47">
      <c r="A47" s="16" t="n"/>
      <c r="B47" s="17" t="n"/>
      <c r="C47" s="20" t="n"/>
      <c r="D47" s="20" t="n"/>
      <c r="E47" s="21">
        <f>IF(A47="","",D47-C47)</f>
        <v/>
      </c>
    </row>
    <row r="48">
      <c r="A48" s="16" t="n"/>
      <c r="B48" s="17" t="n"/>
      <c r="C48" s="20" t="n"/>
      <c r="D48" s="20" t="n"/>
      <c r="E48" s="21">
        <f>IF(A48="","",D48-C48)</f>
        <v/>
      </c>
    </row>
    <row r="49">
      <c r="A49" s="16" t="n"/>
      <c r="B49" s="17" t="n"/>
      <c r="C49" s="20" t="n"/>
      <c r="D49" s="20" t="n"/>
      <c r="E49" s="21">
        <f>IF(A49="","",D49-C49)</f>
        <v/>
      </c>
    </row>
    <row r="50">
      <c r="A50" s="16" t="n"/>
      <c r="B50" s="17" t="n"/>
      <c r="C50" s="20" t="n"/>
      <c r="D50" s="20" t="n"/>
      <c r="E50" s="21">
        <f>IF(A50="","",D50-C50)</f>
        <v/>
      </c>
    </row>
    <row r="51">
      <c r="A51" s="16" t="n"/>
      <c r="B51" s="17" t="n"/>
      <c r="C51" s="20" t="n"/>
      <c r="D51" s="20" t="n"/>
      <c r="E51" s="21">
        <f>IF(A51="","",D51-C51)</f>
        <v/>
      </c>
    </row>
    <row r="52">
      <c r="A52" s="16" t="n"/>
      <c r="B52" s="17" t="n"/>
      <c r="C52" s="20" t="n"/>
      <c r="D52" s="20" t="n"/>
      <c r="E52" s="21">
        <f>IF(A52="","",D52-C52)</f>
        <v/>
      </c>
    </row>
    <row r="53">
      <c r="A53" s="16" t="n"/>
      <c r="B53" s="17" t="n"/>
      <c r="C53" s="20" t="n"/>
      <c r="D53" s="20" t="n"/>
      <c r="E53" s="21">
        <f>IF(A53="","",D53-C53)</f>
        <v/>
      </c>
    </row>
    <row r="54">
      <c r="A54" s="16" t="n"/>
      <c r="B54" s="17" t="n"/>
      <c r="C54" s="20" t="n"/>
      <c r="D54" s="20" t="n"/>
      <c r="E54" s="21">
        <f>IF(A54="","",D54-C54)</f>
        <v/>
      </c>
    </row>
    <row r="55">
      <c r="A55" s="16" t="n"/>
      <c r="B55" s="17" t="n"/>
      <c r="C55" s="20" t="n"/>
      <c r="D55" s="20" t="n"/>
      <c r="E55" s="21">
        <f>IF(A55="","",D55-C55)</f>
        <v/>
      </c>
    </row>
    <row r="56">
      <c r="A56" s="16" t="n"/>
      <c r="B56" s="17" t="n"/>
      <c r="C56" s="20" t="n"/>
      <c r="D56" s="20" t="n"/>
      <c r="E56" s="21">
        <f>IF(A56="","",D56-C56)</f>
        <v/>
      </c>
    </row>
    <row r="57">
      <c r="A57" s="16" t="n"/>
      <c r="B57" s="17" t="n"/>
      <c r="C57" s="20" t="n"/>
      <c r="D57" s="20" t="n"/>
      <c r="E57" s="21">
        <f>IF(A57="","",D57-C57)</f>
        <v/>
      </c>
    </row>
    <row r="58">
      <c r="A58" s="16" t="n"/>
      <c r="B58" s="17" t="n"/>
      <c r="C58" s="20" t="n"/>
      <c r="D58" s="20" t="n"/>
      <c r="E58" s="21">
        <f>IF(A58="","",D58-C58)</f>
        <v/>
      </c>
    </row>
    <row r="59">
      <c r="A59" s="16" t="n"/>
      <c r="B59" s="17" t="n"/>
      <c r="C59" s="20" t="n"/>
      <c r="D59" s="20" t="n"/>
      <c r="E59" s="21">
        <f>IF(A59="","",D59-C59)</f>
        <v/>
      </c>
    </row>
    <row r="60">
      <c r="A60" s="16" t="n"/>
      <c r="B60" s="17" t="n"/>
      <c r="C60" s="20" t="n"/>
      <c r="D60" s="20" t="n"/>
      <c r="E60" s="21">
        <f>IF(A60="","",D60-C60)</f>
        <v/>
      </c>
    </row>
    <row r="61">
      <c r="A61" s="16" t="n"/>
      <c r="B61" s="17" t="n"/>
      <c r="C61" s="20" t="n"/>
      <c r="D61" s="20" t="n"/>
      <c r="E61" s="21">
        <f>IF(A61="","",D61-C61)</f>
        <v/>
      </c>
    </row>
    <row r="62">
      <c r="A62" s="16" t="n"/>
      <c r="B62" s="17" t="n"/>
      <c r="C62" s="20" t="n"/>
      <c r="D62" s="20" t="n"/>
      <c r="E62" s="21">
        <f>IF(A62="","",D62-C62)</f>
        <v/>
      </c>
    </row>
    <row r="63">
      <c r="A63" s="16" t="n"/>
      <c r="B63" s="17" t="n"/>
      <c r="C63" s="20" t="n"/>
      <c r="D63" s="20" t="n"/>
      <c r="E63" s="21">
        <f>IF(A63="","",D63-C63)</f>
        <v/>
      </c>
    </row>
    <row r="64">
      <c r="A64" s="16" t="n"/>
      <c r="B64" s="17" t="n"/>
      <c r="C64" s="20" t="n"/>
      <c r="D64" s="20" t="n"/>
      <c r="E64" s="21">
        <f>IF(A64="","",D64-C64)</f>
        <v/>
      </c>
    </row>
    <row r="65">
      <c r="A65" s="16" t="n"/>
      <c r="B65" s="17" t="n"/>
      <c r="C65" s="20" t="n"/>
      <c r="D65" s="20" t="n"/>
      <c r="E65" s="21">
        <f>IF(A65="","",D65-C65)</f>
        <v/>
      </c>
    </row>
    <row r="66">
      <c r="A66" s="16" t="n"/>
      <c r="B66" s="17" t="n"/>
      <c r="C66" s="20" t="n"/>
      <c r="D66" s="20" t="n"/>
      <c r="E66" s="21">
        <f>IF(A66="","",D66-C66)</f>
        <v/>
      </c>
    </row>
    <row r="67">
      <c r="A67" s="16" t="n"/>
      <c r="B67" s="17" t="n"/>
      <c r="C67" s="20" t="n"/>
      <c r="D67" s="20" t="n"/>
      <c r="E67" s="21">
        <f>IF(A67="","",D67-C67)</f>
        <v/>
      </c>
    </row>
    <row r="68">
      <c r="A68" s="16" t="n"/>
      <c r="B68" s="17" t="n"/>
      <c r="C68" s="20" t="n"/>
      <c r="D68" s="20" t="n"/>
      <c r="E68" s="21">
        <f>IF(A68="","",D68-C68)</f>
        <v/>
      </c>
    </row>
    <row r="69">
      <c r="A69" s="16" t="n"/>
      <c r="B69" s="17" t="n"/>
      <c r="C69" s="20" t="n"/>
      <c r="D69" s="20" t="n"/>
      <c r="E69" s="21">
        <f>IF(A69="","",D69-C69)</f>
        <v/>
      </c>
    </row>
  </sheetData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40" customWidth="1" min="4" max="4"/>
  </cols>
  <sheetData>
    <row r="1" ht="32" customHeight="1">
      <c r="A1" s="15" t="inlineStr">
        <is>
          <t>Datum</t>
        </is>
      </c>
      <c r="B1" s="15" t="inlineStr">
        <is>
          <t>Thema</t>
        </is>
      </c>
      <c r="C1" s="15" t="inlineStr">
        <is>
          <t>Gesamtfortschritt</t>
        </is>
      </c>
      <c r="D1" s="15" t="inlineStr">
        <is>
          <t>Status</t>
        </is>
      </c>
    </row>
    <row r="2">
      <c r="A2" s="16" t="n">
        <v>46037</v>
      </c>
      <c r="B2" s="17" t="inlineStr">
        <is>
          <t>Lineare Algebra</t>
        </is>
      </c>
      <c r="C2" s="22" t="n">
        <v>30</v>
      </c>
      <c r="D2" s="23">
        <f>IF(C2&gt;50,'Fortgeschritten','In Bearbeitung')</f>
        <v/>
      </c>
    </row>
    <row r="3">
      <c r="A3" s="16" t="n">
        <v>46038</v>
      </c>
      <c r="B3" s="17" t="inlineStr">
        <is>
          <t>Mechanik</t>
        </is>
      </c>
      <c r="C3" s="22" t="n">
        <v>20</v>
      </c>
      <c r="D3" s="23">
        <f>IF(C3&gt;50,'Fortgeschritten','In Bearbeitung')</f>
        <v/>
      </c>
    </row>
    <row r="4">
      <c r="A4" s="16" t="n">
        <v>46039</v>
      </c>
      <c r="B4" s="17" t="inlineStr">
        <is>
          <t>Organische Chemie</t>
        </is>
      </c>
      <c r="C4" s="22" t="n">
        <v>25</v>
      </c>
      <c r="D4" s="23">
        <f>IF(C4&gt;50,'Fortgeschritten','In Bearbeitung')</f>
        <v/>
      </c>
    </row>
    <row r="5">
      <c r="A5" s="16" t="n">
        <v>46040</v>
      </c>
      <c r="B5" s="17" t="inlineStr">
        <is>
          <t>Zellbiologie</t>
        </is>
      </c>
      <c r="C5" s="22" t="n">
        <v>15</v>
      </c>
      <c r="D5" s="23">
        <f>IF(C5&gt;50,'Fortgeschritten','In Bearbeitung')</f>
        <v/>
      </c>
    </row>
    <row r="6">
      <c r="A6" s="16" t="n">
        <v>46041</v>
      </c>
      <c r="B6" s="17" t="inlineStr">
        <is>
          <t>Datenstrukturen</t>
        </is>
      </c>
      <c r="C6" s="22" t="n">
        <v>35</v>
      </c>
      <c r="D6" s="23">
        <f>IF(C6&gt;50,'Fortgeschritten','In Bearbeitung')</f>
        <v/>
      </c>
    </row>
    <row r="7">
      <c r="A7" s="16" t="n">
        <v>46042</v>
      </c>
      <c r="B7" s="17" t="inlineStr">
        <is>
          <t>Marketing</t>
        </is>
      </c>
      <c r="C7" s="22" t="n">
        <v>30</v>
      </c>
      <c r="D7" s="23">
        <f>IF(C7&gt;50,'Fortgeschritten','In Bearbeitung')</f>
        <v/>
      </c>
    </row>
    <row r="8">
      <c r="A8" s="16" t="n">
        <v>46043</v>
      </c>
      <c r="B8" s="17" t="inlineStr">
        <is>
          <t>Weltkriege</t>
        </is>
      </c>
      <c r="C8" s="22" t="n">
        <v>40</v>
      </c>
      <c r="D8" s="23">
        <f>IF(C8&gt;50,'Fortgeschritten','In Bearbeitung')</f>
        <v/>
      </c>
    </row>
    <row r="9">
      <c r="A9" s="16" t="n">
        <v>46044</v>
      </c>
      <c r="B9" s="17" t="inlineStr">
        <is>
          <t>Grammatik</t>
        </is>
      </c>
      <c r="C9" s="22" t="n">
        <v>15</v>
      </c>
      <c r="D9" s="23">
        <f>IF(C9&gt;50,'Fortgeschritten','In Bearbeitung')</f>
        <v/>
      </c>
    </row>
    <row r="10">
      <c r="A10" s="16" t="n"/>
      <c r="B10" s="17" t="n"/>
      <c r="C10" s="22" t="n"/>
      <c r="D10" s="23">
        <f>IF(A10="","",IF(C10&gt;50,'Fortgeschritten','In Bearbeitung'))</f>
        <v/>
      </c>
    </row>
    <row r="11">
      <c r="A11" s="16" t="n"/>
      <c r="B11" s="17" t="n"/>
      <c r="C11" s="22" t="n"/>
      <c r="D11" s="23">
        <f>IF(A11="","",IF(C11&gt;50,'Fortgeschritten','In Bearbeitung'))</f>
        <v/>
      </c>
    </row>
    <row r="12">
      <c r="A12" s="16" t="n"/>
      <c r="B12" s="17" t="n"/>
      <c r="C12" s="22" t="n"/>
      <c r="D12" s="23">
        <f>IF(A12="","",IF(C12&gt;50,'Fortgeschritten','In Bearbeitung'))</f>
        <v/>
      </c>
    </row>
    <row r="13">
      <c r="A13" s="16" t="n"/>
      <c r="B13" s="17" t="n"/>
      <c r="C13" s="22" t="n"/>
      <c r="D13" s="23">
        <f>IF(A13="","",IF(C13&gt;50,'Fortgeschritten','In Bearbeitung'))</f>
        <v/>
      </c>
    </row>
    <row r="14">
      <c r="A14" s="16" t="n"/>
      <c r="B14" s="17" t="n"/>
      <c r="C14" s="22" t="n"/>
      <c r="D14" s="23">
        <f>IF(A14="","",IF(C14&gt;50,'Fortgeschritten','In Bearbeitung'))</f>
        <v/>
      </c>
    </row>
    <row r="15">
      <c r="A15" s="16" t="n"/>
      <c r="B15" s="17" t="n"/>
      <c r="C15" s="22" t="n"/>
      <c r="D15" s="23">
        <f>IF(A15="","",IF(C15&gt;50,'Fortgeschritten','In Bearbeitung'))</f>
        <v/>
      </c>
    </row>
    <row r="16">
      <c r="A16" s="16" t="n"/>
      <c r="B16" s="17" t="n"/>
      <c r="C16" s="22" t="n"/>
      <c r="D16" s="23">
        <f>IF(A16="","",IF(C16&gt;50,'Fortgeschritten','In Bearbeitung'))</f>
        <v/>
      </c>
    </row>
    <row r="17">
      <c r="A17" s="16" t="n"/>
      <c r="B17" s="17" t="n"/>
      <c r="C17" s="22" t="n"/>
      <c r="D17" s="23">
        <f>IF(A17="","",IF(C17&gt;50,'Fortgeschritten','In Bearbeitung'))</f>
        <v/>
      </c>
    </row>
    <row r="18">
      <c r="A18" s="16" t="n"/>
      <c r="B18" s="17" t="n"/>
      <c r="C18" s="22" t="n"/>
      <c r="D18" s="23">
        <f>IF(A18="","",IF(C18&gt;50,'Fortgeschritten','In Bearbeitung'))</f>
        <v/>
      </c>
    </row>
    <row r="19">
      <c r="A19" s="16" t="n"/>
      <c r="B19" s="17" t="n"/>
      <c r="C19" s="22" t="n"/>
      <c r="D19" s="23">
        <f>IF(A19="","",IF(C19&gt;50,'Fortgeschritten','In Bearbeitung'))</f>
        <v/>
      </c>
    </row>
    <row r="20">
      <c r="A20" s="16" t="n"/>
      <c r="B20" s="17" t="n"/>
      <c r="C20" s="22" t="n"/>
      <c r="D20" s="23">
        <f>IF(A20="","",IF(C20&gt;50,'Fortgeschritten','In Bearbeitung'))</f>
        <v/>
      </c>
    </row>
    <row r="21">
      <c r="A21" s="16" t="n"/>
      <c r="B21" s="17" t="n"/>
      <c r="C21" s="22" t="n"/>
      <c r="D21" s="23">
        <f>IF(A21="","",IF(C21&gt;50,'Fortgeschritten','In Bearbeitung'))</f>
        <v/>
      </c>
    </row>
    <row r="22">
      <c r="A22" s="16" t="n"/>
      <c r="B22" s="17" t="n"/>
      <c r="C22" s="22" t="n"/>
      <c r="D22" s="23">
        <f>IF(A22="","",IF(C22&gt;50,'Fortgeschritten','In Bearbeitung'))</f>
        <v/>
      </c>
    </row>
    <row r="23">
      <c r="A23" s="16" t="n"/>
      <c r="B23" s="17" t="n"/>
      <c r="C23" s="22" t="n"/>
      <c r="D23" s="23">
        <f>IF(A23="","",IF(C23&gt;50,'Fortgeschritten','In Bearbeitung'))</f>
        <v/>
      </c>
    </row>
    <row r="24">
      <c r="A24" s="16" t="n"/>
      <c r="B24" s="17" t="n"/>
      <c r="C24" s="22" t="n"/>
      <c r="D24" s="23">
        <f>IF(A24="","",IF(C24&gt;50,'Fortgeschritten','In Bearbeitung'))</f>
        <v/>
      </c>
    </row>
    <row r="25">
      <c r="A25" s="16" t="n"/>
      <c r="B25" s="17" t="n"/>
      <c r="C25" s="22" t="n"/>
      <c r="D25" s="23">
        <f>IF(A25="","",IF(C25&gt;50,'Fortgeschritten','In Bearbeitung'))</f>
        <v/>
      </c>
    </row>
    <row r="26">
      <c r="A26" s="16" t="n"/>
      <c r="B26" s="17" t="n"/>
      <c r="C26" s="22" t="n"/>
      <c r="D26" s="23">
        <f>IF(A26="","",IF(C26&gt;50,'Fortgeschritten','In Bearbeitung'))</f>
        <v/>
      </c>
    </row>
    <row r="27">
      <c r="A27" s="16" t="n"/>
      <c r="B27" s="17" t="n"/>
      <c r="C27" s="22" t="n"/>
      <c r="D27" s="23">
        <f>IF(A27="","",IF(C27&gt;50,'Fortgeschritten','In Bearbeitung'))</f>
        <v/>
      </c>
    </row>
    <row r="28">
      <c r="A28" s="16" t="n"/>
      <c r="B28" s="17" t="n"/>
      <c r="C28" s="22" t="n"/>
      <c r="D28" s="23">
        <f>IF(A28="","",IF(C28&gt;50,'Fortgeschritten','In Bearbeitung'))</f>
        <v/>
      </c>
    </row>
    <row r="29">
      <c r="A29" s="16" t="n"/>
      <c r="B29" s="17" t="n"/>
      <c r="C29" s="22" t="n"/>
      <c r="D29" s="23">
        <f>IF(A29="","",IF(C29&gt;50,'Fortgeschritten','In Bearbeitung'))</f>
        <v/>
      </c>
    </row>
    <row r="30">
      <c r="A30" s="16" t="n"/>
      <c r="B30" s="17" t="n"/>
      <c r="C30" s="22" t="n"/>
      <c r="D30" s="23">
        <f>IF(A30="","",IF(C30&gt;50,'Fortgeschritten','In Bearbeitung'))</f>
        <v/>
      </c>
    </row>
    <row r="31">
      <c r="A31" s="16" t="n"/>
      <c r="B31" s="17" t="n"/>
      <c r="C31" s="22" t="n"/>
      <c r="D31" s="23">
        <f>IF(A31="","",IF(C31&gt;50,'Fortgeschritten','In Bearbeitung'))</f>
        <v/>
      </c>
    </row>
    <row r="32">
      <c r="A32" s="16" t="n"/>
      <c r="B32" s="17" t="n"/>
      <c r="C32" s="22" t="n"/>
      <c r="D32" s="23">
        <f>IF(A32="","",IF(C32&gt;50,'Fortgeschritten','In Bearbeitung'))</f>
        <v/>
      </c>
    </row>
    <row r="33">
      <c r="A33" s="16" t="n"/>
      <c r="B33" s="17" t="n"/>
      <c r="C33" s="22" t="n"/>
      <c r="D33" s="23">
        <f>IF(A33="","",IF(C33&gt;50,'Fortgeschritten','In Bearbeitung'))</f>
        <v/>
      </c>
    </row>
    <row r="34">
      <c r="A34" s="16" t="n"/>
      <c r="B34" s="17" t="n"/>
      <c r="C34" s="22" t="n"/>
      <c r="D34" s="23">
        <f>IF(A34="","",IF(C34&gt;50,'Fortgeschritten','In Bearbeitung'))</f>
        <v/>
      </c>
    </row>
    <row r="35">
      <c r="A35" s="16" t="n"/>
      <c r="B35" s="17" t="n"/>
      <c r="C35" s="22" t="n"/>
      <c r="D35" s="23">
        <f>IF(A35="","",IF(C35&gt;50,'Fortgeschritten','In Bearbeitung'))</f>
        <v/>
      </c>
    </row>
    <row r="36">
      <c r="A36" s="16" t="n"/>
      <c r="B36" s="17" t="n"/>
      <c r="C36" s="22" t="n"/>
      <c r="D36" s="23">
        <f>IF(A36="","",IF(C36&gt;50,'Fortgeschritten','In Bearbeitung'))</f>
        <v/>
      </c>
    </row>
    <row r="37">
      <c r="A37" s="16" t="n"/>
      <c r="B37" s="17" t="n"/>
      <c r="C37" s="22" t="n"/>
      <c r="D37" s="23">
        <f>IF(A37="","",IF(C37&gt;50,'Fortgeschritten','In Bearbeitung'))</f>
        <v/>
      </c>
    </row>
    <row r="38">
      <c r="A38" s="16" t="n"/>
      <c r="B38" s="17" t="n"/>
      <c r="C38" s="22" t="n"/>
      <c r="D38" s="23">
        <f>IF(A38="","",IF(C38&gt;50,'Fortgeschritten','In Bearbeitung'))</f>
        <v/>
      </c>
    </row>
    <row r="39">
      <c r="A39" s="16" t="n"/>
      <c r="B39" s="17" t="n"/>
      <c r="C39" s="22" t="n"/>
      <c r="D39" s="23">
        <f>IF(A39="","",IF(C39&gt;50,'Fortgeschritten','In Bearbeitung'))</f>
        <v/>
      </c>
    </row>
    <row r="40">
      <c r="A40" s="16" t="n"/>
      <c r="B40" s="17" t="n"/>
      <c r="C40" s="22" t="n"/>
      <c r="D40" s="23">
        <f>IF(A40="","",IF(C40&gt;50,'Fortgeschritten','In Bearbeitung'))</f>
        <v/>
      </c>
    </row>
    <row r="41">
      <c r="A41" s="16" t="n"/>
      <c r="B41" s="17" t="n"/>
      <c r="C41" s="22" t="n"/>
      <c r="D41" s="23">
        <f>IF(A41="","",IF(C41&gt;50,'Fortgeschritten','In Bearbeitung'))</f>
        <v/>
      </c>
    </row>
    <row r="42">
      <c r="A42" s="16" t="n"/>
      <c r="B42" s="17" t="n"/>
      <c r="C42" s="22" t="n"/>
      <c r="D42" s="23">
        <f>IF(A42="","",IF(C42&gt;50,'Fortgeschritten','In Bearbeitung'))</f>
        <v/>
      </c>
    </row>
    <row r="43">
      <c r="A43" s="16" t="n"/>
      <c r="B43" s="17" t="n"/>
      <c r="C43" s="22" t="n"/>
      <c r="D43" s="23">
        <f>IF(A43="","",IF(C43&gt;50,'Fortgeschritten','In Bearbeitung'))</f>
        <v/>
      </c>
    </row>
    <row r="44">
      <c r="A44" s="16" t="n"/>
      <c r="B44" s="17" t="n"/>
      <c r="C44" s="22" t="n"/>
      <c r="D44" s="23">
        <f>IF(A44="","",IF(C44&gt;50,'Fortgeschritten','In Bearbeitung'))</f>
        <v/>
      </c>
    </row>
    <row r="45">
      <c r="A45" s="16" t="n"/>
      <c r="B45" s="17" t="n"/>
      <c r="C45" s="22" t="n"/>
      <c r="D45" s="23">
        <f>IF(A45="","",IF(C45&gt;50,'Fortgeschritten','In Bearbeitung'))</f>
        <v/>
      </c>
    </row>
    <row r="46">
      <c r="A46" s="16" t="n"/>
      <c r="B46" s="17" t="n"/>
      <c r="C46" s="22" t="n"/>
      <c r="D46" s="23">
        <f>IF(A46="","",IF(C46&gt;50,'Fortgeschritten','In Bearbeitung'))</f>
        <v/>
      </c>
    </row>
    <row r="47">
      <c r="A47" s="16" t="n"/>
      <c r="B47" s="17" t="n"/>
      <c r="C47" s="22" t="n"/>
      <c r="D47" s="23">
        <f>IF(A47="","",IF(C47&gt;50,'Fortgeschritten','In Bearbeitung'))</f>
        <v/>
      </c>
    </row>
    <row r="48">
      <c r="A48" s="16" t="n"/>
      <c r="B48" s="17" t="n"/>
      <c r="C48" s="22" t="n"/>
      <c r="D48" s="23">
        <f>IF(A48="","",IF(C48&gt;50,'Fortgeschritten','In Bearbeitung'))</f>
        <v/>
      </c>
    </row>
    <row r="49">
      <c r="A49" s="16" t="n"/>
      <c r="B49" s="17" t="n"/>
      <c r="C49" s="22" t="n"/>
      <c r="D49" s="23">
        <f>IF(A49="","",IF(C49&gt;50,'Fortgeschritten','In Bearbeitung'))</f>
        <v/>
      </c>
    </row>
    <row r="50">
      <c r="A50" s="16" t="n"/>
      <c r="B50" s="17" t="n"/>
      <c r="C50" s="22" t="n"/>
      <c r="D50" s="23">
        <f>IF(A50="","",IF(C50&gt;50,'Fortgeschritten','In Bearbeitung'))</f>
        <v/>
      </c>
    </row>
    <row r="51">
      <c r="A51" s="16" t="n"/>
      <c r="B51" s="17" t="n"/>
      <c r="C51" s="22" t="n"/>
      <c r="D51" s="23">
        <f>IF(A51="","",IF(C51&gt;50,'Fortgeschritten','In Bearbeitung'))</f>
        <v/>
      </c>
    </row>
    <row r="52">
      <c r="A52" s="16" t="n"/>
      <c r="B52" s="17" t="n"/>
      <c r="C52" s="22" t="n"/>
      <c r="D52" s="23">
        <f>IF(A52="","",IF(C52&gt;50,'Fortgeschritten','In Bearbeitung'))</f>
        <v/>
      </c>
    </row>
    <row r="53">
      <c r="A53" s="16" t="n"/>
      <c r="B53" s="17" t="n"/>
      <c r="C53" s="22" t="n"/>
      <c r="D53" s="23">
        <f>IF(A53="","",IF(C53&gt;50,'Fortgeschritten','In Bearbeitung'))</f>
        <v/>
      </c>
    </row>
    <row r="54">
      <c r="A54" s="16" t="n"/>
      <c r="B54" s="17" t="n"/>
      <c r="C54" s="22" t="n"/>
      <c r="D54" s="23">
        <f>IF(A54="","",IF(C54&gt;50,'Fortgeschritten','In Bearbeitung'))</f>
        <v/>
      </c>
    </row>
    <row r="55">
      <c r="A55" s="16" t="n"/>
      <c r="B55" s="17" t="n"/>
      <c r="C55" s="22" t="n"/>
      <c r="D55" s="23">
        <f>IF(A55="","",IF(C55&gt;50,'Fortgeschritten','In Bearbeitung'))</f>
        <v/>
      </c>
    </row>
    <row r="56">
      <c r="A56" s="16" t="n"/>
      <c r="B56" s="17" t="n"/>
      <c r="C56" s="22" t="n"/>
      <c r="D56" s="23">
        <f>IF(A56="","",IF(C56&gt;50,'Fortgeschritten','In Bearbeitung'))</f>
        <v/>
      </c>
    </row>
    <row r="57">
      <c r="A57" s="16" t="n"/>
      <c r="B57" s="17" t="n"/>
      <c r="C57" s="22" t="n"/>
      <c r="D57" s="23">
        <f>IF(A57="","",IF(C57&gt;50,'Fortgeschritten','In Bearbeitung'))</f>
        <v/>
      </c>
    </row>
    <row r="58">
      <c r="A58" s="16" t="n"/>
      <c r="B58" s="17" t="n"/>
      <c r="C58" s="22" t="n"/>
      <c r="D58" s="23">
        <f>IF(A58="","",IF(C58&gt;50,'Fortgeschritten','In Bearbeitung'))</f>
        <v/>
      </c>
    </row>
    <row r="59">
      <c r="A59" s="16" t="n"/>
      <c r="B59" s="17" t="n"/>
      <c r="C59" s="22" t="n"/>
      <c r="D59" s="23">
        <f>IF(A59="","",IF(C59&gt;50,'Fortgeschritten','In Bearbeitung'))</f>
        <v/>
      </c>
    </row>
    <row r="60">
      <c r="A60" s="16" t="n"/>
      <c r="B60" s="17" t="n"/>
      <c r="C60" s="22" t="n"/>
      <c r="D60" s="23">
        <f>IF(A60="","",IF(C60&gt;50,'Fortgeschritten','In Bearbeitung'))</f>
        <v/>
      </c>
    </row>
    <row r="61">
      <c r="A61" s="16" t="n"/>
      <c r="B61" s="17" t="n"/>
      <c r="C61" s="22" t="n"/>
      <c r="D61" s="23">
        <f>IF(A61="","",IF(C61&gt;50,'Fortgeschritten','In Bearbeitung'))</f>
        <v/>
      </c>
    </row>
    <row r="62">
      <c r="A62" s="16" t="n"/>
      <c r="B62" s="17" t="n"/>
      <c r="C62" s="22" t="n"/>
      <c r="D62" s="23">
        <f>IF(A62="","",IF(C62&gt;50,'Fortgeschritten','In Bearbeitung'))</f>
        <v/>
      </c>
    </row>
    <row r="63">
      <c r="A63" s="16" t="n"/>
      <c r="B63" s="17" t="n"/>
      <c r="C63" s="22" t="n"/>
      <c r="D63" s="23">
        <f>IF(A63="","",IF(C63&gt;50,'Fortgeschritten','In Bearbeitung'))</f>
        <v/>
      </c>
    </row>
    <row r="64">
      <c r="A64" s="16" t="n"/>
      <c r="B64" s="17" t="n"/>
      <c r="C64" s="22" t="n"/>
      <c r="D64" s="23">
        <f>IF(A64="","",IF(C64&gt;50,'Fortgeschritten','In Bearbeitung'))</f>
        <v/>
      </c>
    </row>
    <row r="65">
      <c r="A65" s="16" t="n"/>
      <c r="B65" s="17" t="n"/>
      <c r="C65" s="22" t="n"/>
      <c r="D65" s="23">
        <f>IF(A65="","",IF(C65&gt;50,'Fortgeschritten','In Bearbeitung'))</f>
        <v/>
      </c>
    </row>
    <row r="66">
      <c r="A66" s="16" t="n"/>
      <c r="B66" s="17" t="n"/>
      <c r="C66" s="22" t="n"/>
      <c r="D66" s="23">
        <f>IF(A66="","",IF(C66&gt;50,'Fortgeschritten','In Bearbeitung'))</f>
        <v/>
      </c>
    </row>
    <row r="67">
      <c r="A67" s="16" t="n"/>
      <c r="B67" s="17" t="n"/>
      <c r="C67" s="22" t="n"/>
      <c r="D67" s="23">
        <f>IF(A67="","",IF(C67&gt;50,'Fortgeschritten','In Bearbeitung'))</f>
        <v/>
      </c>
    </row>
    <row r="68">
      <c r="A68" s="16" t="n"/>
      <c r="B68" s="17" t="n"/>
      <c r="C68" s="22" t="n"/>
      <c r="D68" s="23">
        <f>IF(A68="","",IF(C68&gt;50,'Fortgeschritten','In Bearbeitung'))</f>
        <v/>
      </c>
    </row>
    <row r="69">
      <c r="A69" s="16" t="n"/>
      <c r="B69" s="17" t="n"/>
      <c r="C69" s="22" t="n"/>
      <c r="D69" s="23">
        <f>IF(A69="","",IF(C69&gt;50,'Fortgeschritten','In Bearbeitung'))</f>
        <v/>
      </c>
    </row>
  </sheetData>
  <conditionalFormatting sqref="C2:C69">
    <cfRule type="dataBar" priority="1">
      <dataBar>
        <cfvo type="num" val="0"/>
        <cfvo type="num" val="1"/>
        <color rgb="005FB38F"/>
      </dataBar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Prüfungsvorbereitungs-Tracker für Studierende</dc:title>
  <dcterms:created xsi:type="dcterms:W3CDTF">2026-09-30T12:43:02Z</dcterms:created>
  <dcterms:modified xsi:type="dcterms:W3CDTF">2026-09-30T12:43:02Z</dcterms:modified>
</cp:coreProperties>
</file>