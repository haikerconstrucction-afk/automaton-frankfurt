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s" sheetId="3" state="visible" r:id="rId3"/>
    <sheet name="Cos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Costos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'Costos'!F1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'Costos'!$B$2:$B$4</f>
            </numRef>
          </cat>
          <val>
            <numRef>
              <f>'Costos'!$F$2:$F$4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s_211" displayName="T_Presupuestos_211" ref="A1:F64" headerRowCount="1">
  <autoFilter ref="A1:F64"/>
  <tableColumns count="6">
    <tableColumn id="1" name="Fecha"/>
    <tableColumn id="2" name="Proyecto"/>
    <tableColumn id="3" name="Material"/>
    <tableColumn id="4" name="Cantidad"/>
    <tableColumn id="5" name="Precio Unitar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Costos_397" displayName="T_Costos_397" ref="A1:F64" headerRowCount="1">
  <autoFilter ref="A1:F64"/>
  <tableColumns count="6">
    <tableColumn id="1" name="Fecha"/>
    <tableColumn id="2" name="Categoría"/>
    <tableColumn id="3" name="Descripción"/>
    <tableColumn id="4" name="Cantidad"/>
    <tableColumn id="5" name="Precio Unitario"/>
    <tableColumn id="6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s'!A1" TargetMode="External" Id="rId2" /><Relationship Type="http://schemas.openxmlformats.org/officeDocument/2006/relationships/hyperlink" Target="#'Costo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Control y Calculadora de Presupuestos para Talleres</t>
        </is>
      </c>
    </row>
    <row r="3" ht="45" customHeight="1">
      <c r="C3" s="2" t="inlineStr">
        <is>
          <t>Optimiza tus presupuestos y controla los costos de tus proyectos con esta herramienta profesional diseñada para talleres y profesionales de la construcción.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los datos de tus proyectos en la hoja 'Presupuestos'.</t>
        </is>
      </c>
    </row>
    <row r="7" ht="18" customHeight="1">
      <c r="B7" s="4" t="inlineStr">
        <is>
          <t>2.</t>
        </is>
      </c>
      <c r="C7" s="5" t="inlineStr">
        <is>
          <t>Define las categorías de costos y materiales en la hoja 'Costos'.</t>
        </is>
      </c>
    </row>
    <row r="8" ht="18" customHeight="1">
      <c r="B8" s="4" t="inlineStr">
        <is>
          <t>3.</t>
        </is>
      </c>
      <c r="C8" s="5" t="inlineStr">
        <is>
          <t>Revisa el dashboard para ver el resumen financiero.</t>
        </is>
      </c>
    </row>
    <row r="9" ht="18" customHeight="1">
      <c r="B9" s="4" t="inlineStr">
        <is>
          <t>4.</t>
        </is>
      </c>
      <c r="C9" s="5" t="inlineStr">
        <is>
          <t>Actualiza los datos según avanza el proyecto.</t>
        </is>
      </c>
    </row>
    <row r="10" ht="18" customHeight="1">
      <c r="B10" s="4" t="inlineStr">
        <is>
          <t>5.</t>
        </is>
      </c>
      <c r="C10" s="5" t="inlineStr">
        <is>
          <t>Descarga los gráficos para presentar a tus clientes.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Presupuestos</t>
        </is>
      </c>
    </row>
    <row r="17">
      <c r="C17" s="7" t="inlineStr">
        <is>
          <t>→ Costos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Control y Calculadora de Presupuestos para Talleres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Gastos Totales</t>
        </is>
      </c>
      <c r="C5" s="12">
        <f>SUM('Costos'!F2:F300)</f>
        <v/>
      </c>
    </row>
    <row r="6" ht="24" customHeight="1">
      <c r="B6" s="11" t="inlineStr">
        <is>
          <t>Presupuesto Acumulado</t>
        </is>
      </c>
      <c r="C6" s="12">
        <f>SUM('Presupuestos'!F2:F300)</f>
        <v/>
      </c>
    </row>
    <row r="7" ht="24" customHeight="1">
      <c r="B7" s="11" t="inlineStr">
        <is>
          <t>Margen de Ganancia</t>
        </is>
      </c>
      <c r="C7" s="12">
        <f>'Presupuestos'!F301-'Costos'!F301</f>
        <v/>
      </c>
    </row>
    <row r="8" ht="24" customHeight="1">
      <c r="B8" s="11" t="inlineStr">
        <is>
          <t>Número de Proyectos</t>
        </is>
      </c>
      <c r="C8" s="13">
        <f>COUNTA('Presupuestos'!B2:B300)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  <col width="18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Proyecto</t>
        </is>
      </c>
      <c r="C1" s="14" t="inlineStr">
        <is>
          <t>Material</t>
        </is>
      </c>
      <c r="D1" s="14" t="inlineStr">
        <is>
          <t>Cantidad</t>
        </is>
      </c>
      <c r="E1" s="14" t="inlineStr">
        <is>
          <t>Precio Unitario</t>
        </is>
      </c>
      <c r="F1" s="14" t="inlineStr">
        <is>
          <t>Total</t>
        </is>
      </c>
    </row>
    <row r="2">
      <c r="A2" s="15" t="n">
        <v>46037</v>
      </c>
      <c r="B2" s="16" t="inlineStr">
        <is>
          <t>Remodelación Cocina</t>
        </is>
      </c>
      <c r="C2" s="16" t="inlineStr">
        <is>
          <t>Azulejos</t>
        </is>
      </c>
      <c r="D2" s="17" t="n">
        <v>50</v>
      </c>
      <c r="E2" s="18" t="n">
        <v>12.5</v>
      </c>
      <c r="F2" s="19">
        <f>D2*E2</f>
        <v/>
      </c>
    </row>
    <row r="3">
      <c r="A3" s="15" t="n">
        <v>46038</v>
      </c>
      <c r="B3" s="16" t="inlineStr">
        <is>
          <t>Remodelación Cocina</t>
        </is>
      </c>
      <c r="C3" s="16" t="inlineStr">
        <is>
          <t>Pintura</t>
        </is>
      </c>
      <c r="D3" s="17" t="n">
        <v>10</v>
      </c>
      <c r="E3" s="18" t="n">
        <v>25</v>
      </c>
      <c r="F3" s="19">
        <f>D3*E3</f>
        <v/>
      </c>
    </row>
    <row r="4">
      <c r="A4" s="15" t="n">
        <v>46039</v>
      </c>
      <c r="B4" s="16" t="inlineStr">
        <is>
          <t>Baño Nuevo</t>
        </is>
      </c>
      <c r="C4" s="16" t="inlineStr">
        <is>
          <t>Grifería</t>
        </is>
      </c>
      <c r="D4" s="17" t="n">
        <v>3</v>
      </c>
      <c r="E4" s="18" t="n">
        <v>120</v>
      </c>
      <c r="F4" s="19">
        <f>D4*E4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C2:C64" showDropDown="0" showInputMessage="0" showErrorMessage="0" allowBlank="1" type="list">
      <formula1>"Azulejos,Pintura,Grifería,Madera,Otros"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2" customWidth="1" min="4" max="4"/>
    <col width="18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Precio Unitario</t>
        </is>
      </c>
      <c r="F1" s="14" t="inlineStr">
        <is>
          <t>Total</t>
        </is>
      </c>
    </row>
    <row r="2">
      <c r="A2" s="15" t="n">
        <v>46037</v>
      </c>
      <c r="B2" s="16" t="inlineStr">
        <is>
          <t>Materiales</t>
        </is>
      </c>
      <c r="C2" s="16" t="inlineStr">
        <is>
          <t>Compra Azulejos</t>
        </is>
      </c>
      <c r="D2" s="17" t="n">
        <v>50</v>
      </c>
      <c r="E2" s="18" t="n">
        <v>12.5</v>
      </c>
      <c r="F2" s="19">
        <f>D2*E2</f>
        <v/>
      </c>
    </row>
    <row r="3">
      <c r="A3" s="15" t="n">
        <v>46038</v>
      </c>
      <c r="B3" s="16" t="inlineStr">
        <is>
          <t>Mano de Obra</t>
        </is>
      </c>
      <c r="C3" s="16" t="inlineStr">
        <is>
          <t>Pintor</t>
        </is>
      </c>
      <c r="D3" s="17" t="n">
        <v>8</v>
      </c>
      <c r="E3" s="18" t="n">
        <v>20</v>
      </c>
      <c r="F3" s="19">
        <f>D3*E3</f>
        <v/>
      </c>
    </row>
    <row r="4">
      <c r="A4" s="15" t="n">
        <v>46039</v>
      </c>
      <c r="B4" s="16" t="inlineStr">
        <is>
          <t>Transporte</t>
        </is>
      </c>
      <c r="C4" s="16" t="inlineStr">
        <is>
          <t>Flete</t>
        </is>
      </c>
      <c r="D4" s="17" t="n">
        <v>1</v>
      </c>
      <c r="E4" s="18" t="n">
        <v>150</v>
      </c>
      <c r="F4" s="19">
        <f>D4*E4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"Materiales,Mano de Obra,Transporte,Herramientas,Otros"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Control y Calculadora de Presupuestos para Talleres</dc:title>
  <dcterms:created xsi:type="dcterms:W3CDTF">2026-10-13T16:14:43Z</dcterms:created>
  <dcterms:modified xsi:type="dcterms:W3CDTF">2026-10-13T16:14:43Z</dcterms:modified>
</cp:coreProperties>
</file>