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Vendors" sheetId="3" state="visible" r:id="rId3"/>
    <sheet name="Pay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##"/>
    <numFmt numFmtId="167" formatCode="yyyy-mm-dd"/>
    <numFmt numFmtId="168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7" fillId="3" borderId="1" pivotButton="0" quotePrefix="0" xfId="0"/>
    <xf numFmtId="166" fontId="0" fillId="0" borderId="1" pivotButton="0" quotePrefix="0" xfId="0"/>
    <xf numFmtId="0" fontId="7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Allocation by Service Type</a:t>
            </a:r>
          </a:p>
        </rich>
      </tx>
    </title>
    <plotArea>
      <pieChart>
        <varyColors val="1"/>
        <ser>
          <idx val="0"/>
          <order val="0"/>
          <tx>
            <strRef>
              <f>'Vendors'!D1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'Vendors'!$B$2:$B$4</f>
            </numRef>
          </cat>
          <val>
            <numRef>
              <f>'Vendors'!$D$2:$D$4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endors_2748" displayName="T_Vendors_2748" ref="A1:I54" headerRowCount="1">
  <autoFilter ref="A1:I54"/>
  <tableColumns count="9">
    <tableColumn id="1" name="Vendor"/>
    <tableColumn id="2" name="Service"/>
    <tableColumn id="3" name="Contact"/>
    <tableColumn id="4" name="Quote"/>
    <tableColumn id="5" name="Deposit%"/>
    <tableColumn id="6" name="Deposit"/>
    <tableColumn id="7" name="Balance"/>
    <tableColumn id="8" name="Rating"/>
    <tableColumn id="9" name="Booked"/>
  </tableColumns>
  <tableStyleInfo name="TableStyleMedium7" showRowStripes="1"/>
</table>
</file>

<file path=xl/tables/table2.xml><?xml version="1.0" encoding="utf-8"?>
<table xmlns="http://schemas.openxmlformats.org/spreadsheetml/2006/main" id="2" name="T_Payments_3366" displayName="T_Payments_3366" ref="A1:F63" headerRowCount="1">
  <autoFilter ref="A1:F63"/>
  <tableColumns count="6">
    <tableColumn id="1" name="Date"/>
    <tableColumn id="2" name="Vendor"/>
    <tableColumn id="3" name="Amount"/>
    <tableColumn id="4" name="Type"/>
    <tableColumn id="5" name="Due Date"/>
    <tableColumn id="6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Vendors'!A1" TargetMode="External" Id="rId2" /><Relationship Type="http://schemas.openxmlformats.org/officeDocument/2006/relationships/hyperlink" Target="#'Payment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Wedding Vendor &amp; Budget Comparison Tracker</t>
        </is>
      </c>
    </row>
    <row r="3" ht="45" customHeight="1">
      <c r="C3" s="2" t="inlineStr">
        <is>
          <t>Compare vendors side-by-side and track deposits with automatic cost calculations. Save hours of spreadsheet work with this professional wedding planning tool.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wedding date and total budget</t>
        </is>
      </c>
    </row>
    <row r="7" ht="18" customHeight="1">
      <c r="B7" s="4" t="inlineStr">
        <is>
          <t>2.</t>
        </is>
      </c>
      <c r="C7" s="5" t="inlineStr">
        <is>
          <t>Add vendors with contact details and services</t>
        </is>
      </c>
    </row>
    <row r="8" ht="18" customHeight="1">
      <c r="B8" s="4" t="inlineStr">
        <is>
          <t>3.</t>
        </is>
      </c>
      <c r="C8" s="5" t="inlineStr">
        <is>
          <t>Input quotes with deposit requirements</t>
        </is>
      </c>
    </row>
    <row r="9" ht="18" customHeight="1">
      <c r="B9" s="4" t="inlineStr">
        <is>
          <t>4.</t>
        </is>
      </c>
      <c r="C9" s="5" t="inlineStr">
        <is>
          <t>Rank vendors by price/quality/availability</t>
        </is>
      </c>
    </row>
    <row r="10" ht="18" customHeight="1">
      <c r="B10" s="4" t="inlineStr">
        <is>
          <t>5.</t>
        </is>
      </c>
      <c r="C10" s="5" t="inlineStr">
        <is>
          <t>Track payments with due date reminders</t>
        </is>
      </c>
    </row>
    <row r="11" ht="18" customHeight="1">
      <c r="B11" s="4" t="inlineStr">
        <is>
          <t>6.</t>
        </is>
      </c>
      <c r="C11" s="5" t="inlineStr">
        <is>
          <t>Monitor budget allocation automatically</t>
        </is>
      </c>
    </row>
    <row r="12" ht="18" customHeight="1">
      <c r="B12" s="4" t="inlineStr">
        <is>
          <t>7.</t>
        </is>
      </c>
      <c r="C12" s="5" t="inlineStr">
        <is>
          <t>Print final comparison for decision making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Vendors</t>
        </is>
      </c>
    </row>
    <row r="19">
      <c r="C19" s="7" t="inlineStr">
        <is>
          <t>→ Payments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Wedding Vendor &amp; Budget Comparison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SUM(Vendors!D2:D50)</f>
        <v/>
      </c>
    </row>
    <row r="6" ht="24" customHeight="1">
      <c r="B6" s="11" t="inlineStr">
        <is>
          <t>Total Deposits</t>
        </is>
      </c>
      <c r="C6" s="12">
        <f>SUM(Payments!C2:C60)</f>
        <v/>
      </c>
    </row>
    <row r="7" ht="24" customHeight="1">
      <c r="B7" s="11" t="inlineStr">
        <is>
          <t>Top Vendor Rating</t>
        </is>
      </c>
      <c r="C7" s="13">
        <f>MAX(Vendors!H2:H50)</f>
        <v/>
      </c>
    </row>
    <row r="8" ht="24" customHeight="1">
      <c r="B8" s="11" t="inlineStr">
        <is>
          <t>Pending Payments</t>
        </is>
      </c>
      <c r="C8" s="14">
        <f>COUNTIF(Payments!F2:F60,"Pending")</f>
        <v/>
      </c>
    </row>
    <row r="9" ht="24" customHeight="1">
      <c r="B9" s="11" t="inlineStr">
        <is>
          <t>Avg Service Cost</t>
        </is>
      </c>
      <c r="C9" s="12">
        <f>AVERAGE(Vendors!D2:D50)</f>
        <v/>
      </c>
    </row>
    <row r="10" ht="24" customHeight="1">
      <c r="B10" s="11" t="inlineStr">
        <is>
          <t>Days Until Wedding</t>
        </is>
      </c>
      <c r="C10" s="14">
        <f>DATEDIF(TODAY(),Vendors!A1,"d")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25" customWidth="1" min="6" max="6"/>
    <col width="25" customWidth="1" min="7" max="7"/>
    <col width="12" customWidth="1" min="8" max="8"/>
    <col width="40" customWidth="1" min="9" max="9"/>
  </cols>
  <sheetData>
    <row r="1" ht="32" customHeight="1">
      <c r="A1" s="15" t="inlineStr">
        <is>
          <t>Vendor</t>
        </is>
      </c>
      <c r="B1" s="15" t="inlineStr">
        <is>
          <t>Service</t>
        </is>
      </c>
      <c r="C1" s="15" t="inlineStr">
        <is>
          <t>Contact</t>
        </is>
      </c>
      <c r="D1" s="15" t="inlineStr">
        <is>
          <t>Quote</t>
        </is>
      </c>
      <c r="E1" s="15" t="inlineStr">
        <is>
          <t>Deposit%</t>
        </is>
      </c>
      <c r="F1" s="15" t="inlineStr">
        <is>
          <t>Deposit</t>
        </is>
      </c>
      <c r="G1" s="15" t="inlineStr">
        <is>
          <t>Balance</t>
        </is>
      </c>
      <c r="H1" s="15" t="inlineStr">
        <is>
          <t>Rating</t>
        </is>
      </c>
      <c r="I1" s="15" t="inlineStr">
        <is>
          <t>Booked</t>
        </is>
      </c>
    </row>
    <row r="2">
      <c r="A2" s="16" t="inlineStr">
        <is>
          <t>Rose Garden</t>
        </is>
      </c>
      <c r="B2" s="16" t="inlineStr">
        <is>
          <t>Venue</t>
        </is>
      </c>
      <c r="C2" s="16" t="inlineStr">
        <is>
          <t>555-1234</t>
        </is>
      </c>
      <c r="D2" s="17" t="n">
        <v>5000</v>
      </c>
      <c r="E2" s="18" t="n">
        <v>0.3</v>
      </c>
      <c r="F2" s="19">
        <f>D2*E2</f>
        <v/>
      </c>
      <c r="G2" s="19">
        <f>D2-F2</f>
        <v/>
      </c>
      <c r="H2" s="20" t="n">
        <v>4.8</v>
      </c>
      <c r="I2" s="21">
        <f>IF(H2&gt;4.5,"Pending","Rejected")</f>
        <v/>
      </c>
    </row>
    <row r="3">
      <c r="A3" s="16" t="inlineStr">
        <is>
          <t>Luminous Photos</t>
        </is>
      </c>
      <c r="B3" s="16" t="inlineStr">
        <is>
          <t>Photography</t>
        </is>
      </c>
      <c r="C3" s="16" t="inlineStr">
        <is>
          <t>555-9876</t>
        </is>
      </c>
      <c r="D3" s="17" t="n">
        <v>3200</v>
      </c>
      <c r="E3" s="18" t="n">
        <v>0.25</v>
      </c>
      <c r="F3" s="19">
        <f>D3*E3</f>
        <v/>
      </c>
      <c r="G3" s="19">
        <f>D3-F3</f>
        <v/>
      </c>
      <c r="H3" s="20" t="n">
        <v>4.9</v>
      </c>
      <c r="I3" s="21">
        <f>IF(H3&gt;4.5,"Pending","Rejected")</f>
        <v/>
      </c>
    </row>
    <row r="4">
      <c r="A4" s="16" t="inlineStr">
        <is>
          <t>Gourmet Delight</t>
        </is>
      </c>
      <c r="B4" s="16" t="inlineStr">
        <is>
          <t>Catering</t>
        </is>
      </c>
      <c r="C4" s="16" t="inlineStr">
        <is>
          <t>555-4567</t>
        </is>
      </c>
      <c r="D4" s="17" t="n">
        <v>4200</v>
      </c>
      <c r="E4" s="18" t="n">
        <v>0.2</v>
      </c>
      <c r="F4" s="19">
        <f>D4*E4</f>
        <v/>
      </c>
      <c r="G4" s="19">
        <f>D4-F4</f>
        <v/>
      </c>
      <c r="H4" s="20" t="n">
        <v>4.7</v>
      </c>
      <c r="I4" s="21">
        <f>IF(H4&gt;4.5,"Pending","Rejected")</f>
        <v/>
      </c>
    </row>
    <row r="5">
      <c r="A5" s="16" t="n"/>
      <c r="B5" s="16" t="n"/>
      <c r="C5" s="16" t="n"/>
      <c r="D5" s="17" t="n"/>
      <c r="E5" s="18" t="n"/>
      <c r="F5" s="19">
        <f>IF(A5="","",D5*E5)</f>
        <v/>
      </c>
      <c r="G5" s="19">
        <f>IF(A5="","",D5-F5)</f>
        <v/>
      </c>
      <c r="H5" s="20" t="n"/>
      <c r="I5" s="21">
        <f>IF(A5="","",IF(H5&gt;4.5,"Pending","Rejected"))</f>
        <v/>
      </c>
    </row>
    <row r="6">
      <c r="A6" s="16" t="n"/>
      <c r="B6" s="16" t="n"/>
      <c r="C6" s="16" t="n"/>
      <c r="D6" s="17" t="n"/>
      <c r="E6" s="18" t="n"/>
      <c r="F6" s="19">
        <f>IF(A6="","",D6*E6)</f>
        <v/>
      </c>
      <c r="G6" s="19">
        <f>IF(A6="","",D6-F6)</f>
        <v/>
      </c>
      <c r="H6" s="20" t="n"/>
      <c r="I6" s="21">
        <f>IF(A6="","",IF(H6&gt;4.5,"Pending","Rejected"))</f>
        <v/>
      </c>
    </row>
    <row r="7">
      <c r="A7" s="16" t="n"/>
      <c r="B7" s="16" t="n"/>
      <c r="C7" s="16" t="n"/>
      <c r="D7" s="17" t="n"/>
      <c r="E7" s="18" t="n"/>
      <c r="F7" s="19">
        <f>IF(A7="","",D7*E7)</f>
        <v/>
      </c>
      <c r="G7" s="19">
        <f>IF(A7="","",D7-F7)</f>
        <v/>
      </c>
      <c r="H7" s="20" t="n"/>
      <c r="I7" s="21">
        <f>IF(A7="","",IF(H7&gt;4.5,"Pending","Rejected"))</f>
        <v/>
      </c>
    </row>
    <row r="8">
      <c r="A8" s="16" t="n"/>
      <c r="B8" s="16" t="n"/>
      <c r="C8" s="16" t="n"/>
      <c r="D8" s="17" t="n"/>
      <c r="E8" s="18" t="n"/>
      <c r="F8" s="19">
        <f>IF(A8="","",D8*E8)</f>
        <v/>
      </c>
      <c r="G8" s="19">
        <f>IF(A8="","",D8-F8)</f>
        <v/>
      </c>
      <c r="H8" s="20" t="n"/>
      <c r="I8" s="21">
        <f>IF(A8="","",IF(H8&gt;4.5,"Pending","Rejected"))</f>
        <v/>
      </c>
    </row>
    <row r="9">
      <c r="A9" s="16" t="n"/>
      <c r="B9" s="16" t="n"/>
      <c r="C9" s="16" t="n"/>
      <c r="D9" s="17" t="n"/>
      <c r="E9" s="18" t="n"/>
      <c r="F9" s="19">
        <f>IF(A9="","",D9*E9)</f>
        <v/>
      </c>
      <c r="G9" s="19">
        <f>IF(A9="","",D9-F9)</f>
        <v/>
      </c>
      <c r="H9" s="20" t="n"/>
      <c r="I9" s="21">
        <f>IF(A9="","",IF(H9&gt;4.5,"Pending","Rejected"))</f>
        <v/>
      </c>
    </row>
    <row r="10">
      <c r="A10" s="16" t="n"/>
      <c r="B10" s="16" t="n"/>
      <c r="C10" s="16" t="n"/>
      <c r="D10" s="17" t="n"/>
      <c r="E10" s="18" t="n"/>
      <c r="F10" s="19">
        <f>IF(A10="","",D10*E10)</f>
        <v/>
      </c>
      <c r="G10" s="19">
        <f>IF(A10="","",D10-F10)</f>
        <v/>
      </c>
      <c r="H10" s="20" t="n"/>
      <c r="I10" s="21">
        <f>IF(A10="","",IF(H10&gt;4.5,"Pending","Rejected"))</f>
        <v/>
      </c>
    </row>
    <row r="11">
      <c r="A11" s="16" t="n"/>
      <c r="B11" s="16" t="n"/>
      <c r="C11" s="16" t="n"/>
      <c r="D11" s="17" t="n"/>
      <c r="E11" s="18" t="n"/>
      <c r="F11" s="19">
        <f>IF(A11="","",D11*E11)</f>
        <v/>
      </c>
      <c r="G11" s="19">
        <f>IF(A11="","",D11-F11)</f>
        <v/>
      </c>
      <c r="H11" s="20" t="n"/>
      <c r="I11" s="21">
        <f>IF(A11="","",IF(H11&gt;4.5,"Pending","Rejected"))</f>
        <v/>
      </c>
    </row>
    <row r="12">
      <c r="A12" s="16" t="n"/>
      <c r="B12" s="16" t="n"/>
      <c r="C12" s="16" t="n"/>
      <c r="D12" s="17" t="n"/>
      <c r="E12" s="18" t="n"/>
      <c r="F12" s="19">
        <f>IF(A12="","",D12*E12)</f>
        <v/>
      </c>
      <c r="G12" s="19">
        <f>IF(A12="","",D12-F12)</f>
        <v/>
      </c>
      <c r="H12" s="20" t="n"/>
      <c r="I12" s="21">
        <f>IF(A12="","",IF(H12&gt;4.5,"Pending","Rejected"))</f>
        <v/>
      </c>
    </row>
    <row r="13">
      <c r="A13" s="16" t="n"/>
      <c r="B13" s="16" t="n"/>
      <c r="C13" s="16" t="n"/>
      <c r="D13" s="17" t="n"/>
      <c r="E13" s="18" t="n"/>
      <c r="F13" s="19">
        <f>IF(A13="","",D13*E13)</f>
        <v/>
      </c>
      <c r="G13" s="19">
        <f>IF(A13="","",D13-F13)</f>
        <v/>
      </c>
      <c r="H13" s="20" t="n"/>
      <c r="I13" s="21">
        <f>IF(A13="","",IF(H13&gt;4.5,"Pending","Rejected"))</f>
        <v/>
      </c>
    </row>
    <row r="14">
      <c r="A14" s="16" t="n"/>
      <c r="B14" s="16" t="n"/>
      <c r="C14" s="16" t="n"/>
      <c r="D14" s="17" t="n"/>
      <c r="E14" s="18" t="n"/>
      <c r="F14" s="19">
        <f>IF(A14="","",D14*E14)</f>
        <v/>
      </c>
      <c r="G14" s="19">
        <f>IF(A14="","",D14-F14)</f>
        <v/>
      </c>
      <c r="H14" s="20" t="n"/>
      <c r="I14" s="21">
        <f>IF(A14="","",IF(H14&gt;4.5,"Pending","Rejected"))</f>
        <v/>
      </c>
    </row>
    <row r="15">
      <c r="A15" s="16" t="n"/>
      <c r="B15" s="16" t="n"/>
      <c r="C15" s="16" t="n"/>
      <c r="D15" s="17" t="n"/>
      <c r="E15" s="18" t="n"/>
      <c r="F15" s="19">
        <f>IF(A15="","",D15*E15)</f>
        <v/>
      </c>
      <c r="G15" s="19">
        <f>IF(A15="","",D15-F15)</f>
        <v/>
      </c>
      <c r="H15" s="20" t="n"/>
      <c r="I15" s="21">
        <f>IF(A15="","",IF(H15&gt;4.5,"Pending","Rejected"))</f>
        <v/>
      </c>
    </row>
    <row r="16">
      <c r="A16" s="16" t="n"/>
      <c r="B16" s="16" t="n"/>
      <c r="C16" s="16" t="n"/>
      <c r="D16" s="17" t="n"/>
      <c r="E16" s="18" t="n"/>
      <c r="F16" s="19">
        <f>IF(A16="","",D16*E16)</f>
        <v/>
      </c>
      <c r="G16" s="19">
        <f>IF(A16="","",D16-F16)</f>
        <v/>
      </c>
      <c r="H16" s="20" t="n"/>
      <c r="I16" s="21">
        <f>IF(A16="","",IF(H16&gt;4.5,"Pending","Rejected"))</f>
        <v/>
      </c>
    </row>
    <row r="17">
      <c r="A17" s="16" t="n"/>
      <c r="B17" s="16" t="n"/>
      <c r="C17" s="16" t="n"/>
      <c r="D17" s="17" t="n"/>
      <c r="E17" s="18" t="n"/>
      <c r="F17" s="19">
        <f>IF(A17="","",D17*E17)</f>
        <v/>
      </c>
      <c r="G17" s="19">
        <f>IF(A17="","",D17-F17)</f>
        <v/>
      </c>
      <c r="H17" s="20" t="n"/>
      <c r="I17" s="21">
        <f>IF(A17="","",IF(H17&gt;4.5,"Pending","Rejected"))</f>
        <v/>
      </c>
    </row>
    <row r="18">
      <c r="A18" s="16" t="n"/>
      <c r="B18" s="16" t="n"/>
      <c r="C18" s="16" t="n"/>
      <c r="D18" s="17" t="n"/>
      <c r="E18" s="18" t="n"/>
      <c r="F18" s="19">
        <f>IF(A18="","",D18*E18)</f>
        <v/>
      </c>
      <c r="G18" s="19">
        <f>IF(A18="","",D18-F18)</f>
        <v/>
      </c>
      <c r="H18" s="20" t="n"/>
      <c r="I18" s="21">
        <f>IF(A18="","",IF(H18&gt;4.5,"Pending","Rejected"))</f>
        <v/>
      </c>
    </row>
    <row r="19">
      <c r="A19" s="16" t="n"/>
      <c r="B19" s="16" t="n"/>
      <c r="C19" s="16" t="n"/>
      <c r="D19" s="17" t="n"/>
      <c r="E19" s="18" t="n"/>
      <c r="F19" s="19">
        <f>IF(A19="","",D19*E19)</f>
        <v/>
      </c>
      <c r="G19" s="19">
        <f>IF(A19="","",D19-F19)</f>
        <v/>
      </c>
      <c r="H19" s="20" t="n"/>
      <c r="I19" s="21">
        <f>IF(A19="","",IF(H19&gt;4.5,"Pending","Rejected"))</f>
        <v/>
      </c>
    </row>
    <row r="20">
      <c r="A20" s="16" t="n"/>
      <c r="B20" s="16" t="n"/>
      <c r="C20" s="16" t="n"/>
      <c r="D20" s="17" t="n"/>
      <c r="E20" s="18" t="n"/>
      <c r="F20" s="19">
        <f>IF(A20="","",D20*E20)</f>
        <v/>
      </c>
      <c r="G20" s="19">
        <f>IF(A20="","",D20-F20)</f>
        <v/>
      </c>
      <c r="H20" s="20" t="n"/>
      <c r="I20" s="21">
        <f>IF(A20="","",IF(H20&gt;4.5,"Pending","Rejected"))</f>
        <v/>
      </c>
    </row>
    <row r="21">
      <c r="A21" s="16" t="n"/>
      <c r="B21" s="16" t="n"/>
      <c r="C21" s="16" t="n"/>
      <c r="D21" s="17" t="n"/>
      <c r="E21" s="18" t="n"/>
      <c r="F21" s="19">
        <f>IF(A21="","",D21*E21)</f>
        <v/>
      </c>
      <c r="G21" s="19">
        <f>IF(A21="","",D21-F21)</f>
        <v/>
      </c>
      <c r="H21" s="20" t="n"/>
      <c r="I21" s="21">
        <f>IF(A21="","",IF(H21&gt;4.5,"Pending","Rejected"))</f>
        <v/>
      </c>
    </row>
    <row r="22">
      <c r="A22" s="16" t="n"/>
      <c r="B22" s="16" t="n"/>
      <c r="C22" s="16" t="n"/>
      <c r="D22" s="17" t="n"/>
      <c r="E22" s="18" t="n"/>
      <c r="F22" s="19">
        <f>IF(A22="","",D22*E22)</f>
        <v/>
      </c>
      <c r="G22" s="19">
        <f>IF(A22="","",D22-F22)</f>
        <v/>
      </c>
      <c r="H22" s="20" t="n"/>
      <c r="I22" s="21">
        <f>IF(A22="","",IF(H22&gt;4.5,"Pending","Rejected"))</f>
        <v/>
      </c>
    </row>
    <row r="23">
      <c r="A23" s="16" t="n"/>
      <c r="B23" s="16" t="n"/>
      <c r="C23" s="16" t="n"/>
      <c r="D23" s="17" t="n"/>
      <c r="E23" s="18" t="n"/>
      <c r="F23" s="19">
        <f>IF(A23="","",D23*E23)</f>
        <v/>
      </c>
      <c r="G23" s="19">
        <f>IF(A23="","",D23-F23)</f>
        <v/>
      </c>
      <c r="H23" s="20" t="n"/>
      <c r="I23" s="21">
        <f>IF(A23="","",IF(H23&gt;4.5,"Pending","Rejected"))</f>
        <v/>
      </c>
    </row>
    <row r="24">
      <c r="A24" s="16" t="n"/>
      <c r="B24" s="16" t="n"/>
      <c r="C24" s="16" t="n"/>
      <c r="D24" s="17" t="n"/>
      <c r="E24" s="18" t="n"/>
      <c r="F24" s="19">
        <f>IF(A24="","",D24*E24)</f>
        <v/>
      </c>
      <c r="G24" s="19">
        <f>IF(A24="","",D24-F24)</f>
        <v/>
      </c>
      <c r="H24" s="20" t="n"/>
      <c r="I24" s="21">
        <f>IF(A24="","",IF(H24&gt;4.5,"Pending","Rejected"))</f>
        <v/>
      </c>
    </row>
    <row r="25">
      <c r="A25" s="16" t="n"/>
      <c r="B25" s="16" t="n"/>
      <c r="C25" s="16" t="n"/>
      <c r="D25" s="17" t="n"/>
      <c r="E25" s="18" t="n"/>
      <c r="F25" s="19">
        <f>IF(A25="","",D25*E25)</f>
        <v/>
      </c>
      <c r="G25" s="19">
        <f>IF(A25="","",D25-F25)</f>
        <v/>
      </c>
      <c r="H25" s="20" t="n"/>
      <c r="I25" s="21">
        <f>IF(A25="","",IF(H25&gt;4.5,"Pending","Rejected"))</f>
        <v/>
      </c>
    </row>
    <row r="26">
      <c r="A26" s="16" t="n"/>
      <c r="B26" s="16" t="n"/>
      <c r="C26" s="16" t="n"/>
      <c r="D26" s="17" t="n"/>
      <c r="E26" s="18" t="n"/>
      <c r="F26" s="19">
        <f>IF(A26="","",D26*E26)</f>
        <v/>
      </c>
      <c r="G26" s="19">
        <f>IF(A26="","",D26-F26)</f>
        <v/>
      </c>
      <c r="H26" s="20" t="n"/>
      <c r="I26" s="21">
        <f>IF(A26="","",IF(H26&gt;4.5,"Pending","Rejected"))</f>
        <v/>
      </c>
    </row>
    <row r="27">
      <c r="A27" s="16" t="n"/>
      <c r="B27" s="16" t="n"/>
      <c r="C27" s="16" t="n"/>
      <c r="D27" s="17" t="n"/>
      <c r="E27" s="18" t="n"/>
      <c r="F27" s="19">
        <f>IF(A27="","",D27*E27)</f>
        <v/>
      </c>
      <c r="G27" s="19">
        <f>IF(A27="","",D27-F27)</f>
        <v/>
      </c>
      <c r="H27" s="20" t="n"/>
      <c r="I27" s="21">
        <f>IF(A27="","",IF(H27&gt;4.5,"Pending","Rejected"))</f>
        <v/>
      </c>
    </row>
    <row r="28">
      <c r="A28" s="16" t="n"/>
      <c r="B28" s="16" t="n"/>
      <c r="C28" s="16" t="n"/>
      <c r="D28" s="17" t="n"/>
      <c r="E28" s="18" t="n"/>
      <c r="F28" s="19">
        <f>IF(A28="","",D28*E28)</f>
        <v/>
      </c>
      <c r="G28" s="19">
        <f>IF(A28="","",D28-F28)</f>
        <v/>
      </c>
      <c r="H28" s="20" t="n"/>
      <c r="I28" s="21">
        <f>IF(A28="","",IF(H28&gt;4.5,"Pending","Rejected"))</f>
        <v/>
      </c>
    </row>
    <row r="29">
      <c r="A29" s="16" t="n"/>
      <c r="B29" s="16" t="n"/>
      <c r="C29" s="16" t="n"/>
      <c r="D29" s="17" t="n"/>
      <c r="E29" s="18" t="n"/>
      <c r="F29" s="19">
        <f>IF(A29="","",D29*E29)</f>
        <v/>
      </c>
      <c r="G29" s="19">
        <f>IF(A29="","",D29-F29)</f>
        <v/>
      </c>
      <c r="H29" s="20" t="n"/>
      <c r="I29" s="21">
        <f>IF(A29="","",IF(H29&gt;4.5,"Pending","Rejected"))</f>
        <v/>
      </c>
    </row>
    <row r="30">
      <c r="A30" s="16" t="n"/>
      <c r="B30" s="16" t="n"/>
      <c r="C30" s="16" t="n"/>
      <c r="D30" s="17" t="n"/>
      <c r="E30" s="18" t="n"/>
      <c r="F30" s="19">
        <f>IF(A30="","",D30*E30)</f>
        <v/>
      </c>
      <c r="G30" s="19">
        <f>IF(A30="","",D30-F30)</f>
        <v/>
      </c>
      <c r="H30" s="20" t="n"/>
      <c r="I30" s="21">
        <f>IF(A30="","",IF(H30&gt;4.5,"Pending","Rejected"))</f>
        <v/>
      </c>
    </row>
    <row r="31">
      <c r="A31" s="16" t="n"/>
      <c r="B31" s="16" t="n"/>
      <c r="C31" s="16" t="n"/>
      <c r="D31" s="17" t="n"/>
      <c r="E31" s="18" t="n"/>
      <c r="F31" s="19">
        <f>IF(A31="","",D31*E31)</f>
        <v/>
      </c>
      <c r="G31" s="19">
        <f>IF(A31="","",D31-F31)</f>
        <v/>
      </c>
      <c r="H31" s="20" t="n"/>
      <c r="I31" s="21">
        <f>IF(A31="","",IF(H31&gt;4.5,"Pending","Rejected"))</f>
        <v/>
      </c>
    </row>
    <row r="32">
      <c r="A32" s="16" t="n"/>
      <c r="B32" s="16" t="n"/>
      <c r="C32" s="16" t="n"/>
      <c r="D32" s="17" t="n"/>
      <c r="E32" s="18" t="n"/>
      <c r="F32" s="19">
        <f>IF(A32="","",D32*E32)</f>
        <v/>
      </c>
      <c r="G32" s="19">
        <f>IF(A32="","",D32-F32)</f>
        <v/>
      </c>
      <c r="H32" s="20" t="n"/>
      <c r="I32" s="21">
        <f>IF(A32="","",IF(H32&gt;4.5,"Pending","Rejected"))</f>
        <v/>
      </c>
    </row>
    <row r="33">
      <c r="A33" s="16" t="n"/>
      <c r="B33" s="16" t="n"/>
      <c r="C33" s="16" t="n"/>
      <c r="D33" s="17" t="n"/>
      <c r="E33" s="18" t="n"/>
      <c r="F33" s="19">
        <f>IF(A33="","",D33*E33)</f>
        <v/>
      </c>
      <c r="G33" s="19">
        <f>IF(A33="","",D33-F33)</f>
        <v/>
      </c>
      <c r="H33" s="20" t="n"/>
      <c r="I33" s="21">
        <f>IF(A33="","",IF(H33&gt;4.5,"Pending","Rejected"))</f>
        <v/>
      </c>
    </row>
    <row r="34">
      <c r="A34" s="16" t="n"/>
      <c r="B34" s="16" t="n"/>
      <c r="C34" s="16" t="n"/>
      <c r="D34" s="17" t="n"/>
      <c r="E34" s="18" t="n"/>
      <c r="F34" s="19">
        <f>IF(A34="","",D34*E34)</f>
        <v/>
      </c>
      <c r="G34" s="19">
        <f>IF(A34="","",D34-F34)</f>
        <v/>
      </c>
      <c r="H34" s="20" t="n"/>
      <c r="I34" s="21">
        <f>IF(A34="","",IF(H34&gt;4.5,"Pending","Rejected"))</f>
        <v/>
      </c>
    </row>
    <row r="35">
      <c r="A35" s="16" t="n"/>
      <c r="B35" s="16" t="n"/>
      <c r="C35" s="16" t="n"/>
      <c r="D35" s="17" t="n"/>
      <c r="E35" s="18" t="n"/>
      <c r="F35" s="19">
        <f>IF(A35="","",D35*E35)</f>
        <v/>
      </c>
      <c r="G35" s="19">
        <f>IF(A35="","",D35-F35)</f>
        <v/>
      </c>
      <c r="H35" s="20" t="n"/>
      <c r="I35" s="21">
        <f>IF(A35="","",IF(H35&gt;4.5,"Pending","Rejected"))</f>
        <v/>
      </c>
    </row>
    <row r="36">
      <c r="A36" s="16" t="n"/>
      <c r="B36" s="16" t="n"/>
      <c r="C36" s="16" t="n"/>
      <c r="D36" s="17" t="n"/>
      <c r="E36" s="18" t="n"/>
      <c r="F36" s="19">
        <f>IF(A36="","",D36*E36)</f>
        <v/>
      </c>
      <c r="G36" s="19">
        <f>IF(A36="","",D36-F36)</f>
        <v/>
      </c>
      <c r="H36" s="20" t="n"/>
      <c r="I36" s="21">
        <f>IF(A36="","",IF(H36&gt;4.5,"Pending","Rejected"))</f>
        <v/>
      </c>
    </row>
    <row r="37">
      <c r="A37" s="16" t="n"/>
      <c r="B37" s="16" t="n"/>
      <c r="C37" s="16" t="n"/>
      <c r="D37" s="17" t="n"/>
      <c r="E37" s="18" t="n"/>
      <c r="F37" s="19">
        <f>IF(A37="","",D37*E37)</f>
        <v/>
      </c>
      <c r="G37" s="19">
        <f>IF(A37="","",D37-F37)</f>
        <v/>
      </c>
      <c r="H37" s="20" t="n"/>
      <c r="I37" s="21">
        <f>IF(A37="","",IF(H37&gt;4.5,"Pending","Rejected"))</f>
        <v/>
      </c>
    </row>
    <row r="38">
      <c r="A38" s="16" t="n"/>
      <c r="B38" s="16" t="n"/>
      <c r="C38" s="16" t="n"/>
      <c r="D38" s="17" t="n"/>
      <c r="E38" s="18" t="n"/>
      <c r="F38" s="19">
        <f>IF(A38="","",D38*E38)</f>
        <v/>
      </c>
      <c r="G38" s="19">
        <f>IF(A38="","",D38-F38)</f>
        <v/>
      </c>
      <c r="H38" s="20" t="n"/>
      <c r="I38" s="21">
        <f>IF(A38="","",IF(H38&gt;4.5,"Pending","Rejected"))</f>
        <v/>
      </c>
    </row>
    <row r="39">
      <c r="A39" s="16" t="n"/>
      <c r="B39" s="16" t="n"/>
      <c r="C39" s="16" t="n"/>
      <c r="D39" s="17" t="n"/>
      <c r="E39" s="18" t="n"/>
      <c r="F39" s="19">
        <f>IF(A39="","",D39*E39)</f>
        <v/>
      </c>
      <c r="G39" s="19">
        <f>IF(A39="","",D39-F39)</f>
        <v/>
      </c>
      <c r="H39" s="20" t="n"/>
      <c r="I39" s="21">
        <f>IF(A39="","",IF(H39&gt;4.5,"Pending","Rejected"))</f>
        <v/>
      </c>
    </row>
    <row r="40">
      <c r="A40" s="16" t="n"/>
      <c r="B40" s="16" t="n"/>
      <c r="C40" s="16" t="n"/>
      <c r="D40" s="17" t="n"/>
      <c r="E40" s="18" t="n"/>
      <c r="F40" s="19">
        <f>IF(A40="","",D40*E40)</f>
        <v/>
      </c>
      <c r="G40" s="19">
        <f>IF(A40="","",D40-F40)</f>
        <v/>
      </c>
      <c r="H40" s="20" t="n"/>
      <c r="I40" s="21">
        <f>IF(A40="","",IF(H40&gt;4.5,"Pending","Rejected"))</f>
        <v/>
      </c>
    </row>
    <row r="41">
      <c r="A41" s="16" t="n"/>
      <c r="B41" s="16" t="n"/>
      <c r="C41" s="16" t="n"/>
      <c r="D41" s="17" t="n"/>
      <c r="E41" s="18" t="n"/>
      <c r="F41" s="19">
        <f>IF(A41="","",D41*E41)</f>
        <v/>
      </c>
      <c r="G41" s="19">
        <f>IF(A41="","",D41-F41)</f>
        <v/>
      </c>
      <c r="H41" s="20" t="n"/>
      <c r="I41" s="21">
        <f>IF(A41="","",IF(H41&gt;4.5,"Pending","Rejected"))</f>
        <v/>
      </c>
    </row>
    <row r="42">
      <c r="A42" s="16" t="n"/>
      <c r="B42" s="16" t="n"/>
      <c r="C42" s="16" t="n"/>
      <c r="D42" s="17" t="n"/>
      <c r="E42" s="18" t="n"/>
      <c r="F42" s="19">
        <f>IF(A42="","",D42*E42)</f>
        <v/>
      </c>
      <c r="G42" s="19">
        <f>IF(A42="","",D42-F42)</f>
        <v/>
      </c>
      <c r="H42" s="20" t="n"/>
      <c r="I42" s="21">
        <f>IF(A42="","",IF(H42&gt;4.5,"Pending","Rejected"))</f>
        <v/>
      </c>
    </row>
    <row r="43">
      <c r="A43" s="16" t="n"/>
      <c r="B43" s="16" t="n"/>
      <c r="C43" s="16" t="n"/>
      <c r="D43" s="17" t="n"/>
      <c r="E43" s="18" t="n"/>
      <c r="F43" s="19">
        <f>IF(A43="","",D43*E43)</f>
        <v/>
      </c>
      <c r="G43" s="19">
        <f>IF(A43="","",D43-F43)</f>
        <v/>
      </c>
      <c r="H43" s="20" t="n"/>
      <c r="I43" s="21">
        <f>IF(A43="","",IF(H43&gt;4.5,"Pending","Rejected"))</f>
        <v/>
      </c>
    </row>
    <row r="44">
      <c r="A44" s="16" t="n"/>
      <c r="B44" s="16" t="n"/>
      <c r="C44" s="16" t="n"/>
      <c r="D44" s="17" t="n"/>
      <c r="E44" s="18" t="n"/>
      <c r="F44" s="19">
        <f>IF(A44="","",D44*E44)</f>
        <v/>
      </c>
      <c r="G44" s="19">
        <f>IF(A44="","",D44-F44)</f>
        <v/>
      </c>
      <c r="H44" s="20" t="n"/>
      <c r="I44" s="21">
        <f>IF(A44="","",IF(H44&gt;4.5,"Pending","Rejected"))</f>
        <v/>
      </c>
    </row>
    <row r="45">
      <c r="A45" s="16" t="n"/>
      <c r="B45" s="16" t="n"/>
      <c r="C45" s="16" t="n"/>
      <c r="D45" s="17" t="n"/>
      <c r="E45" s="18" t="n"/>
      <c r="F45" s="19">
        <f>IF(A45="","",D45*E45)</f>
        <v/>
      </c>
      <c r="G45" s="19">
        <f>IF(A45="","",D45-F45)</f>
        <v/>
      </c>
      <c r="H45" s="20" t="n"/>
      <c r="I45" s="21">
        <f>IF(A45="","",IF(H45&gt;4.5,"Pending","Rejected"))</f>
        <v/>
      </c>
    </row>
    <row r="46">
      <c r="A46" s="16" t="n"/>
      <c r="B46" s="16" t="n"/>
      <c r="C46" s="16" t="n"/>
      <c r="D46" s="17" t="n"/>
      <c r="E46" s="18" t="n"/>
      <c r="F46" s="19">
        <f>IF(A46="","",D46*E46)</f>
        <v/>
      </c>
      <c r="G46" s="19">
        <f>IF(A46="","",D46-F46)</f>
        <v/>
      </c>
      <c r="H46" s="20" t="n"/>
      <c r="I46" s="21">
        <f>IF(A46="","",IF(H46&gt;4.5,"Pending","Rejected"))</f>
        <v/>
      </c>
    </row>
    <row r="47">
      <c r="A47" s="16" t="n"/>
      <c r="B47" s="16" t="n"/>
      <c r="C47" s="16" t="n"/>
      <c r="D47" s="17" t="n"/>
      <c r="E47" s="18" t="n"/>
      <c r="F47" s="19">
        <f>IF(A47="","",D47*E47)</f>
        <v/>
      </c>
      <c r="G47" s="19">
        <f>IF(A47="","",D47-F47)</f>
        <v/>
      </c>
      <c r="H47" s="20" t="n"/>
      <c r="I47" s="21">
        <f>IF(A47="","",IF(H47&gt;4.5,"Pending","Rejected"))</f>
        <v/>
      </c>
    </row>
    <row r="48">
      <c r="A48" s="16" t="n"/>
      <c r="B48" s="16" t="n"/>
      <c r="C48" s="16" t="n"/>
      <c r="D48" s="17" t="n"/>
      <c r="E48" s="18" t="n"/>
      <c r="F48" s="19">
        <f>IF(A48="","",D48*E48)</f>
        <v/>
      </c>
      <c r="G48" s="19">
        <f>IF(A48="","",D48-F48)</f>
        <v/>
      </c>
      <c r="H48" s="20" t="n"/>
      <c r="I48" s="21">
        <f>IF(A48="","",IF(H48&gt;4.5,"Pending","Rejected"))</f>
        <v/>
      </c>
    </row>
    <row r="49">
      <c r="A49" s="16" t="n"/>
      <c r="B49" s="16" t="n"/>
      <c r="C49" s="16" t="n"/>
      <c r="D49" s="17" t="n"/>
      <c r="E49" s="18" t="n"/>
      <c r="F49" s="19">
        <f>IF(A49="","",D49*E49)</f>
        <v/>
      </c>
      <c r="G49" s="19">
        <f>IF(A49="","",D49-F49)</f>
        <v/>
      </c>
      <c r="H49" s="20" t="n"/>
      <c r="I49" s="21">
        <f>IF(A49="","",IF(H49&gt;4.5,"Pending","Rejected"))</f>
        <v/>
      </c>
    </row>
    <row r="50">
      <c r="A50" s="16" t="n"/>
      <c r="B50" s="16" t="n"/>
      <c r="C50" s="16" t="n"/>
      <c r="D50" s="17" t="n"/>
      <c r="E50" s="18" t="n"/>
      <c r="F50" s="19">
        <f>IF(A50="","",D50*E50)</f>
        <v/>
      </c>
      <c r="G50" s="19">
        <f>IF(A50="","",D50-F50)</f>
        <v/>
      </c>
      <c r="H50" s="20" t="n"/>
      <c r="I50" s="21">
        <f>IF(A50="","",IF(H50&gt;4.5,"Pending","Rejected"))</f>
        <v/>
      </c>
    </row>
    <row r="51">
      <c r="A51" s="16" t="n"/>
      <c r="B51" s="16" t="n"/>
      <c r="C51" s="16" t="n"/>
      <c r="D51" s="17" t="n"/>
      <c r="E51" s="18" t="n"/>
      <c r="F51" s="19">
        <f>IF(A51="","",D51*E51)</f>
        <v/>
      </c>
      <c r="G51" s="19">
        <f>IF(A51="","",D51-F51)</f>
        <v/>
      </c>
      <c r="H51" s="20" t="n"/>
      <c r="I51" s="21">
        <f>IF(A51="","",IF(H51&gt;4.5,"Pending","Rejected"))</f>
        <v/>
      </c>
    </row>
    <row r="52">
      <c r="A52" s="16" t="n"/>
      <c r="B52" s="16" t="n"/>
      <c r="C52" s="16" t="n"/>
      <c r="D52" s="17" t="n"/>
      <c r="E52" s="18" t="n"/>
      <c r="F52" s="19">
        <f>IF(A52="","",D52*E52)</f>
        <v/>
      </c>
      <c r="G52" s="19">
        <f>IF(A52="","",D52-F52)</f>
        <v/>
      </c>
      <c r="H52" s="20" t="n"/>
      <c r="I52" s="21">
        <f>IF(A52="","",IF(H52&gt;4.5,"Pending","Rejected"))</f>
        <v/>
      </c>
    </row>
    <row r="53">
      <c r="A53" s="16" t="n"/>
      <c r="B53" s="16" t="n"/>
      <c r="C53" s="16" t="n"/>
      <c r="D53" s="17" t="n"/>
      <c r="E53" s="18" t="n"/>
      <c r="F53" s="19">
        <f>IF(A53="","",D53*E53)</f>
        <v/>
      </c>
      <c r="G53" s="19">
        <f>IF(A53="","",D53-F53)</f>
        <v/>
      </c>
      <c r="H53" s="20" t="n"/>
      <c r="I53" s="21">
        <f>IF(A53="","",IF(H53&gt;4.5,"Pending","Rejected"))</f>
        <v/>
      </c>
    </row>
    <row r="54">
      <c r="A54" s="16" t="n"/>
      <c r="B54" s="16" t="n"/>
      <c r="C54" s="16" t="n"/>
      <c r="D54" s="17" t="n"/>
      <c r="E54" s="18" t="n"/>
      <c r="F54" s="19">
        <f>IF(A54="","",D54*E54)</f>
        <v/>
      </c>
      <c r="G54" s="19">
        <f>IF(A54="","",D54-F54)</f>
        <v/>
      </c>
      <c r="H54" s="20" t="n"/>
      <c r="I54" s="21">
        <f>IF(A54="","",IF(H54&gt;4.5,"Pending","Rejected"))</f>
        <v/>
      </c>
    </row>
  </sheetData>
  <conditionalFormatting sqref="D2:D54">
    <cfRule type="cellIs" priority="1" operator="lessThan" dxfId="0">
      <formula>0</formula>
    </cfRule>
  </conditionalFormatting>
  <conditionalFormatting sqref="E2:E54">
    <cfRule type="dataBar" priority="2">
      <dataBar>
        <cfvo type="num" val="0"/>
        <cfvo type="num" val="1"/>
        <color rgb="005FB38F"/>
      </dataBar>
    </cfRule>
  </conditionalFormatting>
  <conditionalFormatting sqref="F2:F54">
    <cfRule type="cellIs" priority="3" operator="lessThan" dxfId="0">
      <formula>0</formula>
    </cfRule>
  </conditionalFormatting>
  <conditionalFormatting sqref="G2:G54">
    <cfRule type="cellIs" priority="4" operator="lessThan" dxfId="0">
      <formula>0</formula>
    </cfRule>
  </conditionalFormatting>
  <conditionalFormatting sqref="H2:H54">
    <cfRule type="cellIs" priority="5" operator="lessThan" dxfId="0">
      <formula>0</formula>
    </cfRule>
  </conditionalFormatting>
  <dataValidations count="2">
    <dataValidation sqref="B2:B54" showDropDown="0" showInputMessage="0" showErrorMessage="0" allowBlank="1" type="list">
      <formula1>"Venue,Photography,Catering,Flowers,Music,Attire,Other"</formula1>
    </dataValidation>
    <dataValidation sqref="I2:I54" showDropDown="0" showInputMessage="0" showErrorMessage="0" allowBlank="1" type="list">
      <formula1>"Yes,No,Pending"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2" customWidth="1" min="4" max="4"/>
    <col width="13" customWidth="1" min="5" max="5"/>
    <col width="40" customWidth="1" min="6" max="6"/>
  </cols>
  <sheetData>
    <row r="1" ht="32" customHeight="1">
      <c r="A1" s="15" t="inlineStr">
        <is>
          <t>Date</t>
        </is>
      </c>
      <c r="B1" s="15" t="inlineStr">
        <is>
          <t>Vendor</t>
        </is>
      </c>
      <c r="C1" s="15" t="inlineStr">
        <is>
          <t>Amount</t>
        </is>
      </c>
      <c r="D1" s="15" t="inlineStr">
        <is>
          <t>Type</t>
        </is>
      </c>
      <c r="E1" s="15" t="inlineStr">
        <is>
          <t>Due Date</t>
        </is>
      </c>
      <c r="F1" s="15" t="inlineStr">
        <is>
          <t>Status</t>
        </is>
      </c>
    </row>
    <row r="2">
      <c r="A2" s="22" t="n">
        <v>46082</v>
      </c>
      <c r="B2" s="16" t="inlineStr">
        <is>
          <t>Rose Garden</t>
        </is>
      </c>
      <c r="C2" s="17" t="n">
        <v>1500</v>
      </c>
      <c r="D2" s="16" t="inlineStr">
        <is>
          <t>Deposit</t>
        </is>
      </c>
      <c r="E2" s="22" t="n">
        <v>46096</v>
      </c>
      <c r="F2" s="21">
        <f>IF(E2&lt;TODAY(),"Overdue","Pending")</f>
        <v/>
      </c>
    </row>
    <row r="3">
      <c r="A3" s="22" t="n">
        <v>46091</v>
      </c>
      <c r="B3" s="16" t="inlineStr">
        <is>
          <t>Gourmet Delight</t>
        </is>
      </c>
      <c r="C3" s="17" t="n">
        <v>840</v>
      </c>
      <c r="D3" s="16" t="inlineStr">
        <is>
          <t>Deposit</t>
        </is>
      </c>
      <c r="E3" s="22" t="n">
        <v>46082</v>
      </c>
      <c r="F3" s="21">
        <f>IF(E3&lt;TODAY(),"Overdue","Pending")</f>
        <v/>
      </c>
    </row>
    <row r="4">
      <c r="A4" s="22" t="n"/>
      <c r="B4" s="16" t="n"/>
      <c r="C4" s="17" t="n"/>
      <c r="D4" s="16" t="n"/>
      <c r="E4" s="22" t="n"/>
      <c r="F4" s="21">
        <f>IF(A4="","",IF(E4&lt;TODAY(),"Overdue","Pending"))</f>
        <v/>
      </c>
    </row>
    <row r="5">
      <c r="A5" s="22" t="n"/>
      <c r="B5" s="16" t="n"/>
      <c r="C5" s="17" t="n"/>
      <c r="D5" s="16" t="n"/>
      <c r="E5" s="22" t="n"/>
      <c r="F5" s="21">
        <f>IF(A5="","",IF(E5&lt;TODAY(),"Overdue","Pending"))</f>
        <v/>
      </c>
    </row>
    <row r="6">
      <c r="A6" s="22" t="n"/>
      <c r="B6" s="16" t="n"/>
      <c r="C6" s="17" t="n"/>
      <c r="D6" s="16" t="n"/>
      <c r="E6" s="22" t="n"/>
      <c r="F6" s="21">
        <f>IF(A6="","",IF(E6&lt;TODAY(),"Overdue","Pending"))</f>
        <v/>
      </c>
    </row>
    <row r="7">
      <c r="A7" s="22" t="n"/>
      <c r="B7" s="16" t="n"/>
      <c r="C7" s="17" t="n"/>
      <c r="D7" s="16" t="n"/>
      <c r="E7" s="22" t="n"/>
      <c r="F7" s="21">
        <f>IF(A7="","",IF(E7&lt;TODAY(),"Overdue","Pending"))</f>
        <v/>
      </c>
    </row>
    <row r="8">
      <c r="A8" s="22" t="n"/>
      <c r="B8" s="16" t="n"/>
      <c r="C8" s="17" t="n"/>
      <c r="D8" s="16" t="n"/>
      <c r="E8" s="22" t="n"/>
      <c r="F8" s="21">
        <f>IF(A8="","",IF(E8&lt;TODAY(),"Overdue","Pending"))</f>
        <v/>
      </c>
    </row>
    <row r="9">
      <c r="A9" s="22" t="n"/>
      <c r="B9" s="16" t="n"/>
      <c r="C9" s="17" t="n"/>
      <c r="D9" s="16" t="n"/>
      <c r="E9" s="22" t="n"/>
      <c r="F9" s="21">
        <f>IF(A9="","",IF(E9&lt;TODAY(),"Overdue","Pending"))</f>
        <v/>
      </c>
    </row>
    <row r="10">
      <c r="A10" s="22" t="n"/>
      <c r="B10" s="16" t="n"/>
      <c r="C10" s="17" t="n"/>
      <c r="D10" s="16" t="n"/>
      <c r="E10" s="22" t="n"/>
      <c r="F10" s="21">
        <f>IF(A10="","",IF(E10&lt;TODAY(),"Overdue","Pending"))</f>
        <v/>
      </c>
    </row>
    <row r="11">
      <c r="A11" s="22" t="n"/>
      <c r="B11" s="16" t="n"/>
      <c r="C11" s="17" t="n"/>
      <c r="D11" s="16" t="n"/>
      <c r="E11" s="22" t="n"/>
      <c r="F11" s="21">
        <f>IF(A11="","",IF(E11&lt;TODAY(),"Overdue","Pending"))</f>
        <v/>
      </c>
    </row>
    <row r="12">
      <c r="A12" s="22" t="n"/>
      <c r="B12" s="16" t="n"/>
      <c r="C12" s="17" t="n"/>
      <c r="D12" s="16" t="n"/>
      <c r="E12" s="22" t="n"/>
      <c r="F12" s="21">
        <f>IF(A12="","",IF(E12&lt;TODAY(),"Overdue","Pending"))</f>
        <v/>
      </c>
    </row>
    <row r="13">
      <c r="A13" s="22" t="n"/>
      <c r="B13" s="16" t="n"/>
      <c r="C13" s="17" t="n"/>
      <c r="D13" s="16" t="n"/>
      <c r="E13" s="22" t="n"/>
      <c r="F13" s="21">
        <f>IF(A13="","",IF(E13&lt;TODAY(),"Overdue","Pending"))</f>
        <v/>
      </c>
    </row>
    <row r="14">
      <c r="A14" s="22" t="n"/>
      <c r="B14" s="16" t="n"/>
      <c r="C14" s="17" t="n"/>
      <c r="D14" s="16" t="n"/>
      <c r="E14" s="22" t="n"/>
      <c r="F14" s="21">
        <f>IF(A14="","",IF(E14&lt;TODAY(),"Overdue","Pending"))</f>
        <v/>
      </c>
    </row>
    <row r="15">
      <c r="A15" s="22" t="n"/>
      <c r="B15" s="16" t="n"/>
      <c r="C15" s="17" t="n"/>
      <c r="D15" s="16" t="n"/>
      <c r="E15" s="22" t="n"/>
      <c r="F15" s="21">
        <f>IF(A15="","",IF(E15&lt;TODAY(),"Overdue","Pending"))</f>
        <v/>
      </c>
    </row>
    <row r="16">
      <c r="A16" s="22" t="n"/>
      <c r="B16" s="16" t="n"/>
      <c r="C16" s="17" t="n"/>
      <c r="D16" s="16" t="n"/>
      <c r="E16" s="22" t="n"/>
      <c r="F16" s="21">
        <f>IF(A16="","",IF(E16&lt;TODAY(),"Overdue","Pending"))</f>
        <v/>
      </c>
    </row>
    <row r="17">
      <c r="A17" s="22" t="n"/>
      <c r="B17" s="16" t="n"/>
      <c r="C17" s="17" t="n"/>
      <c r="D17" s="16" t="n"/>
      <c r="E17" s="22" t="n"/>
      <c r="F17" s="21">
        <f>IF(A17="","",IF(E17&lt;TODAY(),"Overdue","Pending"))</f>
        <v/>
      </c>
    </row>
    <row r="18">
      <c r="A18" s="22" t="n"/>
      <c r="B18" s="16" t="n"/>
      <c r="C18" s="17" t="n"/>
      <c r="D18" s="16" t="n"/>
      <c r="E18" s="22" t="n"/>
      <c r="F18" s="21">
        <f>IF(A18="","",IF(E18&lt;TODAY(),"Overdue","Pending"))</f>
        <v/>
      </c>
    </row>
    <row r="19">
      <c r="A19" s="22" t="n"/>
      <c r="B19" s="16" t="n"/>
      <c r="C19" s="17" t="n"/>
      <c r="D19" s="16" t="n"/>
      <c r="E19" s="22" t="n"/>
      <c r="F19" s="21">
        <f>IF(A19="","",IF(E19&lt;TODAY(),"Overdue","Pending"))</f>
        <v/>
      </c>
    </row>
    <row r="20">
      <c r="A20" s="22" t="n"/>
      <c r="B20" s="16" t="n"/>
      <c r="C20" s="17" t="n"/>
      <c r="D20" s="16" t="n"/>
      <c r="E20" s="22" t="n"/>
      <c r="F20" s="21">
        <f>IF(A20="","",IF(E20&lt;TODAY(),"Overdue","Pending"))</f>
        <v/>
      </c>
    </row>
    <row r="21">
      <c r="A21" s="22" t="n"/>
      <c r="B21" s="16" t="n"/>
      <c r="C21" s="17" t="n"/>
      <c r="D21" s="16" t="n"/>
      <c r="E21" s="22" t="n"/>
      <c r="F21" s="21">
        <f>IF(A21="","",IF(E21&lt;TODAY(),"Overdue","Pending"))</f>
        <v/>
      </c>
    </row>
    <row r="22">
      <c r="A22" s="22" t="n"/>
      <c r="B22" s="16" t="n"/>
      <c r="C22" s="17" t="n"/>
      <c r="D22" s="16" t="n"/>
      <c r="E22" s="22" t="n"/>
      <c r="F22" s="21">
        <f>IF(A22="","",IF(E22&lt;TODAY(),"Overdue","Pending"))</f>
        <v/>
      </c>
    </row>
    <row r="23">
      <c r="A23" s="22" t="n"/>
      <c r="B23" s="16" t="n"/>
      <c r="C23" s="17" t="n"/>
      <c r="D23" s="16" t="n"/>
      <c r="E23" s="22" t="n"/>
      <c r="F23" s="21">
        <f>IF(A23="","",IF(E23&lt;TODAY(),"Overdue","Pending"))</f>
        <v/>
      </c>
    </row>
    <row r="24">
      <c r="A24" s="22" t="n"/>
      <c r="B24" s="16" t="n"/>
      <c r="C24" s="17" t="n"/>
      <c r="D24" s="16" t="n"/>
      <c r="E24" s="22" t="n"/>
      <c r="F24" s="21">
        <f>IF(A24="","",IF(E24&lt;TODAY(),"Overdue","Pending"))</f>
        <v/>
      </c>
    </row>
    <row r="25">
      <c r="A25" s="22" t="n"/>
      <c r="B25" s="16" t="n"/>
      <c r="C25" s="17" t="n"/>
      <c r="D25" s="16" t="n"/>
      <c r="E25" s="22" t="n"/>
      <c r="F25" s="21">
        <f>IF(A25="","",IF(E25&lt;TODAY(),"Overdue","Pending"))</f>
        <v/>
      </c>
    </row>
    <row r="26">
      <c r="A26" s="22" t="n"/>
      <c r="B26" s="16" t="n"/>
      <c r="C26" s="17" t="n"/>
      <c r="D26" s="16" t="n"/>
      <c r="E26" s="22" t="n"/>
      <c r="F26" s="21">
        <f>IF(A26="","",IF(E26&lt;TODAY(),"Overdue","Pending"))</f>
        <v/>
      </c>
    </row>
    <row r="27">
      <c r="A27" s="22" t="n"/>
      <c r="B27" s="16" t="n"/>
      <c r="C27" s="17" t="n"/>
      <c r="D27" s="16" t="n"/>
      <c r="E27" s="22" t="n"/>
      <c r="F27" s="21">
        <f>IF(A27="","",IF(E27&lt;TODAY(),"Overdue","Pending"))</f>
        <v/>
      </c>
    </row>
    <row r="28">
      <c r="A28" s="22" t="n"/>
      <c r="B28" s="16" t="n"/>
      <c r="C28" s="17" t="n"/>
      <c r="D28" s="16" t="n"/>
      <c r="E28" s="22" t="n"/>
      <c r="F28" s="21">
        <f>IF(A28="","",IF(E28&lt;TODAY(),"Overdue","Pending"))</f>
        <v/>
      </c>
    </row>
    <row r="29">
      <c r="A29" s="22" t="n"/>
      <c r="B29" s="16" t="n"/>
      <c r="C29" s="17" t="n"/>
      <c r="D29" s="16" t="n"/>
      <c r="E29" s="22" t="n"/>
      <c r="F29" s="21">
        <f>IF(A29="","",IF(E29&lt;TODAY(),"Overdue","Pending"))</f>
        <v/>
      </c>
    </row>
    <row r="30">
      <c r="A30" s="22" t="n"/>
      <c r="B30" s="16" t="n"/>
      <c r="C30" s="17" t="n"/>
      <c r="D30" s="16" t="n"/>
      <c r="E30" s="22" t="n"/>
      <c r="F30" s="21">
        <f>IF(A30="","",IF(E30&lt;TODAY(),"Overdue","Pending"))</f>
        <v/>
      </c>
    </row>
    <row r="31">
      <c r="A31" s="22" t="n"/>
      <c r="B31" s="16" t="n"/>
      <c r="C31" s="17" t="n"/>
      <c r="D31" s="16" t="n"/>
      <c r="E31" s="22" t="n"/>
      <c r="F31" s="21">
        <f>IF(A31="","",IF(E31&lt;TODAY(),"Overdue","Pending"))</f>
        <v/>
      </c>
    </row>
    <row r="32">
      <c r="A32" s="22" t="n"/>
      <c r="B32" s="16" t="n"/>
      <c r="C32" s="17" t="n"/>
      <c r="D32" s="16" t="n"/>
      <c r="E32" s="22" t="n"/>
      <c r="F32" s="21">
        <f>IF(A32="","",IF(E32&lt;TODAY(),"Overdue","Pending"))</f>
        <v/>
      </c>
    </row>
    <row r="33">
      <c r="A33" s="22" t="n"/>
      <c r="B33" s="16" t="n"/>
      <c r="C33" s="17" t="n"/>
      <c r="D33" s="16" t="n"/>
      <c r="E33" s="22" t="n"/>
      <c r="F33" s="21">
        <f>IF(A33="","",IF(E33&lt;TODAY(),"Overdue","Pending"))</f>
        <v/>
      </c>
    </row>
    <row r="34">
      <c r="A34" s="22" t="n"/>
      <c r="B34" s="16" t="n"/>
      <c r="C34" s="17" t="n"/>
      <c r="D34" s="16" t="n"/>
      <c r="E34" s="22" t="n"/>
      <c r="F34" s="21">
        <f>IF(A34="","",IF(E34&lt;TODAY(),"Overdue","Pending"))</f>
        <v/>
      </c>
    </row>
    <row r="35">
      <c r="A35" s="22" t="n"/>
      <c r="B35" s="16" t="n"/>
      <c r="C35" s="17" t="n"/>
      <c r="D35" s="16" t="n"/>
      <c r="E35" s="22" t="n"/>
      <c r="F35" s="21">
        <f>IF(A35="","",IF(E35&lt;TODAY(),"Overdue","Pending"))</f>
        <v/>
      </c>
    </row>
    <row r="36">
      <c r="A36" s="22" t="n"/>
      <c r="B36" s="16" t="n"/>
      <c r="C36" s="17" t="n"/>
      <c r="D36" s="16" t="n"/>
      <c r="E36" s="22" t="n"/>
      <c r="F36" s="21">
        <f>IF(A36="","",IF(E36&lt;TODAY(),"Overdue","Pending"))</f>
        <v/>
      </c>
    </row>
    <row r="37">
      <c r="A37" s="22" t="n"/>
      <c r="B37" s="16" t="n"/>
      <c r="C37" s="17" t="n"/>
      <c r="D37" s="16" t="n"/>
      <c r="E37" s="22" t="n"/>
      <c r="F37" s="21">
        <f>IF(A37="","",IF(E37&lt;TODAY(),"Overdue","Pending"))</f>
        <v/>
      </c>
    </row>
    <row r="38">
      <c r="A38" s="22" t="n"/>
      <c r="B38" s="16" t="n"/>
      <c r="C38" s="17" t="n"/>
      <c r="D38" s="16" t="n"/>
      <c r="E38" s="22" t="n"/>
      <c r="F38" s="21">
        <f>IF(A38="","",IF(E38&lt;TODAY(),"Overdue","Pending"))</f>
        <v/>
      </c>
    </row>
    <row r="39">
      <c r="A39" s="22" t="n"/>
      <c r="B39" s="16" t="n"/>
      <c r="C39" s="17" t="n"/>
      <c r="D39" s="16" t="n"/>
      <c r="E39" s="22" t="n"/>
      <c r="F39" s="21">
        <f>IF(A39="","",IF(E39&lt;TODAY(),"Overdue","Pending"))</f>
        <v/>
      </c>
    </row>
    <row r="40">
      <c r="A40" s="22" t="n"/>
      <c r="B40" s="16" t="n"/>
      <c r="C40" s="17" t="n"/>
      <c r="D40" s="16" t="n"/>
      <c r="E40" s="22" t="n"/>
      <c r="F40" s="21">
        <f>IF(A40="","",IF(E40&lt;TODAY(),"Overdue","Pending"))</f>
        <v/>
      </c>
    </row>
    <row r="41">
      <c r="A41" s="22" t="n"/>
      <c r="B41" s="16" t="n"/>
      <c r="C41" s="17" t="n"/>
      <c r="D41" s="16" t="n"/>
      <c r="E41" s="22" t="n"/>
      <c r="F41" s="21">
        <f>IF(A41="","",IF(E41&lt;TODAY(),"Overdue","Pending"))</f>
        <v/>
      </c>
    </row>
    <row r="42">
      <c r="A42" s="22" t="n"/>
      <c r="B42" s="16" t="n"/>
      <c r="C42" s="17" t="n"/>
      <c r="D42" s="16" t="n"/>
      <c r="E42" s="22" t="n"/>
      <c r="F42" s="21">
        <f>IF(A42="","",IF(E42&lt;TODAY(),"Overdue","Pending"))</f>
        <v/>
      </c>
    </row>
    <row r="43">
      <c r="A43" s="22" t="n"/>
      <c r="B43" s="16" t="n"/>
      <c r="C43" s="17" t="n"/>
      <c r="D43" s="16" t="n"/>
      <c r="E43" s="22" t="n"/>
      <c r="F43" s="21">
        <f>IF(A43="","",IF(E43&lt;TODAY(),"Overdue","Pending"))</f>
        <v/>
      </c>
    </row>
    <row r="44">
      <c r="A44" s="22" t="n"/>
      <c r="B44" s="16" t="n"/>
      <c r="C44" s="17" t="n"/>
      <c r="D44" s="16" t="n"/>
      <c r="E44" s="22" t="n"/>
      <c r="F44" s="21">
        <f>IF(A44="","",IF(E44&lt;TODAY(),"Overdue","Pending"))</f>
        <v/>
      </c>
    </row>
    <row r="45">
      <c r="A45" s="22" t="n"/>
      <c r="B45" s="16" t="n"/>
      <c r="C45" s="17" t="n"/>
      <c r="D45" s="16" t="n"/>
      <c r="E45" s="22" t="n"/>
      <c r="F45" s="21">
        <f>IF(A45="","",IF(E45&lt;TODAY(),"Overdue","Pending"))</f>
        <v/>
      </c>
    </row>
    <row r="46">
      <c r="A46" s="22" t="n"/>
      <c r="B46" s="16" t="n"/>
      <c r="C46" s="17" t="n"/>
      <c r="D46" s="16" t="n"/>
      <c r="E46" s="22" t="n"/>
      <c r="F46" s="21">
        <f>IF(A46="","",IF(E46&lt;TODAY(),"Overdue","Pending"))</f>
        <v/>
      </c>
    </row>
    <row r="47">
      <c r="A47" s="22" t="n"/>
      <c r="B47" s="16" t="n"/>
      <c r="C47" s="17" t="n"/>
      <c r="D47" s="16" t="n"/>
      <c r="E47" s="22" t="n"/>
      <c r="F47" s="21">
        <f>IF(A47="","",IF(E47&lt;TODAY(),"Overdue","Pending"))</f>
        <v/>
      </c>
    </row>
    <row r="48">
      <c r="A48" s="22" t="n"/>
      <c r="B48" s="16" t="n"/>
      <c r="C48" s="17" t="n"/>
      <c r="D48" s="16" t="n"/>
      <c r="E48" s="22" t="n"/>
      <c r="F48" s="21">
        <f>IF(A48="","",IF(E48&lt;TODAY(),"Overdue","Pending"))</f>
        <v/>
      </c>
    </row>
    <row r="49">
      <c r="A49" s="22" t="n"/>
      <c r="B49" s="16" t="n"/>
      <c r="C49" s="17" t="n"/>
      <c r="D49" s="16" t="n"/>
      <c r="E49" s="22" t="n"/>
      <c r="F49" s="21">
        <f>IF(A49="","",IF(E49&lt;TODAY(),"Overdue","Pending"))</f>
        <v/>
      </c>
    </row>
    <row r="50">
      <c r="A50" s="22" t="n"/>
      <c r="B50" s="16" t="n"/>
      <c r="C50" s="17" t="n"/>
      <c r="D50" s="16" t="n"/>
      <c r="E50" s="22" t="n"/>
      <c r="F50" s="21">
        <f>IF(A50="","",IF(E50&lt;TODAY(),"Overdue","Pending"))</f>
        <v/>
      </c>
    </row>
    <row r="51">
      <c r="A51" s="22" t="n"/>
      <c r="B51" s="16" t="n"/>
      <c r="C51" s="17" t="n"/>
      <c r="D51" s="16" t="n"/>
      <c r="E51" s="22" t="n"/>
      <c r="F51" s="21">
        <f>IF(A51="","",IF(E51&lt;TODAY(),"Overdue","Pending"))</f>
        <v/>
      </c>
    </row>
    <row r="52">
      <c r="A52" s="22" t="n"/>
      <c r="B52" s="16" t="n"/>
      <c r="C52" s="17" t="n"/>
      <c r="D52" s="16" t="n"/>
      <c r="E52" s="22" t="n"/>
      <c r="F52" s="21">
        <f>IF(A52="","",IF(E52&lt;TODAY(),"Overdue","Pending"))</f>
        <v/>
      </c>
    </row>
    <row r="53">
      <c r="A53" s="22" t="n"/>
      <c r="B53" s="16" t="n"/>
      <c r="C53" s="17" t="n"/>
      <c r="D53" s="16" t="n"/>
      <c r="E53" s="22" t="n"/>
      <c r="F53" s="21">
        <f>IF(A53="","",IF(E53&lt;TODAY(),"Overdue","Pending"))</f>
        <v/>
      </c>
    </row>
    <row r="54">
      <c r="A54" s="22" t="n"/>
      <c r="B54" s="16" t="n"/>
      <c r="C54" s="17" t="n"/>
      <c r="D54" s="16" t="n"/>
      <c r="E54" s="22" t="n"/>
      <c r="F54" s="21">
        <f>IF(A54="","",IF(E54&lt;TODAY(),"Overdue","Pending"))</f>
        <v/>
      </c>
    </row>
    <row r="55">
      <c r="A55" s="22" t="n"/>
      <c r="B55" s="16" t="n"/>
      <c r="C55" s="17" t="n"/>
      <c r="D55" s="16" t="n"/>
      <c r="E55" s="22" t="n"/>
      <c r="F55" s="21">
        <f>IF(A55="","",IF(E55&lt;TODAY(),"Overdue","Pending"))</f>
        <v/>
      </c>
    </row>
    <row r="56">
      <c r="A56" s="22" t="n"/>
      <c r="B56" s="16" t="n"/>
      <c r="C56" s="17" t="n"/>
      <c r="D56" s="16" t="n"/>
      <c r="E56" s="22" t="n"/>
      <c r="F56" s="21">
        <f>IF(A56="","",IF(E56&lt;TODAY(),"Overdue","Pending"))</f>
        <v/>
      </c>
    </row>
    <row r="57">
      <c r="A57" s="22" t="n"/>
      <c r="B57" s="16" t="n"/>
      <c r="C57" s="17" t="n"/>
      <c r="D57" s="16" t="n"/>
      <c r="E57" s="22" t="n"/>
      <c r="F57" s="21">
        <f>IF(A57="","",IF(E57&lt;TODAY(),"Overdue","Pending"))</f>
        <v/>
      </c>
    </row>
    <row r="58">
      <c r="A58" s="22" t="n"/>
      <c r="B58" s="16" t="n"/>
      <c r="C58" s="17" t="n"/>
      <c r="D58" s="16" t="n"/>
      <c r="E58" s="22" t="n"/>
      <c r="F58" s="21">
        <f>IF(A58="","",IF(E58&lt;TODAY(),"Overdue","Pending"))</f>
        <v/>
      </c>
    </row>
    <row r="59">
      <c r="A59" s="22" t="n"/>
      <c r="B59" s="16" t="n"/>
      <c r="C59" s="17" t="n"/>
      <c r="D59" s="16" t="n"/>
      <c r="E59" s="22" t="n"/>
      <c r="F59" s="21">
        <f>IF(A59="","",IF(E59&lt;TODAY(),"Overdue","Pending"))</f>
        <v/>
      </c>
    </row>
    <row r="60">
      <c r="A60" s="22" t="n"/>
      <c r="B60" s="16" t="n"/>
      <c r="C60" s="17" t="n"/>
      <c r="D60" s="16" t="n"/>
      <c r="E60" s="22" t="n"/>
      <c r="F60" s="21">
        <f>IF(A60="","",IF(E60&lt;TODAY(),"Overdue","Pending"))</f>
        <v/>
      </c>
    </row>
    <row r="61">
      <c r="A61" s="22" t="n"/>
      <c r="B61" s="16" t="n"/>
      <c r="C61" s="17" t="n"/>
      <c r="D61" s="16" t="n"/>
      <c r="E61" s="22" t="n"/>
      <c r="F61" s="21">
        <f>IF(A61="","",IF(E61&lt;TODAY(),"Overdue","Pending"))</f>
        <v/>
      </c>
    </row>
    <row r="62">
      <c r="A62" s="22" t="n"/>
      <c r="B62" s="16" t="n"/>
      <c r="C62" s="17" t="n"/>
      <c r="D62" s="16" t="n"/>
      <c r="E62" s="22" t="n"/>
      <c r="F62" s="21">
        <f>IF(A62="","",IF(E62&lt;TODAY(),"Overdue","Pending"))</f>
        <v/>
      </c>
    </row>
    <row r="63">
      <c r="A63" s="22" t="n"/>
      <c r="B63" s="16" t="n"/>
      <c r="C63" s="17" t="n"/>
      <c r="D63" s="16" t="n"/>
      <c r="E63" s="22" t="n"/>
      <c r="F63" s="21">
        <f>IF(A63="","",IF(E63&lt;TODAY(),"Overdue","Pending"))</f>
        <v/>
      </c>
    </row>
  </sheetData>
  <conditionalFormatting sqref="C2:C63">
    <cfRule type="cellIs" priority="1" operator="lessThan" dxfId="0">
      <formula>0</formula>
    </cfRule>
  </conditionalFormatting>
  <dataValidations count="2">
    <dataValidation sqref="D2:D63" showDropDown="0" showInputMessage="0" showErrorMessage="0" allowBlank="1" type="list">
      <formula1>"Deposit,Final Payment,Other"</formula1>
    </dataValidation>
    <dataValidation sqref="F2:F63" showDropDown="0" showInputMessage="0" showErrorMessage="0" allowBlank="1" type="list">
      <formula1>"Paid,Pending,Overdue"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Wedding Vendor &amp; Budget Comparison Tracker</dc:title>
  <dcterms:created xsi:type="dcterms:W3CDTF">2026-10-02T23:58:00Z</dcterms:created>
  <dcterms:modified xsi:type="dcterms:W3CDTF">2026-10-02T23:58:00Z</dcterms:modified>
</cp:coreProperties>
</file>