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Clientes" sheetId="3" state="visible" r:id="rId3"/>
    <sheet name="Entrenamientos" sheetId="4" state="visible" r:id="rId4"/>
    <sheet name="Nutri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Calorías por Tipo de Entrenamiento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'Entrenamientos'!E1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'Entrenamientos'!$C$2:$C$3</f>
            </numRef>
          </cat>
          <val>
            <numRef>
              <f>'Entrenamientos'!$E$2:$E$3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ientes_2794" displayName="T_Clientes_2794" ref="A1:E33" headerRowCount="1">
  <autoFilter ref="A1:E33"/>
  <tableColumns count="5">
    <tableColumn id="1" name="Fecha Registro"/>
    <tableColumn id="2" name="Nombre"/>
    <tableColumn id="3" name="Objetivo"/>
    <tableColumn id="4" name="Peso Inicial"/>
    <tableColumn id="5" name="Meta Peso"/>
  </tableColumns>
  <tableStyleInfo name="TableStyleMedium7" showRowStripes="1"/>
</table>
</file>

<file path=xl/tables/table2.xml><?xml version="1.0" encoding="utf-8"?>
<table xmlns="http://schemas.openxmlformats.org/spreadsheetml/2006/main" id="2" name="T_Entrenamientos_3473" displayName="T_Entrenamientos_3473" ref="A1:F103" headerRowCount="1">
  <autoFilter ref="A1:F103"/>
  <tableColumns count="6">
    <tableColumn id="1" name="Fecha"/>
    <tableColumn id="2" name="Cliente"/>
    <tableColumn id="3" name="Tipo"/>
    <tableColumn id="4" name="Duración (min)"/>
    <tableColumn id="5" name="Calorías"/>
    <tableColumn id="6" name="Notas"/>
  </tableColumns>
  <tableStyleInfo name="TableStyleMedium7" showRowStripes="1"/>
</table>
</file>

<file path=xl/tables/table3.xml><?xml version="1.0" encoding="utf-8"?>
<table xmlns="http://schemas.openxmlformats.org/spreadsheetml/2006/main" id="3" name="T_Nutrici_n_4268" displayName="T_Nutrici_n_4268" ref="A1:F103" headerRowCount="1">
  <autoFilter ref="A1:F103"/>
  <tableColumns count="6">
    <tableColumn id="1" name="Fecha"/>
    <tableColumn id="2" name="Cliente"/>
    <tableColumn id="3" name="Proteínas (g)"/>
    <tableColumn id="4" name="Carbohidratos (g)"/>
    <tableColumn id="5" name="Grasas (g)"/>
    <tableColumn id="6" name="Total C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Clientes'!A1" TargetMode="External" Id="rId2" /><Relationship Type="http://schemas.openxmlformats.org/officeDocument/2006/relationships/hyperlink" Target="#'Entrenamientos'!A1" TargetMode="External" Id="rId3" /><Relationship Type="http://schemas.openxmlformats.org/officeDocument/2006/relationships/hyperlink" Target="#'Nutrici&#243;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Avanzado de Entrenamiento y Nutrición para Entrenadores Personales</t>
        </is>
      </c>
    </row>
    <row r="3" ht="45" customHeight="1">
      <c r="C3" s="2" t="inlineStr">
        <is>
          <t>Herramienta profesional para planificar sesiones de entrenamiento y dietas, con seguimiento de progreso y análisis automático de resultados.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los datos básicos del cliente (peso, objetivos)</t>
        </is>
      </c>
    </row>
    <row r="7" ht="18" customHeight="1">
      <c r="B7" s="4" t="inlineStr">
        <is>
          <t>2.</t>
        </is>
      </c>
      <c r="C7" s="5" t="inlineStr">
        <is>
          <t>Planifica las rutinas semanales de entrenamiento</t>
        </is>
      </c>
    </row>
    <row r="8" ht="18" customHeight="1">
      <c r="B8" s="4" t="inlineStr">
        <is>
          <t>3.</t>
        </is>
      </c>
      <c r="C8" s="5" t="inlineStr">
        <is>
          <t>Introduce la información nutricional diaria</t>
        </is>
      </c>
    </row>
    <row r="9" ht="18" customHeight="1">
      <c r="B9" s="4" t="inlineStr">
        <is>
          <t>4.</t>
        </is>
      </c>
      <c r="C9" s="5" t="inlineStr">
        <is>
          <t>Registra las mediciones periódicas</t>
        </is>
      </c>
    </row>
    <row r="10" ht="18" customHeight="1">
      <c r="B10" s="4" t="inlineStr">
        <is>
          <t>5.</t>
        </is>
      </c>
      <c r="C10" s="5" t="inlineStr">
        <is>
          <t>Analiza el progreso en el dashboard</t>
        </is>
      </c>
    </row>
    <row r="11" ht="18" customHeight="1">
      <c r="B11" s="4" t="inlineStr">
        <is>
          <t>6.</t>
        </is>
      </c>
      <c r="C11" s="5" t="inlineStr">
        <is>
          <t>Ajusta el plan según los resultados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Clientes</t>
        </is>
      </c>
    </row>
    <row r="18">
      <c r="C18" s="7" t="inlineStr">
        <is>
          <t>→ Entrenamientos</t>
        </is>
      </c>
    </row>
    <row r="19">
      <c r="C19" s="7" t="inlineStr">
        <is>
          <t>→ Nutrición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Avanzado de Entrenamiento y Nutrición para Entr</t>
        </is>
      </c>
    </row>
    <row r="4">
      <c r="B4" s="10" t="inlineStr">
        <is>
          <t>Indicadores</t>
        </is>
      </c>
    </row>
    <row r="5" ht="24" customHeight="1">
      <c r="B5" s="11" t="inlineStr">
        <is>
          <t>Clientes Activos</t>
        </is>
      </c>
      <c r="C5" s="12">
        <f>COUNTA('Clientes'!B2:B30)</f>
        <v/>
      </c>
    </row>
    <row r="6" ht="24" customHeight="1">
      <c r="B6" s="11" t="inlineStr">
        <is>
          <t>Sesiones Mes Actual</t>
        </is>
      </c>
      <c r="C6" s="12">
        <f>COUNTIF('Entrenamientos'!A2:A100,MONTH(A2)=MONTH(TODAY()))</f>
        <v/>
      </c>
    </row>
    <row r="7" ht="24" customHeight="1">
      <c r="B7" s="11" t="inlineStr">
        <is>
          <t>Promedio Calorías Quemadas</t>
        </is>
      </c>
      <c r="C7" s="13">
        <f>AVERAGE('Entrenamientos'!E2:E100)</f>
        <v/>
      </c>
    </row>
    <row r="8" ht="24" customHeight="1">
      <c r="B8" s="11" t="inlineStr">
        <is>
          <t>Progreso Promedio (%)</t>
        </is>
      </c>
      <c r="C8" s="14">
        <f>AVERAGE(('Clientes'!E2:E30-'Clientes'!D2:D30)/'Clientes'!D2:D30)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15" customWidth="1" min="4" max="4"/>
    <col width="12" customWidth="1" min="5" max="5"/>
  </cols>
  <sheetData>
    <row r="1" ht="32" customHeight="1">
      <c r="A1" s="15" t="inlineStr">
        <is>
          <t>Fecha Registro</t>
        </is>
      </c>
      <c r="B1" s="15" t="inlineStr">
        <is>
          <t>Nombre</t>
        </is>
      </c>
      <c r="C1" s="15" t="inlineStr">
        <is>
          <t>Objetivo</t>
        </is>
      </c>
      <c r="D1" s="15" t="inlineStr">
        <is>
          <t>Peso Inicial</t>
        </is>
      </c>
      <c r="E1" s="15" t="inlineStr">
        <is>
          <t>Meta Peso</t>
        </is>
      </c>
    </row>
    <row r="2">
      <c r="A2" s="16" t="n">
        <v>46037</v>
      </c>
      <c r="B2" s="17" t="inlineStr">
        <is>
          <t>Carlos M.</t>
        </is>
      </c>
      <c r="C2" s="17" t="inlineStr">
        <is>
          <t>Aumento masa muscular</t>
        </is>
      </c>
      <c r="D2" s="18" t="n">
        <v>68</v>
      </c>
      <c r="E2" s="18" t="n">
        <v>75</v>
      </c>
    </row>
    <row r="3">
      <c r="A3" s="16" t="n">
        <v>46042</v>
      </c>
      <c r="B3" s="17" t="inlineStr">
        <is>
          <t>Luis H.</t>
        </is>
      </c>
      <c r="C3" s="17" t="inlineStr">
        <is>
          <t>Definición</t>
        </is>
      </c>
      <c r="D3" s="18" t="n">
        <v>85</v>
      </c>
      <c r="E3" s="18" t="n">
        <v>78</v>
      </c>
    </row>
    <row r="4">
      <c r="A4" s="16" t="n"/>
      <c r="B4" s="17" t="n"/>
      <c r="C4" s="17" t="n"/>
      <c r="D4" s="18" t="n"/>
      <c r="E4" s="18" t="n"/>
    </row>
    <row r="5">
      <c r="A5" s="16" t="n"/>
      <c r="B5" s="17" t="n"/>
      <c r="C5" s="17" t="n"/>
      <c r="D5" s="18" t="n"/>
      <c r="E5" s="18" t="n"/>
    </row>
    <row r="6">
      <c r="A6" s="16" t="n"/>
      <c r="B6" s="17" t="n"/>
      <c r="C6" s="17" t="n"/>
      <c r="D6" s="18" t="n"/>
      <c r="E6" s="18" t="n"/>
    </row>
    <row r="7">
      <c r="A7" s="16" t="n"/>
      <c r="B7" s="17" t="n"/>
      <c r="C7" s="17" t="n"/>
      <c r="D7" s="18" t="n"/>
      <c r="E7" s="18" t="n"/>
    </row>
    <row r="8">
      <c r="A8" s="16" t="n"/>
      <c r="B8" s="17" t="n"/>
      <c r="C8" s="17" t="n"/>
      <c r="D8" s="18" t="n"/>
      <c r="E8" s="18" t="n"/>
    </row>
    <row r="9">
      <c r="A9" s="16" t="n"/>
      <c r="B9" s="17" t="n"/>
      <c r="C9" s="17" t="n"/>
      <c r="D9" s="18" t="n"/>
      <c r="E9" s="18" t="n"/>
    </row>
    <row r="10">
      <c r="A10" s="16" t="n"/>
      <c r="B10" s="17" t="n"/>
      <c r="C10" s="17" t="n"/>
      <c r="D10" s="18" t="n"/>
      <c r="E10" s="18" t="n"/>
    </row>
    <row r="11">
      <c r="A11" s="16" t="n"/>
      <c r="B11" s="17" t="n"/>
      <c r="C11" s="17" t="n"/>
      <c r="D11" s="18" t="n"/>
      <c r="E11" s="18" t="n"/>
    </row>
    <row r="12">
      <c r="A12" s="16" t="n"/>
      <c r="B12" s="17" t="n"/>
      <c r="C12" s="17" t="n"/>
      <c r="D12" s="18" t="n"/>
      <c r="E12" s="18" t="n"/>
    </row>
    <row r="13">
      <c r="A13" s="16" t="n"/>
      <c r="B13" s="17" t="n"/>
      <c r="C13" s="17" t="n"/>
      <c r="D13" s="18" t="n"/>
      <c r="E13" s="18" t="n"/>
    </row>
    <row r="14">
      <c r="A14" s="16" t="n"/>
      <c r="B14" s="17" t="n"/>
      <c r="C14" s="17" t="n"/>
      <c r="D14" s="18" t="n"/>
      <c r="E14" s="18" t="n"/>
    </row>
    <row r="15">
      <c r="A15" s="16" t="n"/>
      <c r="B15" s="17" t="n"/>
      <c r="C15" s="17" t="n"/>
      <c r="D15" s="18" t="n"/>
      <c r="E15" s="18" t="n"/>
    </row>
    <row r="16">
      <c r="A16" s="16" t="n"/>
      <c r="B16" s="17" t="n"/>
      <c r="C16" s="17" t="n"/>
      <c r="D16" s="18" t="n"/>
      <c r="E16" s="18" t="n"/>
    </row>
    <row r="17">
      <c r="A17" s="16" t="n"/>
      <c r="B17" s="17" t="n"/>
      <c r="C17" s="17" t="n"/>
      <c r="D17" s="18" t="n"/>
      <c r="E17" s="18" t="n"/>
    </row>
    <row r="18">
      <c r="A18" s="16" t="n"/>
      <c r="B18" s="17" t="n"/>
      <c r="C18" s="17" t="n"/>
      <c r="D18" s="18" t="n"/>
      <c r="E18" s="18" t="n"/>
    </row>
    <row r="19">
      <c r="A19" s="16" t="n"/>
      <c r="B19" s="17" t="n"/>
      <c r="C19" s="17" t="n"/>
      <c r="D19" s="18" t="n"/>
      <c r="E19" s="18" t="n"/>
    </row>
    <row r="20">
      <c r="A20" s="16" t="n"/>
      <c r="B20" s="17" t="n"/>
      <c r="C20" s="17" t="n"/>
      <c r="D20" s="18" t="n"/>
      <c r="E20" s="18" t="n"/>
    </row>
    <row r="21">
      <c r="A21" s="16" t="n"/>
      <c r="B21" s="17" t="n"/>
      <c r="C21" s="17" t="n"/>
      <c r="D21" s="18" t="n"/>
      <c r="E21" s="18" t="n"/>
    </row>
    <row r="22">
      <c r="A22" s="16" t="n"/>
      <c r="B22" s="17" t="n"/>
      <c r="C22" s="17" t="n"/>
      <c r="D22" s="18" t="n"/>
      <c r="E22" s="18" t="n"/>
    </row>
    <row r="23">
      <c r="A23" s="16" t="n"/>
      <c r="B23" s="17" t="n"/>
      <c r="C23" s="17" t="n"/>
      <c r="D23" s="18" t="n"/>
      <c r="E23" s="18" t="n"/>
    </row>
    <row r="24">
      <c r="A24" s="16" t="n"/>
      <c r="B24" s="17" t="n"/>
      <c r="C24" s="17" t="n"/>
      <c r="D24" s="18" t="n"/>
      <c r="E24" s="18" t="n"/>
    </row>
    <row r="25">
      <c r="A25" s="16" t="n"/>
      <c r="B25" s="17" t="n"/>
      <c r="C25" s="17" t="n"/>
      <c r="D25" s="18" t="n"/>
      <c r="E25" s="18" t="n"/>
    </row>
    <row r="26">
      <c r="A26" s="16" t="n"/>
      <c r="B26" s="17" t="n"/>
      <c r="C26" s="17" t="n"/>
      <c r="D26" s="18" t="n"/>
      <c r="E26" s="18" t="n"/>
    </row>
    <row r="27">
      <c r="A27" s="16" t="n"/>
      <c r="B27" s="17" t="n"/>
      <c r="C27" s="17" t="n"/>
      <c r="D27" s="18" t="n"/>
      <c r="E27" s="18" t="n"/>
    </row>
    <row r="28">
      <c r="A28" s="16" t="n"/>
      <c r="B28" s="17" t="n"/>
      <c r="C28" s="17" t="n"/>
      <c r="D28" s="18" t="n"/>
      <c r="E28" s="18" t="n"/>
    </row>
    <row r="29">
      <c r="A29" s="16" t="n"/>
      <c r="B29" s="17" t="n"/>
      <c r="C29" s="17" t="n"/>
      <c r="D29" s="18" t="n"/>
      <c r="E29" s="18" t="n"/>
    </row>
    <row r="30">
      <c r="A30" s="16" t="n"/>
      <c r="B30" s="17" t="n"/>
      <c r="C30" s="17" t="n"/>
      <c r="D30" s="18" t="n"/>
      <c r="E30" s="18" t="n"/>
    </row>
    <row r="31">
      <c r="A31" s="16" t="n"/>
      <c r="B31" s="17" t="n"/>
      <c r="C31" s="17" t="n"/>
      <c r="D31" s="18" t="n"/>
      <c r="E31" s="18" t="n"/>
    </row>
    <row r="32">
      <c r="A32" s="16" t="n"/>
      <c r="B32" s="17" t="n"/>
      <c r="C32" s="17" t="n"/>
      <c r="D32" s="18" t="n"/>
      <c r="E32" s="18" t="n"/>
    </row>
    <row r="33">
      <c r="A33" s="16" t="n"/>
      <c r="B33" s="17" t="n"/>
      <c r="C33" s="17" t="n"/>
      <c r="D33" s="18" t="n"/>
      <c r="E33" s="18" t="n"/>
    </row>
  </sheetData>
  <conditionalFormatting sqref="D2:D33">
    <cfRule type="cellIs" priority="1" operator="lessThan" dxfId="0">
      <formula>0</formula>
    </cfRule>
  </conditionalFormatting>
  <conditionalFormatting sqref="E2:E33">
    <cfRule type="cellIs" priority="2" operator="lessThan" dxfId="0">
      <formula>0</formula>
    </cfRule>
  </conditionalFormatting>
  <dataValidations count="1">
    <dataValidation sqref="C2:C33" showDropDown="0" showInputMessage="0" showErrorMessage="0" allowBlank="1" type="list">
      <formula1>"Aumento masa muscular,Definición,Rendimiento,Salud general"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40" customWidth="1" min="5" max="5"/>
    <col width="29" customWidth="1" min="6" max="6"/>
  </cols>
  <sheetData>
    <row r="1" ht="32" customHeight="1">
      <c r="A1" s="15" t="inlineStr">
        <is>
          <t>Fecha</t>
        </is>
      </c>
      <c r="B1" s="15" t="inlineStr">
        <is>
          <t>Cliente</t>
        </is>
      </c>
      <c r="C1" s="15" t="inlineStr">
        <is>
          <t>Tipo</t>
        </is>
      </c>
      <c r="D1" s="15" t="inlineStr">
        <is>
          <t>Duración (min)</t>
        </is>
      </c>
      <c r="E1" s="15" t="inlineStr">
        <is>
          <t>Calorías</t>
        </is>
      </c>
      <c r="F1" s="15" t="inlineStr">
        <is>
          <t>Notas</t>
        </is>
      </c>
    </row>
    <row r="2">
      <c r="A2" s="16" t="n">
        <v>46054</v>
      </c>
      <c r="B2" s="17" t="inlineStr">
        <is>
          <t>Carlos M.</t>
        </is>
      </c>
      <c r="C2" s="17" t="inlineStr">
        <is>
          <t>Fuerza</t>
        </is>
      </c>
      <c r="D2" s="18" t="n">
        <v>60</v>
      </c>
      <c r="E2" s="19">
        <f>ROUND(10*D2*IF(C2="Cardio",1.2,0.8),0)</f>
        <v/>
      </c>
      <c r="F2" s="17" t="inlineStr">
        <is>
          <t>3 series de 8 repeticiones</t>
        </is>
      </c>
    </row>
    <row r="3">
      <c r="A3" s="16" t="n">
        <v>46055</v>
      </c>
      <c r="B3" s="17" t="inlineStr">
        <is>
          <t>Luis H.</t>
        </is>
      </c>
      <c r="C3" s="17" t="inlineStr">
        <is>
          <t>Cardio</t>
        </is>
      </c>
      <c r="D3" s="18" t="n">
        <v>45</v>
      </c>
      <c r="E3" s="19">
        <f>ROUND(10*D3*IF(C3="Cardio",1.2,0.8),0)</f>
        <v/>
      </c>
      <c r="F3" s="17" t="inlineStr">
        <is>
          <t>Interválico</t>
        </is>
      </c>
    </row>
    <row r="4">
      <c r="A4" s="16" t="n"/>
      <c r="B4" s="17" t="n"/>
      <c r="C4" s="17" t="n"/>
      <c r="D4" s="18" t="n"/>
      <c r="E4" s="19">
        <f>IF(A4="","",ROUND(10*D4*IF(C4="Cardio",1.2,0.8),0))</f>
        <v/>
      </c>
      <c r="F4" s="17" t="n"/>
    </row>
    <row r="5">
      <c r="A5" s="16" t="n"/>
      <c r="B5" s="17" t="n"/>
      <c r="C5" s="17" t="n"/>
      <c r="D5" s="18" t="n"/>
      <c r="E5" s="19">
        <f>IF(A5="","",ROUND(10*D5*IF(C5="Cardio",1.2,0.8),0))</f>
        <v/>
      </c>
      <c r="F5" s="17" t="n"/>
    </row>
    <row r="6">
      <c r="A6" s="16" t="n"/>
      <c r="B6" s="17" t="n"/>
      <c r="C6" s="17" t="n"/>
      <c r="D6" s="18" t="n"/>
      <c r="E6" s="19">
        <f>IF(A6="","",ROUND(10*D6*IF(C6="Cardio",1.2,0.8),0))</f>
        <v/>
      </c>
      <c r="F6" s="17" t="n"/>
    </row>
    <row r="7">
      <c r="A7" s="16" t="n"/>
      <c r="B7" s="17" t="n"/>
      <c r="C7" s="17" t="n"/>
      <c r="D7" s="18" t="n"/>
      <c r="E7" s="19">
        <f>IF(A7="","",ROUND(10*D7*IF(C7="Cardio",1.2,0.8),0))</f>
        <v/>
      </c>
      <c r="F7" s="17" t="n"/>
    </row>
    <row r="8">
      <c r="A8" s="16" t="n"/>
      <c r="B8" s="17" t="n"/>
      <c r="C8" s="17" t="n"/>
      <c r="D8" s="18" t="n"/>
      <c r="E8" s="19">
        <f>IF(A8="","",ROUND(10*D8*IF(C8="Cardio",1.2,0.8),0))</f>
        <v/>
      </c>
      <c r="F8" s="17" t="n"/>
    </row>
    <row r="9">
      <c r="A9" s="16" t="n"/>
      <c r="B9" s="17" t="n"/>
      <c r="C9" s="17" t="n"/>
      <c r="D9" s="18" t="n"/>
      <c r="E9" s="19">
        <f>IF(A9="","",ROUND(10*D9*IF(C9="Cardio",1.2,0.8),0))</f>
        <v/>
      </c>
      <c r="F9" s="17" t="n"/>
    </row>
    <row r="10">
      <c r="A10" s="16" t="n"/>
      <c r="B10" s="17" t="n"/>
      <c r="C10" s="17" t="n"/>
      <c r="D10" s="18" t="n"/>
      <c r="E10" s="19">
        <f>IF(A10="","",ROUND(10*D10*IF(C10="Cardio",1.2,0.8),0))</f>
        <v/>
      </c>
      <c r="F10" s="17" t="n"/>
    </row>
    <row r="11">
      <c r="A11" s="16" t="n"/>
      <c r="B11" s="17" t="n"/>
      <c r="C11" s="17" t="n"/>
      <c r="D11" s="18" t="n"/>
      <c r="E11" s="19">
        <f>IF(A11="","",ROUND(10*D11*IF(C11="Cardio",1.2,0.8),0))</f>
        <v/>
      </c>
      <c r="F11" s="17" t="n"/>
    </row>
    <row r="12">
      <c r="A12" s="16" t="n"/>
      <c r="B12" s="17" t="n"/>
      <c r="C12" s="17" t="n"/>
      <c r="D12" s="18" t="n"/>
      <c r="E12" s="19">
        <f>IF(A12="","",ROUND(10*D12*IF(C12="Cardio",1.2,0.8),0))</f>
        <v/>
      </c>
      <c r="F12" s="17" t="n"/>
    </row>
    <row r="13">
      <c r="A13" s="16" t="n"/>
      <c r="B13" s="17" t="n"/>
      <c r="C13" s="17" t="n"/>
      <c r="D13" s="18" t="n"/>
      <c r="E13" s="19">
        <f>IF(A13="","",ROUND(10*D13*IF(C13="Cardio",1.2,0.8),0))</f>
        <v/>
      </c>
      <c r="F13" s="17" t="n"/>
    </row>
    <row r="14">
      <c r="A14" s="16" t="n"/>
      <c r="B14" s="17" t="n"/>
      <c r="C14" s="17" t="n"/>
      <c r="D14" s="18" t="n"/>
      <c r="E14" s="19">
        <f>IF(A14="","",ROUND(10*D14*IF(C14="Cardio",1.2,0.8),0))</f>
        <v/>
      </c>
      <c r="F14" s="17" t="n"/>
    </row>
    <row r="15">
      <c r="A15" s="16" t="n"/>
      <c r="B15" s="17" t="n"/>
      <c r="C15" s="17" t="n"/>
      <c r="D15" s="18" t="n"/>
      <c r="E15" s="19">
        <f>IF(A15="","",ROUND(10*D15*IF(C15="Cardio",1.2,0.8),0))</f>
        <v/>
      </c>
      <c r="F15" s="17" t="n"/>
    </row>
    <row r="16">
      <c r="A16" s="16" t="n"/>
      <c r="B16" s="17" t="n"/>
      <c r="C16" s="17" t="n"/>
      <c r="D16" s="18" t="n"/>
      <c r="E16" s="19">
        <f>IF(A16="","",ROUND(10*D16*IF(C16="Cardio",1.2,0.8),0))</f>
        <v/>
      </c>
      <c r="F16" s="17" t="n"/>
    </row>
    <row r="17">
      <c r="A17" s="16" t="n"/>
      <c r="B17" s="17" t="n"/>
      <c r="C17" s="17" t="n"/>
      <c r="D17" s="18" t="n"/>
      <c r="E17" s="19">
        <f>IF(A17="","",ROUND(10*D17*IF(C17="Cardio",1.2,0.8),0))</f>
        <v/>
      </c>
      <c r="F17" s="17" t="n"/>
    </row>
    <row r="18">
      <c r="A18" s="16" t="n"/>
      <c r="B18" s="17" t="n"/>
      <c r="C18" s="17" t="n"/>
      <c r="D18" s="18" t="n"/>
      <c r="E18" s="19">
        <f>IF(A18="","",ROUND(10*D18*IF(C18="Cardio",1.2,0.8),0))</f>
        <v/>
      </c>
      <c r="F18" s="17" t="n"/>
    </row>
    <row r="19">
      <c r="A19" s="16" t="n"/>
      <c r="B19" s="17" t="n"/>
      <c r="C19" s="17" t="n"/>
      <c r="D19" s="18" t="n"/>
      <c r="E19" s="19">
        <f>IF(A19="","",ROUND(10*D19*IF(C19="Cardio",1.2,0.8),0))</f>
        <v/>
      </c>
      <c r="F19" s="17" t="n"/>
    </row>
    <row r="20">
      <c r="A20" s="16" t="n"/>
      <c r="B20" s="17" t="n"/>
      <c r="C20" s="17" t="n"/>
      <c r="D20" s="18" t="n"/>
      <c r="E20" s="19">
        <f>IF(A20="","",ROUND(10*D20*IF(C20="Cardio",1.2,0.8),0))</f>
        <v/>
      </c>
      <c r="F20" s="17" t="n"/>
    </row>
    <row r="21">
      <c r="A21" s="16" t="n"/>
      <c r="B21" s="17" t="n"/>
      <c r="C21" s="17" t="n"/>
      <c r="D21" s="18" t="n"/>
      <c r="E21" s="19">
        <f>IF(A21="","",ROUND(10*D21*IF(C21="Cardio",1.2,0.8),0))</f>
        <v/>
      </c>
      <c r="F21" s="17" t="n"/>
    </row>
    <row r="22">
      <c r="A22" s="16" t="n"/>
      <c r="B22" s="17" t="n"/>
      <c r="C22" s="17" t="n"/>
      <c r="D22" s="18" t="n"/>
      <c r="E22" s="19">
        <f>IF(A22="","",ROUND(10*D22*IF(C22="Cardio",1.2,0.8),0))</f>
        <v/>
      </c>
      <c r="F22" s="17" t="n"/>
    </row>
    <row r="23">
      <c r="A23" s="16" t="n"/>
      <c r="B23" s="17" t="n"/>
      <c r="C23" s="17" t="n"/>
      <c r="D23" s="18" t="n"/>
      <c r="E23" s="19">
        <f>IF(A23="","",ROUND(10*D23*IF(C23="Cardio",1.2,0.8),0))</f>
        <v/>
      </c>
      <c r="F23" s="17" t="n"/>
    </row>
    <row r="24">
      <c r="A24" s="16" t="n"/>
      <c r="B24" s="17" t="n"/>
      <c r="C24" s="17" t="n"/>
      <c r="D24" s="18" t="n"/>
      <c r="E24" s="19">
        <f>IF(A24="","",ROUND(10*D24*IF(C24="Cardio",1.2,0.8),0))</f>
        <v/>
      </c>
      <c r="F24" s="17" t="n"/>
    </row>
    <row r="25">
      <c r="A25" s="16" t="n"/>
      <c r="B25" s="17" t="n"/>
      <c r="C25" s="17" t="n"/>
      <c r="D25" s="18" t="n"/>
      <c r="E25" s="19">
        <f>IF(A25="","",ROUND(10*D25*IF(C25="Cardio",1.2,0.8),0))</f>
        <v/>
      </c>
      <c r="F25" s="17" t="n"/>
    </row>
    <row r="26">
      <c r="A26" s="16" t="n"/>
      <c r="B26" s="17" t="n"/>
      <c r="C26" s="17" t="n"/>
      <c r="D26" s="18" t="n"/>
      <c r="E26" s="19">
        <f>IF(A26="","",ROUND(10*D26*IF(C26="Cardio",1.2,0.8),0))</f>
        <v/>
      </c>
      <c r="F26" s="17" t="n"/>
    </row>
    <row r="27">
      <c r="A27" s="16" t="n"/>
      <c r="B27" s="17" t="n"/>
      <c r="C27" s="17" t="n"/>
      <c r="D27" s="18" t="n"/>
      <c r="E27" s="19">
        <f>IF(A27="","",ROUND(10*D27*IF(C27="Cardio",1.2,0.8),0))</f>
        <v/>
      </c>
      <c r="F27" s="17" t="n"/>
    </row>
    <row r="28">
      <c r="A28" s="16" t="n"/>
      <c r="B28" s="17" t="n"/>
      <c r="C28" s="17" t="n"/>
      <c r="D28" s="18" t="n"/>
      <c r="E28" s="19">
        <f>IF(A28="","",ROUND(10*D28*IF(C28="Cardio",1.2,0.8),0))</f>
        <v/>
      </c>
      <c r="F28" s="17" t="n"/>
    </row>
    <row r="29">
      <c r="A29" s="16" t="n"/>
      <c r="B29" s="17" t="n"/>
      <c r="C29" s="17" t="n"/>
      <c r="D29" s="18" t="n"/>
      <c r="E29" s="19">
        <f>IF(A29="","",ROUND(10*D29*IF(C29="Cardio",1.2,0.8),0))</f>
        <v/>
      </c>
      <c r="F29" s="17" t="n"/>
    </row>
    <row r="30">
      <c r="A30" s="16" t="n"/>
      <c r="B30" s="17" t="n"/>
      <c r="C30" s="17" t="n"/>
      <c r="D30" s="18" t="n"/>
      <c r="E30" s="19">
        <f>IF(A30="","",ROUND(10*D30*IF(C30="Cardio",1.2,0.8),0))</f>
        <v/>
      </c>
      <c r="F30" s="17" t="n"/>
    </row>
    <row r="31">
      <c r="A31" s="16" t="n"/>
      <c r="B31" s="17" t="n"/>
      <c r="C31" s="17" t="n"/>
      <c r="D31" s="18" t="n"/>
      <c r="E31" s="19">
        <f>IF(A31="","",ROUND(10*D31*IF(C31="Cardio",1.2,0.8),0))</f>
        <v/>
      </c>
      <c r="F31" s="17" t="n"/>
    </row>
    <row r="32">
      <c r="A32" s="16" t="n"/>
      <c r="B32" s="17" t="n"/>
      <c r="C32" s="17" t="n"/>
      <c r="D32" s="18" t="n"/>
      <c r="E32" s="19">
        <f>IF(A32="","",ROUND(10*D32*IF(C32="Cardio",1.2,0.8),0))</f>
        <v/>
      </c>
      <c r="F32" s="17" t="n"/>
    </row>
    <row r="33">
      <c r="A33" s="16" t="n"/>
      <c r="B33" s="17" t="n"/>
      <c r="C33" s="17" t="n"/>
      <c r="D33" s="18" t="n"/>
      <c r="E33" s="19">
        <f>IF(A33="","",ROUND(10*D33*IF(C33="Cardio",1.2,0.8),0))</f>
        <v/>
      </c>
      <c r="F33" s="17" t="n"/>
    </row>
    <row r="34">
      <c r="A34" s="16" t="n"/>
      <c r="B34" s="17" t="n"/>
      <c r="C34" s="17" t="n"/>
      <c r="D34" s="18" t="n"/>
      <c r="E34" s="19">
        <f>IF(A34="","",ROUND(10*D34*IF(C34="Cardio",1.2,0.8),0))</f>
        <v/>
      </c>
      <c r="F34" s="17" t="n"/>
    </row>
    <row r="35">
      <c r="A35" s="16" t="n"/>
      <c r="B35" s="17" t="n"/>
      <c r="C35" s="17" t="n"/>
      <c r="D35" s="18" t="n"/>
      <c r="E35" s="19">
        <f>IF(A35="","",ROUND(10*D35*IF(C35="Cardio",1.2,0.8),0))</f>
        <v/>
      </c>
      <c r="F35" s="17" t="n"/>
    </row>
    <row r="36">
      <c r="A36" s="16" t="n"/>
      <c r="B36" s="17" t="n"/>
      <c r="C36" s="17" t="n"/>
      <c r="D36" s="18" t="n"/>
      <c r="E36" s="19">
        <f>IF(A36="","",ROUND(10*D36*IF(C36="Cardio",1.2,0.8),0))</f>
        <v/>
      </c>
      <c r="F36" s="17" t="n"/>
    </row>
    <row r="37">
      <c r="A37" s="16" t="n"/>
      <c r="B37" s="17" t="n"/>
      <c r="C37" s="17" t="n"/>
      <c r="D37" s="18" t="n"/>
      <c r="E37" s="19">
        <f>IF(A37="","",ROUND(10*D37*IF(C37="Cardio",1.2,0.8),0))</f>
        <v/>
      </c>
      <c r="F37" s="17" t="n"/>
    </row>
    <row r="38">
      <c r="A38" s="16" t="n"/>
      <c r="B38" s="17" t="n"/>
      <c r="C38" s="17" t="n"/>
      <c r="D38" s="18" t="n"/>
      <c r="E38" s="19">
        <f>IF(A38="","",ROUND(10*D38*IF(C38="Cardio",1.2,0.8),0))</f>
        <v/>
      </c>
      <c r="F38" s="17" t="n"/>
    </row>
    <row r="39">
      <c r="A39" s="16" t="n"/>
      <c r="B39" s="17" t="n"/>
      <c r="C39" s="17" t="n"/>
      <c r="D39" s="18" t="n"/>
      <c r="E39" s="19">
        <f>IF(A39="","",ROUND(10*D39*IF(C39="Cardio",1.2,0.8),0))</f>
        <v/>
      </c>
      <c r="F39" s="17" t="n"/>
    </row>
    <row r="40">
      <c r="A40" s="16" t="n"/>
      <c r="B40" s="17" t="n"/>
      <c r="C40" s="17" t="n"/>
      <c r="D40" s="18" t="n"/>
      <c r="E40" s="19">
        <f>IF(A40="","",ROUND(10*D40*IF(C40="Cardio",1.2,0.8),0))</f>
        <v/>
      </c>
      <c r="F40" s="17" t="n"/>
    </row>
    <row r="41">
      <c r="A41" s="16" t="n"/>
      <c r="B41" s="17" t="n"/>
      <c r="C41" s="17" t="n"/>
      <c r="D41" s="18" t="n"/>
      <c r="E41" s="19">
        <f>IF(A41="","",ROUND(10*D41*IF(C41="Cardio",1.2,0.8),0))</f>
        <v/>
      </c>
      <c r="F41" s="17" t="n"/>
    </row>
    <row r="42">
      <c r="A42" s="16" t="n"/>
      <c r="B42" s="17" t="n"/>
      <c r="C42" s="17" t="n"/>
      <c r="D42" s="18" t="n"/>
      <c r="E42" s="19">
        <f>IF(A42="","",ROUND(10*D42*IF(C42="Cardio",1.2,0.8),0))</f>
        <v/>
      </c>
      <c r="F42" s="17" t="n"/>
    </row>
    <row r="43">
      <c r="A43" s="16" t="n"/>
      <c r="B43" s="17" t="n"/>
      <c r="C43" s="17" t="n"/>
      <c r="D43" s="18" t="n"/>
      <c r="E43" s="19">
        <f>IF(A43="","",ROUND(10*D43*IF(C43="Cardio",1.2,0.8),0))</f>
        <v/>
      </c>
      <c r="F43" s="17" t="n"/>
    </row>
    <row r="44">
      <c r="A44" s="16" t="n"/>
      <c r="B44" s="17" t="n"/>
      <c r="C44" s="17" t="n"/>
      <c r="D44" s="18" t="n"/>
      <c r="E44" s="19">
        <f>IF(A44="","",ROUND(10*D44*IF(C44="Cardio",1.2,0.8),0))</f>
        <v/>
      </c>
      <c r="F44" s="17" t="n"/>
    </row>
    <row r="45">
      <c r="A45" s="16" t="n"/>
      <c r="B45" s="17" t="n"/>
      <c r="C45" s="17" t="n"/>
      <c r="D45" s="18" t="n"/>
      <c r="E45" s="19">
        <f>IF(A45="","",ROUND(10*D45*IF(C45="Cardio",1.2,0.8),0))</f>
        <v/>
      </c>
      <c r="F45" s="17" t="n"/>
    </row>
    <row r="46">
      <c r="A46" s="16" t="n"/>
      <c r="B46" s="17" t="n"/>
      <c r="C46" s="17" t="n"/>
      <c r="D46" s="18" t="n"/>
      <c r="E46" s="19">
        <f>IF(A46="","",ROUND(10*D46*IF(C46="Cardio",1.2,0.8),0))</f>
        <v/>
      </c>
      <c r="F46" s="17" t="n"/>
    </row>
    <row r="47">
      <c r="A47" s="16" t="n"/>
      <c r="B47" s="17" t="n"/>
      <c r="C47" s="17" t="n"/>
      <c r="D47" s="18" t="n"/>
      <c r="E47" s="19">
        <f>IF(A47="","",ROUND(10*D47*IF(C47="Cardio",1.2,0.8),0))</f>
        <v/>
      </c>
      <c r="F47" s="17" t="n"/>
    </row>
    <row r="48">
      <c r="A48" s="16" t="n"/>
      <c r="B48" s="17" t="n"/>
      <c r="C48" s="17" t="n"/>
      <c r="D48" s="18" t="n"/>
      <c r="E48" s="19">
        <f>IF(A48="","",ROUND(10*D48*IF(C48="Cardio",1.2,0.8),0))</f>
        <v/>
      </c>
      <c r="F48" s="17" t="n"/>
    </row>
    <row r="49">
      <c r="A49" s="16" t="n"/>
      <c r="B49" s="17" t="n"/>
      <c r="C49" s="17" t="n"/>
      <c r="D49" s="18" t="n"/>
      <c r="E49" s="19">
        <f>IF(A49="","",ROUND(10*D49*IF(C49="Cardio",1.2,0.8),0))</f>
        <v/>
      </c>
      <c r="F49" s="17" t="n"/>
    </row>
    <row r="50">
      <c r="A50" s="16" t="n"/>
      <c r="B50" s="17" t="n"/>
      <c r="C50" s="17" t="n"/>
      <c r="D50" s="18" t="n"/>
      <c r="E50" s="19">
        <f>IF(A50="","",ROUND(10*D50*IF(C50="Cardio",1.2,0.8),0))</f>
        <v/>
      </c>
      <c r="F50" s="17" t="n"/>
    </row>
    <row r="51">
      <c r="A51" s="16" t="n"/>
      <c r="B51" s="17" t="n"/>
      <c r="C51" s="17" t="n"/>
      <c r="D51" s="18" t="n"/>
      <c r="E51" s="19">
        <f>IF(A51="","",ROUND(10*D51*IF(C51="Cardio",1.2,0.8),0))</f>
        <v/>
      </c>
      <c r="F51" s="17" t="n"/>
    </row>
    <row r="52">
      <c r="A52" s="16" t="n"/>
      <c r="B52" s="17" t="n"/>
      <c r="C52" s="17" t="n"/>
      <c r="D52" s="18" t="n"/>
      <c r="E52" s="19">
        <f>IF(A52="","",ROUND(10*D52*IF(C52="Cardio",1.2,0.8),0))</f>
        <v/>
      </c>
      <c r="F52" s="17" t="n"/>
    </row>
    <row r="53">
      <c r="A53" s="16" t="n"/>
      <c r="B53" s="17" t="n"/>
      <c r="C53" s="17" t="n"/>
      <c r="D53" s="18" t="n"/>
      <c r="E53" s="19">
        <f>IF(A53="","",ROUND(10*D53*IF(C53="Cardio",1.2,0.8),0))</f>
        <v/>
      </c>
      <c r="F53" s="17" t="n"/>
    </row>
    <row r="54">
      <c r="A54" s="16" t="n"/>
      <c r="B54" s="17" t="n"/>
      <c r="C54" s="17" t="n"/>
      <c r="D54" s="18" t="n"/>
      <c r="E54" s="19">
        <f>IF(A54="","",ROUND(10*D54*IF(C54="Cardio",1.2,0.8),0))</f>
        <v/>
      </c>
      <c r="F54" s="17" t="n"/>
    </row>
    <row r="55">
      <c r="A55" s="16" t="n"/>
      <c r="B55" s="17" t="n"/>
      <c r="C55" s="17" t="n"/>
      <c r="D55" s="18" t="n"/>
      <c r="E55" s="19">
        <f>IF(A55="","",ROUND(10*D55*IF(C55="Cardio",1.2,0.8),0))</f>
        <v/>
      </c>
      <c r="F55" s="17" t="n"/>
    </row>
    <row r="56">
      <c r="A56" s="16" t="n"/>
      <c r="B56" s="17" t="n"/>
      <c r="C56" s="17" t="n"/>
      <c r="D56" s="18" t="n"/>
      <c r="E56" s="19">
        <f>IF(A56="","",ROUND(10*D56*IF(C56="Cardio",1.2,0.8),0))</f>
        <v/>
      </c>
      <c r="F56" s="17" t="n"/>
    </row>
    <row r="57">
      <c r="A57" s="16" t="n"/>
      <c r="B57" s="17" t="n"/>
      <c r="C57" s="17" t="n"/>
      <c r="D57" s="18" t="n"/>
      <c r="E57" s="19">
        <f>IF(A57="","",ROUND(10*D57*IF(C57="Cardio",1.2,0.8),0))</f>
        <v/>
      </c>
      <c r="F57" s="17" t="n"/>
    </row>
    <row r="58">
      <c r="A58" s="16" t="n"/>
      <c r="B58" s="17" t="n"/>
      <c r="C58" s="17" t="n"/>
      <c r="D58" s="18" t="n"/>
      <c r="E58" s="19">
        <f>IF(A58="","",ROUND(10*D58*IF(C58="Cardio",1.2,0.8),0))</f>
        <v/>
      </c>
      <c r="F58" s="17" t="n"/>
    </row>
    <row r="59">
      <c r="A59" s="16" t="n"/>
      <c r="B59" s="17" t="n"/>
      <c r="C59" s="17" t="n"/>
      <c r="D59" s="18" t="n"/>
      <c r="E59" s="19">
        <f>IF(A59="","",ROUND(10*D59*IF(C59="Cardio",1.2,0.8),0))</f>
        <v/>
      </c>
      <c r="F59" s="17" t="n"/>
    </row>
    <row r="60">
      <c r="A60" s="16" t="n"/>
      <c r="B60" s="17" t="n"/>
      <c r="C60" s="17" t="n"/>
      <c r="D60" s="18" t="n"/>
      <c r="E60" s="19">
        <f>IF(A60="","",ROUND(10*D60*IF(C60="Cardio",1.2,0.8),0))</f>
        <v/>
      </c>
      <c r="F60" s="17" t="n"/>
    </row>
    <row r="61">
      <c r="A61" s="16" t="n"/>
      <c r="B61" s="17" t="n"/>
      <c r="C61" s="17" t="n"/>
      <c r="D61" s="18" t="n"/>
      <c r="E61" s="19">
        <f>IF(A61="","",ROUND(10*D61*IF(C61="Cardio",1.2,0.8),0))</f>
        <v/>
      </c>
      <c r="F61" s="17" t="n"/>
    </row>
    <row r="62">
      <c r="A62" s="16" t="n"/>
      <c r="B62" s="17" t="n"/>
      <c r="C62" s="17" t="n"/>
      <c r="D62" s="18" t="n"/>
      <c r="E62" s="19">
        <f>IF(A62="","",ROUND(10*D62*IF(C62="Cardio",1.2,0.8),0))</f>
        <v/>
      </c>
      <c r="F62" s="17" t="n"/>
    </row>
    <row r="63">
      <c r="A63" s="16" t="n"/>
      <c r="B63" s="17" t="n"/>
      <c r="C63" s="17" t="n"/>
      <c r="D63" s="18" t="n"/>
      <c r="E63" s="19">
        <f>IF(A63="","",ROUND(10*D63*IF(C63="Cardio",1.2,0.8),0))</f>
        <v/>
      </c>
      <c r="F63" s="17" t="n"/>
    </row>
    <row r="64">
      <c r="A64" s="16" t="n"/>
      <c r="B64" s="17" t="n"/>
      <c r="C64" s="17" t="n"/>
      <c r="D64" s="18" t="n"/>
      <c r="E64" s="19">
        <f>IF(A64="","",ROUND(10*D64*IF(C64="Cardio",1.2,0.8),0))</f>
        <v/>
      </c>
      <c r="F64" s="17" t="n"/>
    </row>
    <row r="65">
      <c r="A65" s="16" t="n"/>
      <c r="B65" s="17" t="n"/>
      <c r="C65" s="17" t="n"/>
      <c r="D65" s="18" t="n"/>
      <c r="E65" s="19">
        <f>IF(A65="","",ROUND(10*D65*IF(C65="Cardio",1.2,0.8),0))</f>
        <v/>
      </c>
      <c r="F65" s="17" t="n"/>
    </row>
    <row r="66">
      <c r="A66" s="16" t="n"/>
      <c r="B66" s="17" t="n"/>
      <c r="C66" s="17" t="n"/>
      <c r="D66" s="18" t="n"/>
      <c r="E66" s="19">
        <f>IF(A66="","",ROUND(10*D66*IF(C66="Cardio",1.2,0.8),0))</f>
        <v/>
      </c>
      <c r="F66" s="17" t="n"/>
    </row>
    <row r="67">
      <c r="A67" s="16" t="n"/>
      <c r="B67" s="17" t="n"/>
      <c r="C67" s="17" t="n"/>
      <c r="D67" s="18" t="n"/>
      <c r="E67" s="19">
        <f>IF(A67="","",ROUND(10*D67*IF(C67="Cardio",1.2,0.8),0))</f>
        <v/>
      </c>
      <c r="F67" s="17" t="n"/>
    </row>
    <row r="68">
      <c r="A68" s="16" t="n"/>
      <c r="B68" s="17" t="n"/>
      <c r="C68" s="17" t="n"/>
      <c r="D68" s="18" t="n"/>
      <c r="E68" s="19">
        <f>IF(A68="","",ROUND(10*D68*IF(C68="Cardio",1.2,0.8),0))</f>
        <v/>
      </c>
      <c r="F68" s="17" t="n"/>
    </row>
    <row r="69">
      <c r="A69" s="16" t="n"/>
      <c r="B69" s="17" t="n"/>
      <c r="C69" s="17" t="n"/>
      <c r="D69" s="18" t="n"/>
      <c r="E69" s="19">
        <f>IF(A69="","",ROUND(10*D69*IF(C69="Cardio",1.2,0.8),0))</f>
        <v/>
      </c>
      <c r="F69" s="17" t="n"/>
    </row>
    <row r="70">
      <c r="A70" s="16" t="n"/>
      <c r="B70" s="17" t="n"/>
      <c r="C70" s="17" t="n"/>
      <c r="D70" s="18" t="n"/>
      <c r="E70" s="19">
        <f>IF(A70="","",ROUND(10*D70*IF(C70="Cardio",1.2,0.8),0))</f>
        <v/>
      </c>
      <c r="F70" s="17" t="n"/>
    </row>
    <row r="71">
      <c r="A71" s="16" t="n"/>
      <c r="B71" s="17" t="n"/>
      <c r="C71" s="17" t="n"/>
      <c r="D71" s="18" t="n"/>
      <c r="E71" s="19">
        <f>IF(A71="","",ROUND(10*D71*IF(C71="Cardio",1.2,0.8),0))</f>
        <v/>
      </c>
      <c r="F71" s="17" t="n"/>
    </row>
    <row r="72">
      <c r="A72" s="16" t="n"/>
      <c r="B72" s="17" t="n"/>
      <c r="C72" s="17" t="n"/>
      <c r="D72" s="18" t="n"/>
      <c r="E72" s="19">
        <f>IF(A72="","",ROUND(10*D72*IF(C72="Cardio",1.2,0.8),0))</f>
        <v/>
      </c>
      <c r="F72" s="17" t="n"/>
    </row>
    <row r="73">
      <c r="A73" s="16" t="n"/>
      <c r="B73" s="17" t="n"/>
      <c r="C73" s="17" t="n"/>
      <c r="D73" s="18" t="n"/>
      <c r="E73" s="19">
        <f>IF(A73="","",ROUND(10*D73*IF(C73="Cardio",1.2,0.8),0))</f>
        <v/>
      </c>
      <c r="F73" s="17" t="n"/>
    </row>
    <row r="74">
      <c r="A74" s="16" t="n"/>
      <c r="B74" s="17" t="n"/>
      <c r="C74" s="17" t="n"/>
      <c r="D74" s="18" t="n"/>
      <c r="E74" s="19">
        <f>IF(A74="","",ROUND(10*D74*IF(C74="Cardio",1.2,0.8),0))</f>
        <v/>
      </c>
      <c r="F74" s="17" t="n"/>
    </row>
    <row r="75">
      <c r="A75" s="16" t="n"/>
      <c r="B75" s="17" t="n"/>
      <c r="C75" s="17" t="n"/>
      <c r="D75" s="18" t="n"/>
      <c r="E75" s="19">
        <f>IF(A75="","",ROUND(10*D75*IF(C75="Cardio",1.2,0.8),0))</f>
        <v/>
      </c>
      <c r="F75" s="17" t="n"/>
    </row>
    <row r="76">
      <c r="A76" s="16" t="n"/>
      <c r="B76" s="17" t="n"/>
      <c r="C76" s="17" t="n"/>
      <c r="D76" s="18" t="n"/>
      <c r="E76" s="19">
        <f>IF(A76="","",ROUND(10*D76*IF(C76="Cardio",1.2,0.8),0))</f>
        <v/>
      </c>
      <c r="F76" s="17" t="n"/>
    </row>
    <row r="77">
      <c r="A77" s="16" t="n"/>
      <c r="B77" s="17" t="n"/>
      <c r="C77" s="17" t="n"/>
      <c r="D77" s="18" t="n"/>
      <c r="E77" s="19">
        <f>IF(A77="","",ROUND(10*D77*IF(C77="Cardio",1.2,0.8),0))</f>
        <v/>
      </c>
      <c r="F77" s="17" t="n"/>
    </row>
    <row r="78">
      <c r="A78" s="16" t="n"/>
      <c r="B78" s="17" t="n"/>
      <c r="C78" s="17" t="n"/>
      <c r="D78" s="18" t="n"/>
      <c r="E78" s="19">
        <f>IF(A78="","",ROUND(10*D78*IF(C78="Cardio",1.2,0.8),0))</f>
        <v/>
      </c>
      <c r="F78" s="17" t="n"/>
    </row>
    <row r="79">
      <c r="A79" s="16" t="n"/>
      <c r="B79" s="17" t="n"/>
      <c r="C79" s="17" t="n"/>
      <c r="D79" s="18" t="n"/>
      <c r="E79" s="19">
        <f>IF(A79="","",ROUND(10*D79*IF(C79="Cardio",1.2,0.8),0))</f>
        <v/>
      </c>
      <c r="F79" s="17" t="n"/>
    </row>
    <row r="80">
      <c r="A80" s="16" t="n"/>
      <c r="B80" s="17" t="n"/>
      <c r="C80" s="17" t="n"/>
      <c r="D80" s="18" t="n"/>
      <c r="E80" s="19">
        <f>IF(A80="","",ROUND(10*D80*IF(C80="Cardio",1.2,0.8),0))</f>
        <v/>
      </c>
      <c r="F80" s="17" t="n"/>
    </row>
    <row r="81">
      <c r="A81" s="16" t="n"/>
      <c r="B81" s="17" t="n"/>
      <c r="C81" s="17" t="n"/>
      <c r="D81" s="18" t="n"/>
      <c r="E81" s="19">
        <f>IF(A81="","",ROUND(10*D81*IF(C81="Cardio",1.2,0.8),0))</f>
        <v/>
      </c>
      <c r="F81" s="17" t="n"/>
    </row>
    <row r="82">
      <c r="A82" s="16" t="n"/>
      <c r="B82" s="17" t="n"/>
      <c r="C82" s="17" t="n"/>
      <c r="D82" s="18" t="n"/>
      <c r="E82" s="19">
        <f>IF(A82="","",ROUND(10*D82*IF(C82="Cardio",1.2,0.8),0))</f>
        <v/>
      </c>
      <c r="F82" s="17" t="n"/>
    </row>
    <row r="83">
      <c r="A83" s="16" t="n"/>
      <c r="B83" s="17" t="n"/>
      <c r="C83" s="17" t="n"/>
      <c r="D83" s="18" t="n"/>
      <c r="E83" s="19">
        <f>IF(A83="","",ROUND(10*D83*IF(C83="Cardio",1.2,0.8),0))</f>
        <v/>
      </c>
      <c r="F83" s="17" t="n"/>
    </row>
    <row r="84">
      <c r="A84" s="16" t="n"/>
      <c r="B84" s="17" t="n"/>
      <c r="C84" s="17" t="n"/>
      <c r="D84" s="18" t="n"/>
      <c r="E84" s="19">
        <f>IF(A84="","",ROUND(10*D84*IF(C84="Cardio",1.2,0.8),0))</f>
        <v/>
      </c>
      <c r="F84" s="17" t="n"/>
    </row>
    <row r="85">
      <c r="A85" s="16" t="n"/>
      <c r="B85" s="17" t="n"/>
      <c r="C85" s="17" t="n"/>
      <c r="D85" s="18" t="n"/>
      <c r="E85" s="19">
        <f>IF(A85="","",ROUND(10*D85*IF(C85="Cardio",1.2,0.8),0))</f>
        <v/>
      </c>
      <c r="F85" s="17" t="n"/>
    </row>
    <row r="86">
      <c r="A86" s="16" t="n"/>
      <c r="B86" s="17" t="n"/>
      <c r="C86" s="17" t="n"/>
      <c r="D86" s="18" t="n"/>
      <c r="E86" s="19">
        <f>IF(A86="","",ROUND(10*D86*IF(C86="Cardio",1.2,0.8),0))</f>
        <v/>
      </c>
      <c r="F86" s="17" t="n"/>
    </row>
    <row r="87">
      <c r="A87" s="16" t="n"/>
      <c r="B87" s="17" t="n"/>
      <c r="C87" s="17" t="n"/>
      <c r="D87" s="18" t="n"/>
      <c r="E87" s="19">
        <f>IF(A87="","",ROUND(10*D87*IF(C87="Cardio",1.2,0.8),0))</f>
        <v/>
      </c>
      <c r="F87" s="17" t="n"/>
    </row>
    <row r="88">
      <c r="A88" s="16" t="n"/>
      <c r="B88" s="17" t="n"/>
      <c r="C88" s="17" t="n"/>
      <c r="D88" s="18" t="n"/>
      <c r="E88" s="19">
        <f>IF(A88="","",ROUND(10*D88*IF(C88="Cardio",1.2,0.8),0))</f>
        <v/>
      </c>
      <c r="F88" s="17" t="n"/>
    </row>
    <row r="89">
      <c r="A89" s="16" t="n"/>
      <c r="B89" s="17" t="n"/>
      <c r="C89" s="17" t="n"/>
      <c r="D89" s="18" t="n"/>
      <c r="E89" s="19">
        <f>IF(A89="","",ROUND(10*D89*IF(C89="Cardio",1.2,0.8),0))</f>
        <v/>
      </c>
      <c r="F89" s="17" t="n"/>
    </row>
    <row r="90">
      <c r="A90" s="16" t="n"/>
      <c r="B90" s="17" t="n"/>
      <c r="C90" s="17" t="n"/>
      <c r="D90" s="18" t="n"/>
      <c r="E90" s="19">
        <f>IF(A90="","",ROUND(10*D90*IF(C90="Cardio",1.2,0.8),0))</f>
        <v/>
      </c>
      <c r="F90" s="17" t="n"/>
    </row>
    <row r="91">
      <c r="A91" s="16" t="n"/>
      <c r="B91" s="17" t="n"/>
      <c r="C91" s="17" t="n"/>
      <c r="D91" s="18" t="n"/>
      <c r="E91" s="19">
        <f>IF(A91="","",ROUND(10*D91*IF(C91="Cardio",1.2,0.8),0))</f>
        <v/>
      </c>
      <c r="F91" s="17" t="n"/>
    </row>
    <row r="92">
      <c r="A92" s="16" t="n"/>
      <c r="B92" s="17" t="n"/>
      <c r="C92" s="17" t="n"/>
      <c r="D92" s="18" t="n"/>
      <c r="E92" s="19">
        <f>IF(A92="","",ROUND(10*D92*IF(C92="Cardio",1.2,0.8),0))</f>
        <v/>
      </c>
      <c r="F92" s="17" t="n"/>
    </row>
    <row r="93">
      <c r="A93" s="16" t="n"/>
      <c r="B93" s="17" t="n"/>
      <c r="C93" s="17" t="n"/>
      <c r="D93" s="18" t="n"/>
      <c r="E93" s="19">
        <f>IF(A93="","",ROUND(10*D93*IF(C93="Cardio",1.2,0.8),0))</f>
        <v/>
      </c>
      <c r="F93" s="17" t="n"/>
    </row>
    <row r="94">
      <c r="A94" s="16" t="n"/>
      <c r="B94" s="17" t="n"/>
      <c r="C94" s="17" t="n"/>
      <c r="D94" s="18" t="n"/>
      <c r="E94" s="19">
        <f>IF(A94="","",ROUND(10*D94*IF(C94="Cardio",1.2,0.8),0))</f>
        <v/>
      </c>
      <c r="F94" s="17" t="n"/>
    </row>
    <row r="95">
      <c r="A95" s="16" t="n"/>
      <c r="B95" s="17" t="n"/>
      <c r="C95" s="17" t="n"/>
      <c r="D95" s="18" t="n"/>
      <c r="E95" s="19">
        <f>IF(A95="","",ROUND(10*D95*IF(C95="Cardio",1.2,0.8),0))</f>
        <v/>
      </c>
      <c r="F95" s="17" t="n"/>
    </row>
    <row r="96">
      <c r="A96" s="16" t="n"/>
      <c r="B96" s="17" t="n"/>
      <c r="C96" s="17" t="n"/>
      <c r="D96" s="18" t="n"/>
      <c r="E96" s="19">
        <f>IF(A96="","",ROUND(10*D96*IF(C96="Cardio",1.2,0.8),0))</f>
        <v/>
      </c>
      <c r="F96" s="17" t="n"/>
    </row>
    <row r="97">
      <c r="A97" s="16" t="n"/>
      <c r="B97" s="17" t="n"/>
      <c r="C97" s="17" t="n"/>
      <c r="D97" s="18" t="n"/>
      <c r="E97" s="19">
        <f>IF(A97="","",ROUND(10*D97*IF(C97="Cardio",1.2,0.8),0))</f>
        <v/>
      </c>
      <c r="F97" s="17" t="n"/>
    </row>
    <row r="98">
      <c r="A98" s="16" t="n"/>
      <c r="B98" s="17" t="n"/>
      <c r="C98" s="17" t="n"/>
      <c r="D98" s="18" t="n"/>
      <c r="E98" s="19">
        <f>IF(A98="","",ROUND(10*D98*IF(C98="Cardio",1.2,0.8),0))</f>
        <v/>
      </c>
      <c r="F98" s="17" t="n"/>
    </row>
    <row r="99">
      <c r="A99" s="16" t="n"/>
      <c r="B99" s="17" t="n"/>
      <c r="C99" s="17" t="n"/>
      <c r="D99" s="18" t="n"/>
      <c r="E99" s="19">
        <f>IF(A99="","",ROUND(10*D99*IF(C99="Cardio",1.2,0.8),0))</f>
        <v/>
      </c>
      <c r="F99" s="17" t="n"/>
    </row>
    <row r="100">
      <c r="A100" s="16" t="n"/>
      <c r="B100" s="17" t="n"/>
      <c r="C100" s="17" t="n"/>
      <c r="D100" s="18" t="n"/>
      <c r="E100" s="19">
        <f>IF(A100="","",ROUND(10*D100*IF(C100="Cardio",1.2,0.8),0))</f>
        <v/>
      </c>
      <c r="F100" s="17" t="n"/>
    </row>
    <row r="101">
      <c r="A101" s="16" t="n"/>
      <c r="B101" s="17" t="n"/>
      <c r="C101" s="17" t="n"/>
      <c r="D101" s="18" t="n"/>
      <c r="E101" s="19">
        <f>IF(A101="","",ROUND(10*D101*IF(C101="Cardio",1.2,0.8),0))</f>
        <v/>
      </c>
      <c r="F101" s="17" t="n"/>
    </row>
    <row r="102">
      <c r="A102" s="16" t="n"/>
      <c r="B102" s="17" t="n"/>
      <c r="C102" s="17" t="n"/>
      <c r="D102" s="18" t="n"/>
      <c r="E102" s="19">
        <f>IF(A102="","",ROUND(10*D102*IF(C102="Cardio",1.2,0.8),0))</f>
        <v/>
      </c>
      <c r="F102" s="17" t="n"/>
    </row>
    <row r="103">
      <c r="A103" s="16" t="n"/>
      <c r="B103" s="17" t="n"/>
      <c r="C103" s="17" t="n"/>
      <c r="D103" s="18" t="n"/>
      <c r="E103" s="19">
        <f>IF(A103="","",ROUND(10*D103*IF(C103="Cardio",1.2,0.8),0))</f>
        <v/>
      </c>
      <c r="F103" s="17" t="n"/>
    </row>
  </sheetData>
  <conditionalFormatting sqref="D2:D103">
    <cfRule type="cellIs" priority="1" operator="lessThan" dxfId="0">
      <formula>0</formula>
    </cfRule>
  </conditionalFormatting>
  <conditionalFormatting sqref="E2:E103">
    <cfRule type="cellIs" priority="2" operator="lessThan" dxfId="0">
      <formula>0</formula>
    </cfRule>
  </conditionalFormatting>
  <dataValidations count="1">
    <dataValidation sqref="C2:C103" showDropDown="0" showInputMessage="0" showErrorMessage="0" allowBlank="1" type="list">
      <formula1>"Fuerza,Cardio,Flexibilidad,Mixto"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0" customWidth="1" min="4" max="4"/>
    <col width="13" customWidth="1" min="5" max="5"/>
    <col width="40" customWidth="1" min="6" max="6"/>
  </cols>
  <sheetData>
    <row r="1" ht="32" customHeight="1">
      <c r="A1" s="15" t="inlineStr">
        <is>
          <t>Fecha</t>
        </is>
      </c>
      <c r="B1" s="15" t="inlineStr">
        <is>
          <t>Cliente</t>
        </is>
      </c>
      <c r="C1" s="15" t="inlineStr">
        <is>
          <t>Proteínas (g)</t>
        </is>
      </c>
      <c r="D1" s="15" t="inlineStr">
        <is>
          <t>Carbohidratos (g)</t>
        </is>
      </c>
      <c r="E1" s="15" t="inlineStr">
        <is>
          <t>Grasas (g)</t>
        </is>
      </c>
      <c r="F1" s="15" t="inlineStr">
        <is>
          <t>Total Cal</t>
        </is>
      </c>
    </row>
    <row r="2">
      <c r="A2" s="16" t="n">
        <v>46054</v>
      </c>
      <c r="B2" s="17" t="inlineStr">
        <is>
          <t>Carlos M.</t>
        </is>
      </c>
      <c r="C2" s="18" t="n">
        <v>180</v>
      </c>
      <c r="D2" s="18" t="n">
        <v>250</v>
      </c>
      <c r="E2" s="18" t="n">
        <v>70</v>
      </c>
      <c r="F2" s="19">
        <f>ROUND((C2*4)+(D2*4)+(E2*9),0)</f>
        <v/>
      </c>
    </row>
    <row r="3">
      <c r="A3" s="16" t="n">
        <v>46054</v>
      </c>
      <c r="B3" s="17" t="inlineStr">
        <is>
          <t>Luis H.</t>
        </is>
      </c>
      <c r="C3" s="18" t="n">
        <v>160</v>
      </c>
      <c r="D3" s="18" t="n">
        <v>180</v>
      </c>
      <c r="E3" s="18" t="n">
        <v>50</v>
      </c>
      <c r="F3" s="19">
        <f>ROUND((C3*4)+(D3*4)+(E3*9),0)</f>
        <v/>
      </c>
    </row>
    <row r="4">
      <c r="A4" s="16" t="n"/>
      <c r="B4" s="17" t="n"/>
      <c r="C4" s="18" t="n"/>
      <c r="D4" s="18" t="n"/>
      <c r="E4" s="18" t="n"/>
      <c r="F4" s="19">
        <f>IF(A4="","",ROUND((C4*4)+(D4*4)+(E4*9),0))</f>
        <v/>
      </c>
    </row>
    <row r="5">
      <c r="A5" s="16" t="n"/>
      <c r="B5" s="17" t="n"/>
      <c r="C5" s="18" t="n"/>
      <c r="D5" s="18" t="n"/>
      <c r="E5" s="18" t="n"/>
      <c r="F5" s="19">
        <f>IF(A5="","",ROUND((C5*4)+(D5*4)+(E5*9),0))</f>
        <v/>
      </c>
    </row>
    <row r="6">
      <c r="A6" s="16" t="n"/>
      <c r="B6" s="17" t="n"/>
      <c r="C6" s="18" t="n"/>
      <c r="D6" s="18" t="n"/>
      <c r="E6" s="18" t="n"/>
      <c r="F6" s="19">
        <f>IF(A6="","",ROUND((C6*4)+(D6*4)+(E6*9),0))</f>
        <v/>
      </c>
    </row>
    <row r="7">
      <c r="A7" s="16" t="n"/>
      <c r="B7" s="17" t="n"/>
      <c r="C7" s="18" t="n"/>
      <c r="D7" s="18" t="n"/>
      <c r="E7" s="18" t="n"/>
      <c r="F7" s="19">
        <f>IF(A7="","",ROUND((C7*4)+(D7*4)+(E7*9),0))</f>
        <v/>
      </c>
    </row>
    <row r="8">
      <c r="A8" s="16" t="n"/>
      <c r="B8" s="17" t="n"/>
      <c r="C8" s="18" t="n"/>
      <c r="D8" s="18" t="n"/>
      <c r="E8" s="18" t="n"/>
      <c r="F8" s="19">
        <f>IF(A8="","",ROUND((C8*4)+(D8*4)+(E8*9),0))</f>
        <v/>
      </c>
    </row>
    <row r="9">
      <c r="A9" s="16" t="n"/>
      <c r="B9" s="17" t="n"/>
      <c r="C9" s="18" t="n"/>
      <c r="D9" s="18" t="n"/>
      <c r="E9" s="18" t="n"/>
      <c r="F9" s="19">
        <f>IF(A9="","",ROUND((C9*4)+(D9*4)+(E9*9),0))</f>
        <v/>
      </c>
    </row>
    <row r="10">
      <c r="A10" s="16" t="n"/>
      <c r="B10" s="17" t="n"/>
      <c r="C10" s="18" t="n"/>
      <c r="D10" s="18" t="n"/>
      <c r="E10" s="18" t="n"/>
      <c r="F10" s="19">
        <f>IF(A10="","",ROUND((C10*4)+(D10*4)+(E10*9),0))</f>
        <v/>
      </c>
    </row>
    <row r="11">
      <c r="A11" s="16" t="n"/>
      <c r="B11" s="17" t="n"/>
      <c r="C11" s="18" t="n"/>
      <c r="D11" s="18" t="n"/>
      <c r="E11" s="18" t="n"/>
      <c r="F11" s="19">
        <f>IF(A11="","",ROUND((C11*4)+(D11*4)+(E11*9),0))</f>
        <v/>
      </c>
    </row>
    <row r="12">
      <c r="A12" s="16" t="n"/>
      <c r="B12" s="17" t="n"/>
      <c r="C12" s="18" t="n"/>
      <c r="D12" s="18" t="n"/>
      <c r="E12" s="18" t="n"/>
      <c r="F12" s="19">
        <f>IF(A12="","",ROUND((C12*4)+(D12*4)+(E12*9),0))</f>
        <v/>
      </c>
    </row>
    <row r="13">
      <c r="A13" s="16" t="n"/>
      <c r="B13" s="17" t="n"/>
      <c r="C13" s="18" t="n"/>
      <c r="D13" s="18" t="n"/>
      <c r="E13" s="18" t="n"/>
      <c r="F13" s="19">
        <f>IF(A13="","",ROUND((C13*4)+(D13*4)+(E13*9),0))</f>
        <v/>
      </c>
    </row>
    <row r="14">
      <c r="A14" s="16" t="n"/>
      <c r="B14" s="17" t="n"/>
      <c r="C14" s="18" t="n"/>
      <c r="D14" s="18" t="n"/>
      <c r="E14" s="18" t="n"/>
      <c r="F14" s="19">
        <f>IF(A14="","",ROUND((C14*4)+(D14*4)+(E14*9),0))</f>
        <v/>
      </c>
    </row>
    <row r="15">
      <c r="A15" s="16" t="n"/>
      <c r="B15" s="17" t="n"/>
      <c r="C15" s="18" t="n"/>
      <c r="D15" s="18" t="n"/>
      <c r="E15" s="18" t="n"/>
      <c r="F15" s="19">
        <f>IF(A15="","",ROUND((C15*4)+(D15*4)+(E15*9),0))</f>
        <v/>
      </c>
    </row>
    <row r="16">
      <c r="A16" s="16" t="n"/>
      <c r="B16" s="17" t="n"/>
      <c r="C16" s="18" t="n"/>
      <c r="D16" s="18" t="n"/>
      <c r="E16" s="18" t="n"/>
      <c r="F16" s="19">
        <f>IF(A16="","",ROUND((C16*4)+(D16*4)+(E16*9),0))</f>
        <v/>
      </c>
    </row>
    <row r="17">
      <c r="A17" s="16" t="n"/>
      <c r="B17" s="17" t="n"/>
      <c r="C17" s="18" t="n"/>
      <c r="D17" s="18" t="n"/>
      <c r="E17" s="18" t="n"/>
      <c r="F17" s="19">
        <f>IF(A17="","",ROUND((C17*4)+(D17*4)+(E17*9),0))</f>
        <v/>
      </c>
    </row>
    <row r="18">
      <c r="A18" s="16" t="n"/>
      <c r="B18" s="17" t="n"/>
      <c r="C18" s="18" t="n"/>
      <c r="D18" s="18" t="n"/>
      <c r="E18" s="18" t="n"/>
      <c r="F18" s="19">
        <f>IF(A18="","",ROUND((C18*4)+(D18*4)+(E18*9),0))</f>
        <v/>
      </c>
    </row>
    <row r="19">
      <c r="A19" s="16" t="n"/>
      <c r="B19" s="17" t="n"/>
      <c r="C19" s="18" t="n"/>
      <c r="D19" s="18" t="n"/>
      <c r="E19" s="18" t="n"/>
      <c r="F19" s="19">
        <f>IF(A19="","",ROUND((C19*4)+(D19*4)+(E19*9),0))</f>
        <v/>
      </c>
    </row>
    <row r="20">
      <c r="A20" s="16" t="n"/>
      <c r="B20" s="17" t="n"/>
      <c r="C20" s="18" t="n"/>
      <c r="D20" s="18" t="n"/>
      <c r="E20" s="18" t="n"/>
      <c r="F20" s="19">
        <f>IF(A20="","",ROUND((C20*4)+(D20*4)+(E20*9),0))</f>
        <v/>
      </c>
    </row>
    <row r="21">
      <c r="A21" s="16" t="n"/>
      <c r="B21" s="17" t="n"/>
      <c r="C21" s="18" t="n"/>
      <c r="D21" s="18" t="n"/>
      <c r="E21" s="18" t="n"/>
      <c r="F21" s="19">
        <f>IF(A21="","",ROUND((C21*4)+(D21*4)+(E21*9),0))</f>
        <v/>
      </c>
    </row>
    <row r="22">
      <c r="A22" s="16" t="n"/>
      <c r="B22" s="17" t="n"/>
      <c r="C22" s="18" t="n"/>
      <c r="D22" s="18" t="n"/>
      <c r="E22" s="18" t="n"/>
      <c r="F22" s="19">
        <f>IF(A22="","",ROUND((C22*4)+(D22*4)+(E22*9),0))</f>
        <v/>
      </c>
    </row>
    <row r="23">
      <c r="A23" s="16" t="n"/>
      <c r="B23" s="17" t="n"/>
      <c r="C23" s="18" t="n"/>
      <c r="D23" s="18" t="n"/>
      <c r="E23" s="18" t="n"/>
      <c r="F23" s="19">
        <f>IF(A23="","",ROUND((C23*4)+(D23*4)+(E23*9),0))</f>
        <v/>
      </c>
    </row>
    <row r="24">
      <c r="A24" s="16" t="n"/>
      <c r="B24" s="17" t="n"/>
      <c r="C24" s="18" t="n"/>
      <c r="D24" s="18" t="n"/>
      <c r="E24" s="18" t="n"/>
      <c r="F24" s="19">
        <f>IF(A24="","",ROUND((C24*4)+(D24*4)+(E24*9),0))</f>
        <v/>
      </c>
    </row>
    <row r="25">
      <c r="A25" s="16" t="n"/>
      <c r="B25" s="17" t="n"/>
      <c r="C25" s="18" t="n"/>
      <c r="D25" s="18" t="n"/>
      <c r="E25" s="18" t="n"/>
      <c r="F25" s="19">
        <f>IF(A25="","",ROUND((C25*4)+(D25*4)+(E25*9),0))</f>
        <v/>
      </c>
    </row>
    <row r="26">
      <c r="A26" s="16" t="n"/>
      <c r="B26" s="17" t="n"/>
      <c r="C26" s="18" t="n"/>
      <c r="D26" s="18" t="n"/>
      <c r="E26" s="18" t="n"/>
      <c r="F26" s="19">
        <f>IF(A26="","",ROUND((C26*4)+(D26*4)+(E26*9),0))</f>
        <v/>
      </c>
    </row>
    <row r="27">
      <c r="A27" s="16" t="n"/>
      <c r="B27" s="17" t="n"/>
      <c r="C27" s="18" t="n"/>
      <c r="D27" s="18" t="n"/>
      <c r="E27" s="18" t="n"/>
      <c r="F27" s="19">
        <f>IF(A27="","",ROUND((C27*4)+(D27*4)+(E27*9),0))</f>
        <v/>
      </c>
    </row>
    <row r="28">
      <c r="A28" s="16" t="n"/>
      <c r="B28" s="17" t="n"/>
      <c r="C28" s="18" t="n"/>
      <c r="D28" s="18" t="n"/>
      <c r="E28" s="18" t="n"/>
      <c r="F28" s="19">
        <f>IF(A28="","",ROUND((C28*4)+(D28*4)+(E28*9),0))</f>
        <v/>
      </c>
    </row>
    <row r="29">
      <c r="A29" s="16" t="n"/>
      <c r="B29" s="17" t="n"/>
      <c r="C29" s="18" t="n"/>
      <c r="D29" s="18" t="n"/>
      <c r="E29" s="18" t="n"/>
      <c r="F29" s="19">
        <f>IF(A29="","",ROUND((C29*4)+(D29*4)+(E29*9),0))</f>
        <v/>
      </c>
    </row>
    <row r="30">
      <c r="A30" s="16" t="n"/>
      <c r="B30" s="17" t="n"/>
      <c r="C30" s="18" t="n"/>
      <c r="D30" s="18" t="n"/>
      <c r="E30" s="18" t="n"/>
      <c r="F30" s="19">
        <f>IF(A30="","",ROUND((C30*4)+(D30*4)+(E30*9),0))</f>
        <v/>
      </c>
    </row>
    <row r="31">
      <c r="A31" s="16" t="n"/>
      <c r="B31" s="17" t="n"/>
      <c r="C31" s="18" t="n"/>
      <c r="D31" s="18" t="n"/>
      <c r="E31" s="18" t="n"/>
      <c r="F31" s="19">
        <f>IF(A31="","",ROUND((C31*4)+(D31*4)+(E31*9),0))</f>
        <v/>
      </c>
    </row>
    <row r="32">
      <c r="A32" s="16" t="n"/>
      <c r="B32" s="17" t="n"/>
      <c r="C32" s="18" t="n"/>
      <c r="D32" s="18" t="n"/>
      <c r="E32" s="18" t="n"/>
      <c r="F32" s="19">
        <f>IF(A32="","",ROUND((C32*4)+(D32*4)+(E32*9),0))</f>
        <v/>
      </c>
    </row>
    <row r="33">
      <c r="A33" s="16" t="n"/>
      <c r="B33" s="17" t="n"/>
      <c r="C33" s="18" t="n"/>
      <c r="D33" s="18" t="n"/>
      <c r="E33" s="18" t="n"/>
      <c r="F33" s="19">
        <f>IF(A33="","",ROUND((C33*4)+(D33*4)+(E33*9),0))</f>
        <v/>
      </c>
    </row>
    <row r="34">
      <c r="A34" s="16" t="n"/>
      <c r="B34" s="17" t="n"/>
      <c r="C34" s="18" t="n"/>
      <c r="D34" s="18" t="n"/>
      <c r="E34" s="18" t="n"/>
      <c r="F34" s="19">
        <f>IF(A34="","",ROUND((C34*4)+(D34*4)+(E34*9),0))</f>
        <v/>
      </c>
    </row>
    <row r="35">
      <c r="A35" s="16" t="n"/>
      <c r="B35" s="17" t="n"/>
      <c r="C35" s="18" t="n"/>
      <c r="D35" s="18" t="n"/>
      <c r="E35" s="18" t="n"/>
      <c r="F35" s="19">
        <f>IF(A35="","",ROUND((C35*4)+(D35*4)+(E35*9),0))</f>
        <v/>
      </c>
    </row>
    <row r="36">
      <c r="A36" s="16" t="n"/>
      <c r="B36" s="17" t="n"/>
      <c r="C36" s="18" t="n"/>
      <c r="D36" s="18" t="n"/>
      <c r="E36" s="18" t="n"/>
      <c r="F36" s="19">
        <f>IF(A36="","",ROUND((C36*4)+(D36*4)+(E36*9),0))</f>
        <v/>
      </c>
    </row>
    <row r="37">
      <c r="A37" s="16" t="n"/>
      <c r="B37" s="17" t="n"/>
      <c r="C37" s="18" t="n"/>
      <c r="D37" s="18" t="n"/>
      <c r="E37" s="18" t="n"/>
      <c r="F37" s="19">
        <f>IF(A37="","",ROUND((C37*4)+(D37*4)+(E37*9),0))</f>
        <v/>
      </c>
    </row>
    <row r="38">
      <c r="A38" s="16" t="n"/>
      <c r="B38" s="17" t="n"/>
      <c r="C38" s="18" t="n"/>
      <c r="D38" s="18" t="n"/>
      <c r="E38" s="18" t="n"/>
      <c r="F38" s="19">
        <f>IF(A38="","",ROUND((C38*4)+(D38*4)+(E38*9),0))</f>
        <v/>
      </c>
    </row>
    <row r="39">
      <c r="A39" s="16" t="n"/>
      <c r="B39" s="17" t="n"/>
      <c r="C39" s="18" t="n"/>
      <c r="D39" s="18" t="n"/>
      <c r="E39" s="18" t="n"/>
      <c r="F39" s="19">
        <f>IF(A39="","",ROUND((C39*4)+(D39*4)+(E39*9),0))</f>
        <v/>
      </c>
    </row>
    <row r="40">
      <c r="A40" s="16" t="n"/>
      <c r="B40" s="17" t="n"/>
      <c r="C40" s="18" t="n"/>
      <c r="D40" s="18" t="n"/>
      <c r="E40" s="18" t="n"/>
      <c r="F40" s="19">
        <f>IF(A40="","",ROUND((C40*4)+(D40*4)+(E40*9),0))</f>
        <v/>
      </c>
    </row>
    <row r="41">
      <c r="A41" s="16" t="n"/>
      <c r="B41" s="17" t="n"/>
      <c r="C41" s="18" t="n"/>
      <c r="D41" s="18" t="n"/>
      <c r="E41" s="18" t="n"/>
      <c r="F41" s="19">
        <f>IF(A41="","",ROUND((C41*4)+(D41*4)+(E41*9),0))</f>
        <v/>
      </c>
    </row>
    <row r="42">
      <c r="A42" s="16" t="n"/>
      <c r="B42" s="17" t="n"/>
      <c r="C42" s="18" t="n"/>
      <c r="D42" s="18" t="n"/>
      <c r="E42" s="18" t="n"/>
      <c r="F42" s="19">
        <f>IF(A42="","",ROUND((C42*4)+(D42*4)+(E42*9),0))</f>
        <v/>
      </c>
    </row>
    <row r="43">
      <c r="A43" s="16" t="n"/>
      <c r="B43" s="17" t="n"/>
      <c r="C43" s="18" t="n"/>
      <c r="D43" s="18" t="n"/>
      <c r="E43" s="18" t="n"/>
      <c r="F43" s="19">
        <f>IF(A43="","",ROUND((C43*4)+(D43*4)+(E43*9),0))</f>
        <v/>
      </c>
    </row>
    <row r="44">
      <c r="A44" s="16" t="n"/>
      <c r="B44" s="17" t="n"/>
      <c r="C44" s="18" t="n"/>
      <c r="D44" s="18" t="n"/>
      <c r="E44" s="18" t="n"/>
      <c r="F44" s="19">
        <f>IF(A44="","",ROUND((C44*4)+(D44*4)+(E44*9),0))</f>
        <v/>
      </c>
    </row>
    <row r="45">
      <c r="A45" s="16" t="n"/>
      <c r="B45" s="17" t="n"/>
      <c r="C45" s="18" t="n"/>
      <c r="D45" s="18" t="n"/>
      <c r="E45" s="18" t="n"/>
      <c r="F45" s="19">
        <f>IF(A45="","",ROUND((C45*4)+(D45*4)+(E45*9),0))</f>
        <v/>
      </c>
    </row>
    <row r="46">
      <c r="A46" s="16" t="n"/>
      <c r="B46" s="17" t="n"/>
      <c r="C46" s="18" t="n"/>
      <c r="D46" s="18" t="n"/>
      <c r="E46" s="18" t="n"/>
      <c r="F46" s="19">
        <f>IF(A46="","",ROUND((C46*4)+(D46*4)+(E46*9),0))</f>
        <v/>
      </c>
    </row>
    <row r="47">
      <c r="A47" s="16" t="n"/>
      <c r="B47" s="17" t="n"/>
      <c r="C47" s="18" t="n"/>
      <c r="D47" s="18" t="n"/>
      <c r="E47" s="18" t="n"/>
      <c r="F47" s="19">
        <f>IF(A47="","",ROUND((C47*4)+(D47*4)+(E47*9),0))</f>
        <v/>
      </c>
    </row>
    <row r="48">
      <c r="A48" s="16" t="n"/>
      <c r="B48" s="17" t="n"/>
      <c r="C48" s="18" t="n"/>
      <c r="D48" s="18" t="n"/>
      <c r="E48" s="18" t="n"/>
      <c r="F48" s="19">
        <f>IF(A48="","",ROUND((C48*4)+(D48*4)+(E48*9),0))</f>
        <v/>
      </c>
    </row>
    <row r="49">
      <c r="A49" s="16" t="n"/>
      <c r="B49" s="17" t="n"/>
      <c r="C49" s="18" t="n"/>
      <c r="D49" s="18" t="n"/>
      <c r="E49" s="18" t="n"/>
      <c r="F49" s="19">
        <f>IF(A49="","",ROUND((C49*4)+(D49*4)+(E49*9),0))</f>
        <v/>
      </c>
    </row>
    <row r="50">
      <c r="A50" s="16" t="n"/>
      <c r="B50" s="17" t="n"/>
      <c r="C50" s="18" t="n"/>
      <c r="D50" s="18" t="n"/>
      <c r="E50" s="18" t="n"/>
      <c r="F50" s="19">
        <f>IF(A50="","",ROUND((C50*4)+(D50*4)+(E50*9),0))</f>
        <v/>
      </c>
    </row>
    <row r="51">
      <c r="A51" s="16" t="n"/>
      <c r="B51" s="17" t="n"/>
      <c r="C51" s="18" t="n"/>
      <c r="D51" s="18" t="n"/>
      <c r="E51" s="18" t="n"/>
      <c r="F51" s="19">
        <f>IF(A51="","",ROUND((C51*4)+(D51*4)+(E51*9),0))</f>
        <v/>
      </c>
    </row>
    <row r="52">
      <c r="A52" s="16" t="n"/>
      <c r="B52" s="17" t="n"/>
      <c r="C52" s="18" t="n"/>
      <c r="D52" s="18" t="n"/>
      <c r="E52" s="18" t="n"/>
      <c r="F52" s="19">
        <f>IF(A52="","",ROUND((C52*4)+(D52*4)+(E52*9),0))</f>
        <v/>
      </c>
    </row>
    <row r="53">
      <c r="A53" s="16" t="n"/>
      <c r="B53" s="17" t="n"/>
      <c r="C53" s="18" t="n"/>
      <c r="D53" s="18" t="n"/>
      <c r="E53" s="18" t="n"/>
      <c r="F53" s="19">
        <f>IF(A53="","",ROUND((C53*4)+(D53*4)+(E53*9),0))</f>
        <v/>
      </c>
    </row>
    <row r="54">
      <c r="A54" s="16" t="n"/>
      <c r="B54" s="17" t="n"/>
      <c r="C54" s="18" t="n"/>
      <c r="D54" s="18" t="n"/>
      <c r="E54" s="18" t="n"/>
      <c r="F54" s="19">
        <f>IF(A54="","",ROUND((C54*4)+(D54*4)+(E54*9),0))</f>
        <v/>
      </c>
    </row>
    <row r="55">
      <c r="A55" s="16" t="n"/>
      <c r="B55" s="17" t="n"/>
      <c r="C55" s="18" t="n"/>
      <c r="D55" s="18" t="n"/>
      <c r="E55" s="18" t="n"/>
      <c r="F55" s="19">
        <f>IF(A55="","",ROUND((C55*4)+(D55*4)+(E55*9),0))</f>
        <v/>
      </c>
    </row>
    <row r="56">
      <c r="A56" s="16" t="n"/>
      <c r="B56" s="17" t="n"/>
      <c r="C56" s="18" t="n"/>
      <c r="D56" s="18" t="n"/>
      <c r="E56" s="18" t="n"/>
      <c r="F56" s="19">
        <f>IF(A56="","",ROUND((C56*4)+(D56*4)+(E56*9),0))</f>
        <v/>
      </c>
    </row>
    <row r="57">
      <c r="A57" s="16" t="n"/>
      <c r="B57" s="17" t="n"/>
      <c r="C57" s="18" t="n"/>
      <c r="D57" s="18" t="n"/>
      <c r="E57" s="18" t="n"/>
      <c r="F57" s="19">
        <f>IF(A57="","",ROUND((C57*4)+(D57*4)+(E57*9),0))</f>
        <v/>
      </c>
    </row>
    <row r="58">
      <c r="A58" s="16" t="n"/>
      <c r="B58" s="17" t="n"/>
      <c r="C58" s="18" t="n"/>
      <c r="D58" s="18" t="n"/>
      <c r="E58" s="18" t="n"/>
      <c r="F58" s="19">
        <f>IF(A58="","",ROUND((C58*4)+(D58*4)+(E58*9),0))</f>
        <v/>
      </c>
    </row>
    <row r="59">
      <c r="A59" s="16" t="n"/>
      <c r="B59" s="17" t="n"/>
      <c r="C59" s="18" t="n"/>
      <c r="D59" s="18" t="n"/>
      <c r="E59" s="18" t="n"/>
      <c r="F59" s="19">
        <f>IF(A59="","",ROUND((C59*4)+(D59*4)+(E59*9),0))</f>
        <v/>
      </c>
    </row>
    <row r="60">
      <c r="A60" s="16" t="n"/>
      <c r="B60" s="17" t="n"/>
      <c r="C60" s="18" t="n"/>
      <c r="D60" s="18" t="n"/>
      <c r="E60" s="18" t="n"/>
      <c r="F60" s="19">
        <f>IF(A60="","",ROUND((C60*4)+(D60*4)+(E60*9),0))</f>
        <v/>
      </c>
    </row>
    <row r="61">
      <c r="A61" s="16" t="n"/>
      <c r="B61" s="17" t="n"/>
      <c r="C61" s="18" t="n"/>
      <c r="D61" s="18" t="n"/>
      <c r="E61" s="18" t="n"/>
      <c r="F61" s="19">
        <f>IF(A61="","",ROUND((C61*4)+(D61*4)+(E61*9),0))</f>
        <v/>
      </c>
    </row>
    <row r="62">
      <c r="A62" s="16" t="n"/>
      <c r="B62" s="17" t="n"/>
      <c r="C62" s="18" t="n"/>
      <c r="D62" s="18" t="n"/>
      <c r="E62" s="18" t="n"/>
      <c r="F62" s="19">
        <f>IF(A62="","",ROUND((C62*4)+(D62*4)+(E62*9),0))</f>
        <v/>
      </c>
    </row>
    <row r="63">
      <c r="A63" s="16" t="n"/>
      <c r="B63" s="17" t="n"/>
      <c r="C63" s="18" t="n"/>
      <c r="D63" s="18" t="n"/>
      <c r="E63" s="18" t="n"/>
      <c r="F63" s="19">
        <f>IF(A63="","",ROUND((C63*4)+(D63*4)+(E63*9),0))</f>
        <v/>
      </c>
    </row>
    <row r="64">
      <c r="A64" s="16" t="n"/>
      <c r="B64" s="17" t="n"/>
      <c r="C64" s="18" t="n"/>
      <c r="D64" s="18" t="n"/>
      <c r="E64" s="18" t="n"/>
      <c r="F64" s="19">
        <f>IF(A64="","",ROUND((C64*4)+(D64*4)+(E64*9),0))</f>
        <v/>
      </c>
    </row>
    <row r="65">
      <c r="A65" s="16" t="n"/>
      <c r="B65" s="17" t="n"/>
      <c r="C65" s="18" t="n"/>
      <c r="D65" s="18" t="n"/>
      <c r="E65" s="18" t="n"/>
      <c r="F65" s="19">
        <f>IF(A65="","",ROUND((C65*4)+(D65*4)+(E65*9),0))</f>
        <v/>
      </c>
    </row>
    <row r="66">
      <c r="A66" s="16" t="n"/>
      <c r="B66" s="17" t="n"/>
      <c r="C66" s="18" t="n"/>
      <c r="D66" s="18" t="n"/>
      <c r="E66" s="18" t="n"/>
      <c r="F66" s="19">
        <f>IF(A66="","",ROUND((C66*4)+(D66*4)+(E66*9),0))</f>
        <v/>
      </c>
    </row>
    <row r="67">
      <c r="A67" s="16" t="n"/>
      <c r="B67" s="17" t="n"/>
      <c r="C67" s="18" t="n"/>
      <c r="D67" s="18" t="n"/>
      <c r="E67" s="18" t="n"/>
      <c r="F67" s="19">
        <f>IF(A67="","",ROUND((C67*4)+(D67*4)+(E67*9),0))</f>
        <v/>
      </c>
    </row>
    <row r="68">
      <c r="A68" s="16" t="n"/>
      <c r="B68" s="17" t="n"/>
      <c r="C68" s="18" t="n"/>
      <c r="D68" s="18" t="n"/>
      <c r="E68" s="18" t="n"/>
      <c r="F68" s="19">
        <f>IF(A68="","",ROUND((C68*4)+(D68*4)+(E68*9),0))</f>
        <v/>
      </c>
    </row>
    <row r="69">
      <c r="A69" s="16" t="n"/>
      <c r="B69" s="17" t="n"/>
      <c r="C69" s="18" t="n"/>
      <c r="D69" s="18" t="n"/>
      <c r="E69" s="18" t="n"/>
      <c r="F69" s="19">
        <f>IF(A69="","",ROUND((C69*4)+(D69*4)+(E69*9),0))</f>
        <v/>
      </c>
    </row>
    <row r="70">
      <c r="A70" s="16" t="n"/>
      <c r="B70" s="17" t="n"/>
      <c r="C70" s="18" t="n"/>
      <c r="D70" s="18" t="n"/>
      <c r="E70" s="18" t="n"/>
      <c r="F70" s="19">
        <f>IF(A70="","",ROUND((C70*4)+(D70*4)+(E70*9),0))</f>
        <v/>
      </c>
    </row>
    <row r="71">
      <c r="A71" s="16" t="n"/>
      <c r="B71" s="17" t="n"/>
      <c r="C71" s="18" t="n"/>
      <c r="D71" s="18" t="n"/>
      <c r="E71" s="18" t="n"/>
      <c r="F71" s="19">
        <f>IF(A71="","",ROUND((C71*4)+(D71*4)+(E71*9),0))</f>
        <v/>
      </c>
    </row>
    <row r="72">
      <c r="A72" s="16" t="n"/>
      <c r="B72" s="17" t="n"/>
      <c r="C72" s="18" t="n"/>
      <c r="D72" s="18" t="n"/>
      <c r="E72" s="18" t="n"/>
      <c r="F72" s="19">
        <f>IF(A72="","",ROUND((C72*4)+(D72*4)+(E72*9),0))</f>
        <v/>
      </c>
    </row>
    <row r="73">
      <c r="A73" s="16" t="n"/>
      <c r="B73" s="17" t="n"/>
      <c r="C73" s="18" t="n"/>
      <c r="D73" s="18" t="n"/>
      <c r="E73" s="18" t="n"/>
      <c r="F73" s="19">
        <f>IF(A73="","",ROUND((C73*4)+(D73*4)+(E73*9),0))</f>
        <v/>
      </c>
    </row>
    <row r="74">
      <c r="A74" s="16" t="n"/>
      <c r="B74" s="17" t="n"/>
      <c r="C74" s="18" t="n"/>
      <c r="D74" s="18" t="n"/>
      <c r="E74" s="18" t="n"/>
      <c r="F74" s="19">
        <f>IF(A74="","",ROUND((C74*4)+(D74*4)+(E74*9),0))</f>
        <v/>
      </c>
    </row>
    <row r="75">
      <c r="A75" s="16" t="n"/>
      <c r="B75" s="17" t="n"/>
      <c r="C75" s="18" t="n"/>
      <c r="D75" s="18" t="n"/>
      <c r="E75" s="18" t="n"/>
      <c r="F75" s="19">
        <f>IF(A75="","",ROUND((C75*4)+(D75*4)+(E75*9),0))</f>
        <v/>
      </c>
    </row>
    <row r="76">
      <c r="A76" s="16" t="n"/>
      <c r="B76" s="17" t="n"/>
      <c r="C76" s="18" t="n"/>
      <c r="D76" s="18" t="n"/>
      <c r="E76" s="18" t="n"/>
      <c r="F76" s="19">
        <f>IF(A76="","",ROUND((C76*4)+(D76*4)+(E76*9),0))</f>
        <v/>
      </c>
    </row>
    <row r="77">
      <c r="A77" s="16" t="n"/>
      <c r="B77" s="17" t="n"/>
      <c r="C77" s="18" t="n"/>
      <c r="D77" s="18" t="n"/>
      <c r="E77" s="18" t="n"/>
      <c r="F77" s="19">
        <f>IF(A77="","",ROUND((C77*4)+(D77*4)+(E77*9),0))</f>
        <v/>
      </c>
    </row>
    <row r="78">
      <c r="A78" s="16" t="n"/>
      <c r="B78" s="17" t="n"/>
      <c r="C78" s="18" t="n"/>
      <c r="D78" s="18" t="n"/>
      <c r="E78" s="18" t="n"/>
      <c r="F78" s="19">
        <f>IF(A78="","",ROUND((C78*4)+(D78*4)+(E78*9),0))</f>
        <v/>
      </c>
    </row>
    <row r="79">
      <c r="A79" s="16" t="n"/>
      <c r="B79" s="17" t="n"/>
      <c r="C79" s="18" t="n"/>
      <c r="D79" s="18" t="n"/>
      <c r="E79" s="18" t="n"/>
      <c r="F79" s="19">
        <f>IF(A79="","",ROUND((C79*4)+(D79*4)+(E79*9),0))</f>
        <v/>
      </c>
    </row>
    <row r="80">
      <c r="A80" s="16" t="n"/>
      <c r="B80" s="17" t="n"/>
      <c r="C80" s="18" t="n"/>
      <c r="D80" s="18" t="n"/>
      <c r="E80" s="18" t="n"/>
      <c r="F80" s="19">
        <f>IF(A80="","",ROUND((C80*4)+(D80*4)+(E80*9),0))</f>
        <v/>
      </c>
    </row>
    <row r="81">
      <c r="A81" s="16" t="n"/>
      <c r="B81" s="17" t="n"/>
      <c r="C81" s="18" t="n"/>
      <c r="D81" s="18" t="n"/>
      <c r="E81" s="18" t="n"/>
      <c r="F81" s="19">
        <f>IF(A81="","",ROUND((C81*4)+(D81*4)+(E81*9),0))</f>
        <v/>
      </c>
    </row>
    <row r="82">
      <c r="A82" s="16" t="n"/>
      <c r="B82" s="17" t="n"/>
      <c r="C82" s="18" t="n"/>
      <c r="D82" s="18" t="n"/>
      <c r="E82" s="18" t="n"/>
      <c r="F82" s="19">
        <f>IF(A82="","",ROUND((C82*4)+(D82*4)+(E82*9),0))</f>
        <v/>
      </c>
    </row>
    <row r="83">
      <c r="A83" s="16" t="n"/>
      <c r="B83" s="17" t="n"/>
      <c r="C83" s="18" t="n"/>
      <c r="D83" s="18" t="n"/>
      <c r="E83" s="18" t="n"/>
      <c r="F83" s="19">
        <f>IF(A83="","",ROUND((C83*4)+(D83*4)+(E83*9),0))</f>
        <v/>
      </c>
    </row>
    <row r="84">
      <c r="A84" s="16" t="n"/>
      <c r="B84" s="17" t="n"/>
      <c r="C84" s="18" t="n"/>
      <c r="D84" s="18" t="n"/>
      <c r="E84" s="18" t="n"/>
      <c r="F84" s="19">
        <f>IF(A84="","",ROUND((C84*4)+(D84*4)+(E84*9),0))</f>
        <v/>
      </c>
    </row>
    <row r="85">
      <c r="A85" s="16" t="n"/>
      <c r="B85" s="17" t="n"/>
      <c r="C85" s="18" t="n"/>
      <c r="D85" s="18" t="n"/>
      <c r="E85" s="18" t="n"/>
      <c r="F85" s="19">
        <f>IF(A85="","",ROUND((C85*4)+(D85*4)+(E85*9),0))</f>
        <v/>
      </c>
    </row>
    <row r="86">
      <c r="A86" s="16" t="n"/>
      <c r="B86" s="17" t="n"/>
      <c r="C86" s="18" t="n"/>
      <c r="D86" s="18" t="n"/>
      <c r="E86" s="18" t="n"/>
      <c r="F86" s="19">
        <f>IF(A86="","",ROUND((C86*4)+(D86*4)+(E86*9),0))</f>
        <v/>
      </c>
    </row>
    <row r="87">
      <c r="A87" s="16" t="n"/>
      <c r="B87" s="17" t="n"/>
      <c r="C87" s="18" t="n"/>
      <c r="D87" s="18" t="n"/>
      <c r="E87" s="18" t="n"/>
      <c r="F87" s="19">
        <f>IF(A87="","",ROUND((C87*4)+(D87*4)+(E87*9),0))</f>
        <v/>
      </c>
    </row>
    <row r="88">
      <c r="A88" s="16" t="n"/>
      <c r="B88" s="17" t="n"/>
      <c r="C88" s="18" t="n"/>
      <c r="D88" s="18" t="n"/>
      <c r="E88" s="18" t="n"/>
      <c r="F88" s="19">
        <f>IF(A88="","",ROUND((C88*4)+(D88*4)+(E88*9),0))</f>
        <v/>
      </c>
    </row>
    <row r="89">
      <c r="A89" s="16" t="n"/>
      <c r="B89" s="17" t="n"/>
      <c r="C89" s="18" t="n"/>
      <c r="D89" s="18" t="n"/>
      <c r="E89" s="18" t="n"/>
      <c r="F89" s="19">
        <f>IF(A89="","",ROUND((C89*4)+(D89*4)+(E89*9),0))</f>
        <v/>
      </c>
    </row>
    <row r="90">
      <c r="A90" s="16" t="n"/>
      <c r="B90" s="17" t="n"/>
      <c r="C90" s="18" t="n"/>
      <c r="D90" s="18" t="n"/>
      <c r="E90" s="18" t="n"/>
      <c r="F90" s="19">
        <f>IF(A90="","",ROUND((C90*4)+(D90*4)+(E90*9),0))</f>
        <v/>
      </c>
    </row>
    <row r="91">
      <c r="A91" s="16" t="n"/>
      <c r="B91" s="17" t="n"/>
      <c r="C91" s="18" t="n"/>
      <c r="D91" s="18" t="n"/>
      <c r="E91" s="18" t="n"/>
      <c r="F91" s="19">
        <f>IF(A91="","",ROUND((C91*4)+(D91*4)+(E91*9),0))</f>
        <v/>
      </c>
    </row>
    <row r="92">
      <c r="A92" s="16" t="n"/>
      <c r="B92" s="17" t="n"/>
      <c r="C92" s="18" t="n"/>
      <c r="D92" s="18" t="n"/>
      <c r="E92" s="18" t="n"/>
      <c r="F92" s="19">
        <f>IF(A92="","",ROUND((C92*4)+(D92*4)+(E92*9),0))</f>
        <v/>
      </c>
    </row>
    <row r="93">
      <c r="A93" s="16" t="n"/>
      <c r="B93" s="17" t="n"/>
      <c r="C93" s="18" t="n"/>
      <c r="D93" s="18" t="n"/>
      <c r="E93" s="18" t="n"/>
      <c r="F93" s="19">
        <f>IF(A93="","",ROUND((C93*4)+(D93*4)+(E93*9),0))</f>
        <v/>
      </c>
    </row>
    <row r="94">
      <c r="A94" s="16" t="n"/>
      <c r="B94" s="17" t="n"/>
      <c r="C94" s="18" t="n"/>
      <c r="D94" s="18" t="n"/>
      <c r="E94" s="18" t="n"/>
      <c r="F94" s="19">
        <f>IF(A94="","",ROUND((C94*4)+(D94*4)+(E94*9),0))</f>
        <v/>
      </c>
    </row>
    <row r="95">
      <c r="A95" s="16" t="n"/>
      <c r="B95" s="17" t="n"/>
      <c r="C95" s="18" t="n"/>
      <c r="D95" s="18" t="n"/>
      <c r="E95" s="18" t="n"/>
      <c r="F95" s="19">
        <f>IF(A95="","",ROUND((C95*4)+(D95*4)+(E95*9),0))</f>
        <v/>
      </c>
    </row>
    <row r="96">
      <c r="A96" s="16" t="n"/>
      <c r="B96" s="17" t="n"/>
      <c r="C96" s="18" t="n"/>
      <c r="D96" s="18" t="n"/>
      <c r="E96" s="18" t="n"/>
      <c r="F96" s="19">
        <f>IF(A96="","",ROUND((C96*4)+(D96*4)+(E96*9),0))</f>
        <v/>
      </c>
    </row>
    <row r="97">
      <c r="A97" s="16" t="n"/>
      <c r="B97" s="17" t="n"/>
      <c r="C97" s="18" t="n"/>
      <c r="D97" s="18" t="n"/>
      <c r="E97" s="18" t="n"/>
      <c r="F97" s="19">
        <f>IF(A97="","",ROUND((C97*4)+(D97*4)+(E97*9),0))</f>
        <v/>
      </c>
    </row>
    <row r="98">
      <c r="A98" s="16" t="n"/>
      <c r="B98" s="17" t="n"/>
      <c r="C98" s="18" t="n"/>
      <c r="D98" s="18" t="n"/>
      <c r="E98" s="18" t="n"/>
      <c r="F98" s="19">
        <f>IF(A98="","",ROUND((C98*4)+(D98*4)+(E98*9),0))</f>
        <v/>
      </c>
    </row>
    <row r="99">
      <c r="A99" s="16" t="n"/>
      <c r="B99" s="17" t="n"/>
      <c r="C99" s="18" t="n"/>
      <c r="D99" s="18" t="n"/>
      <c r="E99" s="18" t="n"/>
      <c r="F99" s="19">
        <f>IF(A99="","",ROUND((C99*4)+(D99*4)+(E99*9),0))</f>
        <v/>
      </c>
    </row>
    <row r="100">
      <c r="A100" s="16" t="n"/>
      <c r="B100" s="17" t="n"/>
      <c r="C100" s="18" t="n"/>
      <c r="D100" s="18" t="n"/>
      <c r="E100" s="18" t="n"/>
      <c r="F100" s="19">
        <f>IF(A100="","",ROUND((C100*4)+(D100*4)+(E100*9),0))</f>
        <v/>
      </c>
    </row>
    <row r="101">
      <c r="A101" s="16" t="n"/>
      <c r="B101" s="17" t="n"/>
      <c r="C101" s="18" t="n"/>
      <c r="D101" s="18" t="n"/>
      <c r="E101" s="18" t="n"/>
      <c r="F101" s="19">
        <f>IF(A101="","",ROUND((C101*4)+(D101*4)+(E101*9),0))</f>
        <v/>
      </c>
    </row>
    <row r="102">
      <c r="A102" s="16" t="n"/>
      <c r="B102" s="17" t="n"/>
      <c r="C102" s="18" t="n"/>
      <c r="D102" s="18" t="n"/>
      <c r="E102" s="18" t="n"/>
      <c r="F102" s="19">
        <f>IF(A102="","",ROUND((C102*4)+(D102*4)+(E102*9),0))</f>
        <v/>
      </c>
    </row>
    <row r="103">
      <c r="A103" s="16" t="n"/>
      <c r="B103" s="17" t="n"/>
      <c r="C103" s="18" t="n"/>
      <c r="D103" s="18" t="n"/>
      <c r="E103" s="18" t="n"/>
      <c r="F103" s="19">
        <f>IF(A103="","",ROUND((C103*4)+(D103*4)+(E103*9),0))</f>
        <v/>
      </c>
    </row>
  </sheetData>
  <conditionalFormatting sqref="C2:C103">
    <cfRule type="cellIs" priority="1" operator="lessThan" dxfId="0">
      <formula>0</formula>
    </cfRule>
  </conditionalFormatting>
  <conditionalFormatting sqref="D2:D103">
    <cfRule type="cellIs" priority="2" operator="lessThan" dxfId="0">
      <formula>0</formula>
    </cfRule>
  </conditionalFormatting>
  <conditionalFormatting sqref="E2:E103">
    <cfRule type="cellIs" priority="3" operator="lessThan" dxfId="0">
      <formula>0</formula>
    </cfRule>
  </conditionalFormatting>
  <conditionalFormatting sqref="F2:F103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Avanzado de Entrenamiento y Nutrición para Entrenadores Personales</dc:title>
  <dcterms:created xsi:type="dcterms:W3CDTF">2026-10-08T13:44:47Z</dcterms:created>
  <dcterms:modified xsi:type="dcterms:W3CDTF">2026-10-08T13:44:47Z</dcterms:modified>
</cp:coreProperties>
</file>