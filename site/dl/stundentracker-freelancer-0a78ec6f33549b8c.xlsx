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Projekte" sheetId="3" state="visible" r:id="rId3"/>
    <sheet name="Zeiterfassung" sheetId="4" state="visible" r:id="rId4"/>
    <sheet name="Ausgab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2" fontId="7" fillId="3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Stunden nach Projekt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'Zeiterfassung'!G1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'Zeiterfassung'!$B$2:$B$3</f>
            </numRef>
          </cat>
          <val>
            <numRef>
              <f>'Zeiterfassung'!$G$2:$G$3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ojekte" displayName="T_Projekte" ref="A1:G23" headerRowCount="1">
  <autoFilter ref="A1:G23"/>
  <tableColumns count="7">
    <tableColumn id="1" name="Projekt-ID"/>
    <tableColumn id="2" name="Kundenname"/>
    <tableColumn id="3" name="Projektname"/>
    <tableColumn id="4" name="Startdatum"/>
    <tableColumn id="5" name="Enddatum"/>
    <tableColumn id="6" name="Stundensatz (EUR)"/>
    <tableColumn id="7" name="Status"/>
  </tableColumns>
  <tableStyleInfo name="TableStyleMedium7" showRowStripes="1"/>
</table>
</file>

<file path=xl/tables/table2.xml><?xml version="1.0" encoding="utf-8"?>
<table xmlns="http://schemas.openxmlformats.org/spreadsheetml/2006/main" id="2" name="T_Zeiterfassung" displayName="T_Zeiterfassung" ref="A1:H203" headerRowCount="1">
  <autoFilter ref="A1:H203"/>
  <tableColumns count="8">
    <tableColumn id="1" name="Datum"/>
    <tableColumn id="2" name="Projekt-ID"/>
    <tableColumn id="3" name="Tätigkeit"/>
    <tableColumn id="4" name="Startzeit"/>
    <tableColumn id="5" name="Endzeit"/>
    <tableColumn id="6" name="Pause (Min)"/>
    <tableColumn id="7" name="Netto-Stunden"/>
    <tableColumn id="8" name="Honorar (EUR)"/>
  </tableColumns>
  <tableStyleInfo name="TableStyleMedium7" showRowStripes="1"/>
</table>
</file>

<file path=xl/tables/table3.xml><?xml version="1.0" encoding="utf-8"?>
<table xmlns="http://schemas.openxmlformats.org/spreadsheetml/2006/main" id="3" name="T_Ausgaben" displayName="T_Ausgaben" ref="A1:F53" headerRowCount="1">
  <autoFilter ref="A1:F53"/>
  <tableColumns count="6">
    <tableColumn id="1" name="Datum"/>
    <tableColumn id="2" name="Kategorie"/>
    <tableColumn id="3" name="Beschreibung"/>
    <tableColumn id="4" name="Betrag (EUR)"/>
    <tableColumn id="5" name="Projekt-ID"/>
    <tableColumn id="6" name="Steuerbar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Projekte'!A1" TargetMode="External" Id="rId2" /><Relationship Type="http://schemas.openxmlformats.org/officeDocument/2006/relationships/hyperlink" Target="#'Zeiterfassung'!A1" TargetMode="External" Id="rId3" /><Relationship Type="http://schemas.openxmlformats.org/officeDocument/2006/relationships/hyperlink" Target="#'Ausgaben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Stundentracker für Freelancer</t>
        </is>
      </c>
    </row>
    <row r="3" ht="45" customHeight="1">
      <c r="C3" s="2" t="inlineStr">
        <is>
          <t>Professionelle Zeiterfassung mit automatischen Berechnungen und Auswertungen. Ideal für Soloselbstständige und Kleinstunternehmer.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1. Projekte und Kunden im Tab 'Projekte' anlegen</t>
        </is>
      </c>
    </row>
    <row r="7" ht="18" customHeight="1">
      <c r="B7" s="4" t="inlineStr">
        <is>
          <t>2.</t>
        </is>
      </c>
      <c r="C7" s="5" t="inlineStr">
        <is>
          <t>2. Arbeitsstunden im Tab 'Zeiterfassung' eintragen</t>
        </is>
      </c>
    </row>
    <row r="8" ht="18" customHeight="1">
      <c r="B8" s="4" t="inlineStr">
        <is>
          <t>3.</t>
        </is>
      </c>
      <c r="C8" s="5" t="inlineStr">
        <is>
          <t>3. Ausgaben im Tab 'Ausgaben' erfassen</t>
        </is>
      </c>
    </row>
    <row r="9" ht="18" customHeight="1">
      <c r="B9" s="4" t="inlineStr">
        <is>
          <t>4.</t>
        </is>
      </c>
      <c r="C9" s="5" t="inlineStr">
        <is>
          <t>4. Auswertungen im Dashboard nutzen</t>
        </is>
      </c>
    </row>
    <row r="10" ht="18" customHeight="1">
      <c r="B10" s="4" t="inlineStr">
        <is>
          <t>5.</t>
        </is>
      </c>
      <c r="C10" s="5" t="inlineStr">
        <is>
          <t>5. Monatlich PDF-Report erstellen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Projekte</t>
        </is>
      </c>
    </row>
    <row r="17">
      <c r="C17" s="7" t="inlineStr">
        <is>
          <t>→ Zeiterfassung</t>
        </is>
      </c>
    </row>
    <row r="18">
      <c r="C18" s="7" t="inlineStr">
        <is>
          <t>→ Ausgaben</t>
        </is>
      </c>
    </row>
    <row r="20">
      <c r="C20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Stundentracker für Freelancer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Gesamtstunden</t>
        </is>
      </c>
      <c r="C5" s="12">
        <f>SUM('Zeiterfassung'!G2:G200)</f>
        <v/>
      </c>
    </row>
    <row r="6" ht="24" customHeight="1">
      <c r="B6" s="11" t="inlineStr">
        <is>
          <t>Durchschn. Stundensatz</t>
        </is>
      </c>
      <c r="C6" s="13">
        <f>AVERAGE('Projekte'!F2:F20)</f>
        <v/>
      </c>
    </row>
    <row r="7" ht="24" customHeight="1">
      <c r="B7" s="11" t="inlineStr">
        <is>
          <t>Offene Projekte</t>
        </is>
      </c>
      <c r="C7" s="14">
        <f>COUNTIF('Projekte'!G2:G20,"aktiv")</f>
        <v/>
      </c>
    </row>
    <row r="8" ht="24" customHeight="1">
      <c r="B8" s="11" t="inlineStr">
        <is>
          <t>Umsatz MTD (EUR)</t>
        </is>
      </c>
      <c r="C8" s="13">
        <f>SUM('Zeiterfassung'!H2:H200)</f>
        <v/>
      </c>
    </row>
    <row r="9" ht="24" customHeight="1">
      <c r="B9" s="11" t="inlineStr">
        <is>
          <t>Ausgaben MTD (EUR)</t>
        </is>
      </c>
      <c r="C9" s="13">
        <f>SUM('Ausgaben'!D2:D50)</f>
        <v/>
      </c>
    </row>
    <row r="10" ht="24" customHeight="1">
      <c r="B10" s="11" t="inlineStr">
        <is>
          <t>Gewinn MTD (EUR)</t>
        </is>
      </c>
      <c r="C10" s="13">
        <f>KPI_Umsatz-KPI_Ausgaben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3" customWidth="1" min="4" max="4"/>
    <col width="13" customWidth="1" min="5" max="5"/>
    <col width="20" customWidth="1" min="6" max="6"/>
    <col width="12" customWidth="1" min="7" max="7"/>
  </cols>
  <sheetData>
    <row r="1" ht="32" customHeight="1">
      <c r="A1" s="15" t="inlineStr">
        <is>
          <t>Projekt-ID</t>
        </is>
      </c>
      <c r="B1" s="15" t="inlineStr">
        <is>
          <t>Kundenname</t>
        </is>
      </c>
      <c r="C1" s="15" t="inlineStr">
        <is>
          <t>Projektname</t>
        </is>
      </c>
      <c r="D1" s="15" t="inlineStr">
        <is>
          <t>Startdatum</t>
        </is>
      </c>
      <c r="E1" s="15" t="inlineStr">
        <is>
          <t>Enddatum</t>
        </is>
      </c>
      <c r="F1" s="15" t="inlineStr">
        <is>
          <t>Stundensatz (EUR)</t>
        </is>
      </c>
      <c r="G1" s="15" t="inlineStr">
        <is>
          <t>Status</t>
        </is>
      </c>
    </row>
    <row r="2">
      <c r="A2" s="16" t="inlineStr">
        <is>
          <t>PRJ-2026-001</t>
        </is>
      </c>
      <c r="B2" s="16" t="inlineStr">
        <is>
          <t>Muster GmbH</t>
        </is>
      </c>
      <c r="C2" s="16" t="inlineStr">
        <is>
          <t>Web-Relaunch</t>
        </is>
      </c>
      <c r="D2" s="17" t="n">
        <v>46032</v>
      </c>
      <c r="E2" s="17" t="n">
        <v>46096</v>
      </c>
      <c r="F2" s="18" t="n">
        <v>85</v>
      </c>
      <c r="G2" s="16" t="inlineStr">
        <is>
          <t>aktiv</t>
        </is>
      </c>
    </row>
    <row r="3">
      <c r="A3" s="16" t="inlineStr">
        <is>
          <t>PRJ-2026-002</t>
        </is>
      </c>
      <c r="B3" s="16" t="inlineStr">
        <is>
          <t>Beispiel AG</t>
        </is>
      </c>
      <c r="C3" s="16" t="inlineStr">
        <is>
          <t>Social Media</t>
        </is>
      </c>
      <c r="D3" s="17" t="n">
        <v>46054</v>
      </c>
      <c r="E3" s="17" t="inlineStr"/>
      <c r="F3" s="18" t="n">
        <v>75</v>
      </c>
      <c r="G3" s="16" t="inlineStr">
        <is>
          <t>aktiv</t>
        </is>
      </c>
    </row>
    <row r="4">
      <c r="A4" s="16" t="n"/>
      <c r="B4" s="16" t="n"/>
      <c r="C4" s="16" t="n"/>
      <c r="D4" s="17" t="n"/>
      <c r="E4" s="17" t="n"/>
      <c r="F4" s="18" t="n"/>
      <c r="G4" s="16" t="n"/>
    </row>
    <row r="5">
      <c r="A5" s="16" t="n"/>
      <c r="B5" s="16" t="n"/>
      <c r="C5" s="16" t="n"/>
      <c r="D5" s="17" t="n"/>
      <c r="E5" s="17" t="n"/>
      <c r="F5" s="18" t="n"/>
      <c r="G5" s="16" t="n"/>
    </row>
    <row r="6">
      <c r="A6" s="16" t="n"/>
      <c r="B6" s="16" t="n"/>
      <c r="C6" s="16" t="n"/>
      <c r="D6" s="17" t="n"/>
      <c r="E6" s="17" t="n"/>
      <c r="F6" s="18" t="n"/>
      <c r="G6" s="16" t="n"/>
    </row>
    <row r="7">
      <c r="A7" s="16" t="n"/>
      <c r="B7" s="16" t="n"/>
      <c r="C7" s="16" t="n"/>
      <c r="D7" s="17" t="n"/>
      <c r="E7" s="17" t="n"/>
      <c r="F7" s="18" t="n"/>
      <c r="G7" s="16" t="n"/>
    </row>
    <row r="8">
      <c r="A8" s="16" t="n"/>
      <c r="B8" s="16" t="n"/>
      <c r="C8" s="16" t="n"/>
      <c r="D8" s="17" t="n"/>
      <c r="E8" s="17" t="n"/>
      <c r="F8" s="18" t="n"/>
      <c r="G8" s="16" t="n"/>
    </row>
    <row r="9">
      <c r="A9" s="16" t="n"/>
      <c r="B9" s="16" t="n"/>
      <c r="C9" s="16" t="n"/>
      <c r="D9" s="17" t="n"/>
      <c r="E9" s="17" t="n"/>
      <c r="F9" s="18" t="n"/>
      <c r="G9" s="16" t="n"/>
    </row>
    <row r="10">
      <c r="A10" s="16" t="n"/>
      <c r="B10" s="16" t="n"/>
      <c r="C10" s="16" t="n"/>
      <c r="D10" s="17" t="n"/>
      <c r="E10" s="17" t="n"/>
      <c r="F10" s="18" t="n"/>
      <c r="G10" s="16" t="n"/>
    </row>
    <row r="11">
      <c r="A11" s="16" t="n"/>
      <c r="B11" s="16" t="n"/>
      <c r="C11" s="16" t="n"/>
      <c r="D11" s="17" t="n"/>
      <c r="E11" s="17" t="n"/>
      <c r="F11" s="18" t="n"/>
      <c r="G11" s="16" t="n"/>
    </row>
    <row r="12">
      <c r="A12" s="16" t="n"/>
      <c r="B12" s="16" t="n"/>
      <c r="C12" s="16" t="n"/>
      <c r="D12" s="17" t="n"/>
      <c r="E12" s="17" t="n"/>
      <c r="F12" s="18" t="n"/>
      <c r="G12" s="16" t="n"/>
    </row>
    <row r="13">
      <c r="A13" s="16" t="n"/>
      <c r="B13" s="16" t="n"/>
      <c r="C13" s="16" t="n"/>
      <c r="D13" s="17" t="n"/>
      <c r="E13" s="17" t="n"/>
      <c r="F13" s="18" t="n"/>
      <c r="G13" s="16" t="n"/>
    </row>
    <row r="14">
      <c r="A14" s="16" t="n"/>
      <c r="B14" s="16" t="n"/>
      <c r="C14" s="16" t="n"/>
      <c r="D14" s="17" t="n"/>
      <c r="E14" s="17" t="n"/>
      <c r="F14" s="18" t="n"/>
      <c r="G14" s="16" t="n"/>
    </row>
    <row r="15">
      <c r="A15" s="16" t="n"/>
      <c r="B15" s="16" t="n"/>
      <c r="C15" s="16" t="n"/>
      <c r="D15" s="17" t="n"/>
      <c r="E15" s="17" t="n"/>
      <c r="F15" s="18" t="n"/>
      <c r="G15" s="16" t="n"/>
    </row>
    <row r="16">
      <c r="A16" s="16" t="n"/>
      <c r="B16" s="16" t="n"/>
      <c r="C16" s="16" t="n"/>
      <c r="D16" s="17" t="n"/>
      <c r="E16" s="17" t="n"/>
      <c r="F16" s="18" t="n"/>
      <c r="G16" s="16" t="n"/>
    </row>
    <row r="17">
      <c r="A17" s="16" t="n"/>
      <c r="B17" s="16" t="n"/>
      <c r="C17" s="16" t="n"/>
      <c r="D17" s="17" t="n"/>
      <c r="E17" s="17" t="n"/>
      <c r="F17" s="18" t="n"/>
      <c r="G17" s="16" t="n"/>
    </row>
    <row r="18">
      <c r="A18" s="16" t="n"/>
      <c r="B18" s="16" t="n"/>
      <c r="C18" s="16" t="n"/>
      <c r="D18" s="17" t="n"/>
      <c r="E18" s="17" t="n"/>
      <c r="F18" s="18" t="n"/>
      <c r="G18" s="16" t="n"/>
    </row>
    <row r="19">
      <c r="A19" s="16" t="n"/>
      <c r="B19" s="16" t="n"/>
      <c r="C19" s="16" t="n"/>
      <c r="D19" s="17" t="n"/>
      <c r="E19" s="17" t="n"/>
      <c r="F19" s="18" t="n"/>
      <c r="G19" s="16" t="n"/>
    </row>
    <row r="20">
      <c r="A20" s="16" t="n"/>
      <c r="B20" s="16" t="n"/>
      <c r="C20" s="16" t="n"/>
      <c r="D20" s="17" t="n"/>
      <c r="E20" s="17" t="n"/>
      <c r="F20" s="18" t="n"/>
      <c r="G20" s="16" t="n"/>
    </row>
    <row r="21">
      <c r="A21" s="16" t="n"/>
      <c r="B21" s="16" t="n"/>
      <c r="C21" s="16" t="n"/>
      <c r="D21" s="17" t="n"/>
      <c r="E21" s="17" t="n"/>
      <c r="F21" s="18" t="n"/>
      <c r="G21" s="16" t="n"/>
    </row>
    <row r="22">
      <c r="A22" s="16" t="n"/>
      <c r="B22" s="16" t="n"/>
      <c r="C22" s="16" t="n"/>
      <c r="D22" s="17" t="n"/>
      <c r="E22" s="17" t="n"/>
      <c r="F22" s="18" t="n"/>
      <c r="G22" s="16" t="n"/>
    </row>
    <row r="23">
      <c r="A23" s="16" t="n"/>
      <c r="B23" s="16" t="n"/>
      <c r="C23" s="16" t="n"/>
      <c r="D23" s="17" t="n"/>
      <c r="E23" s="17" t="n"/>
      <c r="F23" s="18" t="n"/>
      <c r="G23" s="16" t="n"/>
    </row>
  </sheetData>
  <conditionalFormatting sqref="F2:F23">
    <cfRule type="cellIs" priority="1" operator="lessThan" dxfId="0">
      <formula>0</formula>
    </cfRule>
  </conditionalFormatting>
  <dataValidations count="1">
    <dataValidation sqref="G2:G23" showDropDown="0" showInputMessage="0" showErrorMessage="0" allowBlank="1" type="list">
      <formula1>"geplant,aktiv,pausiert,abgeschlossen,storniert"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39" customWidth="1" min="7" max="7"/>
    <col width="40" customWidth="1" min="8" max="8"/>
  </cols>
  <sheetData>
    <row r="1" ht="32" customHeight="1">
      <c r="A1" s="15" t="inlineStr">
        <is>
          <t>Datum</t>
        </is>
      </c>
      <c r="B1" s="15" t="inlineStr">
        <is>
          <t>Projekt-ID</t>
        </is>
      </c>
      <c r="C1" s="15" t="inlineStr">
        <is>
          <t>Tätigkeit</t>
        </is>
      </c>
      <c r="D1" s="15" t="inlineStr">
        <is>
          <t>Startzeit</t>
        </is>
      </c>
      <c r="E1" s="15" t="inlineStr">
        <is>
          <t>Endzeit</t>
        </is>
      </c>
      <c r="F1" s="15" t="inlineStr">
        <is>
          <t>Pause (Min)</t>
        </is>
      </c>
      <c r="G1" s="15" t="inlineStr">
        <is>
          <t>Netto-Stunden</t>
        </is>
      </c>
      <c r="H1" s="15" t="inlineStr">
        <is>
          <t>Honorar (EUR)</t>
        </is>
      </c>
    </row>
    <row r="2">
      <c r="A2" s="17" t="n">
        <v>46037</v>
      </c>
      <c r="B2" s="16" t="inlineStr">
        <is>
          <t>PRJ-2026-001</t>
        </is>
      </c>
      <c r="C2" s="16" t="inlineStr">
        <is>
          <t>Konzept</t>
        </is>
      </c>
      <c r="D2" s="19" t="inlineStr">
        <is>
          <t>09:00</t>
        </is>
      </c>
      <c r="E2" s="19" t="inlineStr">
        <is>
          <t>12:30</t>
        </is>
      </c>
      <c r="F2" s="20" t="n">
        <v>30</v>
      </c>
      <c r="G2" s="21">
        <f>(E2-D2)*24-(F2/60)</f>
        <v/>
      </c>
      <c r="H2" s="22">
        <f>G2*VLOOKUP(B2,Projekte!A:F,6,FALSE)</f>
        <v/>
      </c>
    </row>
    <row r="3">
      <c r="A3" s="17" t="n">
        <v>46038</v>
      </c>
      <c r="B3" s="16" t="inlineStr">
        <is>
          <t>PRJ-2026-001</t>
        </is>
      </c>
      <c r="C3" s="16" t="inlineStr">
        <is>
          <t>Design</t>
        </is>
      </c>
      <c r="D3" s="19" t="inlineStr">
        <is>
          <t>14:00</t>
        </is>
      </c>
      <c r="E3" s="19" t="inlineStr">
        <is>
          <t>17:45</t>
        </is>
      </c>
      <c r="F3" s="20" t="n">
        <v>15</v>
      </c>
      <c r="G3" s="21">
        <f>(E3-D3)*24-(F3/60)</f>
        <v/>
      </c>
      <c r="H3" s="22">
        <f>G3*VLOOKUP(B3,Projekte!A:F,6,FALSE)</f>
        <v/>
      </c>
    </row>
    <row r="4">
      <c r="A4" s="17" t="n"/>
      <c r="B4" s="16" t="n"/>
      <c r="C4" s="16" t="n"/>
      <c r="D4" s="19" t="n"/>
      <c r="E4" s="19" t="n"/>
      <c r="F4" s="20" t="n"/>
      <c r="G4" s="21">
        <f>IF(A4="","",(E4-D4)*24-(F4/60))</f>
        <v/>
      </c>
      <c r="H4" s="22">
        <f>IF(A4="","",G4*VLOOKUP(B4,Projekte!A:F,6,FALSE))</f>
        <v/>
      </c>
    </row>
    <row r="5">
      <c r="A5" s="17" t="n"/>
      <c r="B5" s="16" t="n"/>
      <c r="C5" s="16" t="n"/>
      <c r="D5" s="19" t="n"/>
      <c r="E5" s="19" t="n"/>
      <c r="F5" s="20" t="n"/>
      <c r="G5" s="21">
        <f>IF(A5="","",(E5-D5)*24-(F5/60))</f>
        <v/>
      </c>
      <c r="H5" s="22">
        <f>IF(A5="","",G5*VLOOKUP(B5,Projekte!A:F,6,FALSE))</f>
        <v/>
      </c>
    </row>
    <row r="6">
      <c r="A6" s="17" t="n"/>
      <c r="B6" s="16" t="n"/>
      <c r="C6" s="16" t="n"/>
      <c r="D6" s="19" t="n"/>
      <c r="E6" s="19" t="n"/>
      <c r="F6" s="20" t="n"/>
      <c r="G6" s="21">
        <f>IF(A6="","",(E6-D6)*24-(F6/60))</f>
        <v/>
      </c>
      <c r="H6" s="22">
        <f>IF(A6="","",G6*VLOOKUP(B6,Projekte!A:F,6,FALSE))</f>
        <v/>
      </c>
    </row>
    <row r="7">
      <c r="A7" s="17" t="n"/>
      <c r="B7" s="16" t="n"/>
      <c r="C7" s="16" t="n"/>
      <c r="D7" s="19" t="n"/>
      <c r="E7" s="19" t="n"/>
      <c r="F7" s="20" t="n"/>
      <c r="G7" s="21">
        <f>IF(A7="","",(E7-D7)*24-(F7/60))</f>
        <v/>
      </c>
      <c r="H7" s="22">
        <f>IF(A7="","",G7*VLOOKUP(B7,Projekte!A:F,6,FALSE))</f>
        <v/>
      </c>
    </row>
    <row r="8">
      <c r="A8" s="17" t="n"/>
      <c r="B8" s="16" t="n"/>
      <c r="C8" s="16" t="n"/>
      <c r="D8" s="19" t="n"/>
      <c r="E8" s="19" t="n"/>
      <c r="F8" s="20" t="n"/>
      <c r="G8" s="21">
        <f>IF(A8="","",(E8-D8)*24-(F8/60))</f>
        <v/>
      </c>
      <c r="H8" s="22">
        <f>IF(A8="","",G8*VLOOKUP(B8,Projekte!A:F,6,FALSE))</f>
        <v/>
      </c>
    </row>
    <row r="9">
      <c r="A9" s="17" t="n"/>
      <c r="B9" s="16" t="n"/>
      <c r="C9" s="16" t="n"/>
      <c r="D9" s="19" t="n"/>
      <c r="E9" s="19" t="n"/>
      <c r="F9" s="20" t="n"/>
      <c r="G9" s="21">
        <f>IF(A9="","",(E9-D9)*24-(F9/60))</f>
        <v/>
      </c>
      <c r="H9" s="22">
        <f>IF(A9="","",G9*VLOOKUP(B9,Projekte!A:F,6,FALSE))</f>
        <v/>
      </c>
    </row>
    <row r="10">
      <c r="A10" s="17" t="n"/>
      <c r="B10" s="16" t="n"/>
      <c r="C10" s="16" t="n"/>
      <c r="D10" s="19" t="n"/>
      <c r="E10" s="19" t="n"/>
      <c r="F10" s="20" t="n"/>
      <c r="G10" s="21">
        <f>IF(A10="","",(E10-D10)*24-(F10/60))</f>
        <v/>
      </c>
      <c r="H10" s="22">
        <f>IF(A10="","",G10*VLOOKUP(B10,Projekte!A:F,6,FALSE))</f>
        <v/>
      </c>
    </row>
    <row r="11">
      <c r="A11" s="17" t="n"/>
      <c r="B11" s="16" t="n"/>
      <c r="C11" s="16" t="n"/>
      <c r="D11" s="19" t="n"/>
      <c r="E11" s="19" t="n"/>
      <c r="F11" s="20" t="n"/>
      <c r="G11" s="21">
        <f>IF(A11="","",(E11-D11)*24-(F11/60))</f>
        <v/>
      </c>
      <c r="H11" s="22">
        <f>IF(A11="","",G11*VLOOKUP(B11,Projekte!A:F,6,FALSE))</f>
        <v/>
      </c>
    </row>
    <row r="12">
      <c r="A12" s="17" t="n"/>
      <c r="B12" s="16" t="n"/>
      <c r="C12" s="16" t="n"/>
      <c r="D12" s="19" t="n"/>
      <c r="E12" s="19" t="n"/>
      <c r="F12" s="20" t="n"/>
      <c r="G12" s="21">
        <f>IF(A12="","",(E12-D12)*24-(F12/60))</f>
        <v/>
      </c>
      <c r="H12" s="22">
        <f>IF(A12="","",G12*VLOOKUP(B12,Projekte!A:F,6,FALSE))</f>
        <v/>
      </c>
    </row>
    <row r="13">
      <c r="A13" s="17" t="n"/>
      <c r="B13" s="16" t="n"/>
      <c r="C13" s="16" t="n"/>
      <c r="D13" s="19" t="n"/>
      <c r="E13" s="19" t="n"/>
      <c r="F13" s="20" t="n"/>
      <c r="G13" s="21">
        <f>IF(A13="","",(E13-D13)*24-(F13/60))</f>
        <v/>
      </c>
      <c r="H13" s="22">
        <f>IF(A13="","",G13*VLOOKUP(B13,Projekte!A:F,6,FALSE))</f>
        <v/>
      </c>
    </row>
    <row r="14">
      <c r="A14" s="17" t="n"/>
      <c r="B14" s="16" t="n"/>
      <c r="C14" s="16" t="n"/>
      <c r="D14" s="19" t="n"/>
      <c r="E14" s="19" t="n"/>
      <c r="F14" s="20" t="n"/>
      <c r="G14" s="21">
        <f>IF(A14="","",(E14-D14)*24-(F14/60))</f>
        <v/>
      </c>
      <c r="H14" s="22">
        <f>IF(A14="","",G14*VLOOKUP(B14,Projekte!A:F,6,FALSE))</f>
        <v/>
      </c>
    </row>
    <row r="15">
      <c r="A15" s="17" t="n"/>
      <c r="B15" s="16" t="n"/>
      <c r="C15" s="16" t="n"/>
      <c r="D15" s="19" t="n"/>
      <c r="E15" s="19" t="n"/>
      <c r="F15" s="20" t="n"/>
      <c r="G15" s="21">
        <f>IF(A15="","",(E15-D15)*24-(F15/60))</f>
        <v/>
      </c>
      <c r="H15" s="22">
        <f>IF(A15="","",G15*VLOOKUP(B15,Projekte!A:F,6,FALSE))</f>
        <v/>
      </c>
    </row>
    <row r="16">
      <c r="A16" s="17" t="n"/>
      <c r="B16" s="16" t="n"/>
      <c r="C16" s="16" t="n"/>
      <c r="D16" s="19" t="n"/>
      <c r="E16" s="19" t="n"/>
      <c r="F16" s="20" t="n"/>
      <c r="G16" s="21">
        <f>IF(A16="","",(E16-D16)*24-(F16/60))</f>
        <v/>
      </c>
      <c r="H16" s="22">
        <f>IF(A16="","",G16*VLOOKUP(B16,Projekte!A:F,6,FALSE))</f>
        <v/>
      </c>
    </row>
    <row r="17">
      <c r="A17" s="17" t="n"/>
      <c r="B17" s="16" t="n"/>
      <c r="C17" s="16" t="n"/>
      <c r="D17" s="19" t="n"/>
      <c r="E17" s="19" t="n"/>
      <c r="F17" s="20" t="n"/>
      <c r="G17" s="21">
        <f>IF(A17="","",(E17-D17)*24-(F17/60))</f>
        <v/>
      </c>
      <c r="H17" s="22">
        <f>IF(A17="","",G17*VLOOKUP(B17,Projekte!A:F,6,FALSE))</f>
        <v/>
      </c>
    </row>
    <row r="18">
      <c r="A18" s="17" t="n"/>
      <c r="B18" s="16" t="n"/>
      <c r="C18" s="16" t="n"/>
      <c r="D18" s="19" t="n"/>
      <c r="E18" s="19" t="n"/>
      <c r="F18" s="20" t="n"/>
      <c r="G18" s="21">
        <f>IF(A18="","",(E18-D18)*24-(F18/60))</f>
        <v/>
      </c>
      <c r="H18" s="22">
        <f>IF(A18="","",G18*VLOOKUP(B18,Projekte!A:F,6,FALSE))</f>
        <v/>
      </c>
    </row>
    <row r="19">
      <c r="A19" s="17" t="n"/>
      <c r="B19" s="16" t="n"/>
      <c r="C19" s="16" t="n"/>
      <c r="D19" s="19" t="n"/>
      <c r="E19" s="19" t="n"/>
      <c r="F19" s="20" t="n"/>
      <c r="G19" s="21">
        <f>IF(A19="","",(E19-D19)*24-(F19/60))</f>
        <v/>
      </c>
      <c r="H19" s="22">
        <f>IF(A19="","",G19*VLOOKUP(B19,Projekte!A:F,6,FALSE))</f>
        <v/>
      </c>
    </row>
    <row r="20">
      <c r="A20" s="17" t="n"/>
      <c r="B20" s="16" t="n"/>
      <c r="C20" s="16" t="n"/>
      <c r="D20" s="19" t="n"/>
      <c r="E20" s="19" t="n"/>
      <c r="F20" s="20" t="n"/>
      <c r="G20" s="21">
        <f>IF(A20="","",(E20-D20)*24-(F20/60))</f>
        <v/>
      </c>
      <c r="H20" s="22">
        <f>IF(A20="","",G20*VLOOKUP(B20,Projekte!A:F,6,FALSE))</f>
        <v/>
      </c>
    </row>
    <row r="21">
      <c r="A21" s="17" t="n"/>
      <c r="B21" s="16" t="n"/>
      <c r="C21" s="16" t="n"/>
      <c r="D21" s="19" t="n"/>
      <c r="E21" s="19" t="n"/>
      <c r="F21" s="20" t="n"/>
      <c r="G21" s="21">
        <f>IF(A21="","",(E21-D21)*24-(F21/60))</f>
        <v/>
      </c>
      <c r="H21" s="22">
        <f>IF(A21="","",G21*VLOOKUP(B21,Projekte!A:F,6,FALSE))</f>
        <v/>
      </c>
    </row>
    <row r="22">
      <c r="A22" s="17" t="n"/>
      <c r="B22" s="16" t="n"/>
      <c r="C22" s="16" t="n"/>
      <c r="D22" s="19" t="n"/>
      <c r="E22" s="19" t="n"/>
      <c r="F22" s="20" t="n"/>
      <c r="G22" s="21">
        <f>IF(A22="","",(E22-D22)*24-(F22/60))</f>
        <v/>
      </c>
      <c r="H22" s="22">
        <f>IF(A22="","",G22*VLOOKUP(B22,Projekte!A:F,6,FALSE))</f>
        <v/>
      </c>
    </row>
    <row r="23">
      <c r="A23" s="17" t="n"/>
      <c r="B23" s="16" t="n"/>
      <c r="C23" s="16" t="n"/>
      <c r="D23" s="19" t="n"/>
      <c r="E23" s="19" t="n"/>
      <c r="F23" s="20" t="n"/>
      <c r="G23" s="21">
        <f>IF(A23="","",(E23-D23)*24-(F23/60))</f>
        <v/>
      </c>
      <c r="H23" s="22">
        <f>IF(A23="","",G23*VLOOKUP(B23,Projekte!A:F,6,FALSE))</f>
        <v/>
      </c>
    </row>
    <row r="24">
      <c r="A24" s="17" t="n"/>
      <c r="B24" s="16" t="n"/>
      <c r="C24" s="16" t="n"/>
      <c r="D24" s="19" t="n"/>
      <c r="E24" s="19" t="n"/>
      <c r="F24" s="20" t="n"/>
      <c r="G24" s="21">
        <f>IF(A24="","",(E24-D24)*24-(F24/60))</f>
        <v/>
      </c>
      <c r="H24" s="22">
        <f>IF(A24="","",G24*VLOOKUP(B24,Projekte!A:F,6,FALSE))</f>
        <v/>
      </c>
    </row>
    <row r="25">
      <c r="A25" s="17" t="n"/>
      <c r="B25" s="16" t="n"/>
      <c r="C25" s="16" t="n"/>
      <c r="D25" s="19" t="n"/>
      <c r="E25" s="19" t="n"/>
      <c r="F25" s="20" t="n"/>
      <c r="G25" s="21">
        <f>IF(A25="","",(E25-D25)*24-(F25/60))</f>
        <v/>
      </c>
      <c r="H25" s="22">
        <f>IF(A25="","",G25*VLOOKUP(B25,Projekte!A:F,6,FALSE))</f>
        <v/>
      </c>
    </row>
    <row r="26">
      <c r="A26" s="17" t="n"/>
      <c r="B26" s="16" t="n"/>
      <c r="C26" s="16" t="n"/>
      <c r="D26" s="19" t="n"/>
      <c r="E26" s="19" t="n"/>
      <c r="F26" s="20" t="n"/>
      <c r="G26" s="21">
        <f>IF(A26="","",(E26-D26)*24-(F26/60))</f>
        <v/>
      </c>
      <c r="H26" s="22">
        <f>IF(A26="","",G26*VLOOKUP(B26,Projekte!A:F,6,FALSE))</f>
        <v/>
      </c>
    </row>
    <row r="27">
      <c r="A27" s="17" t="n"/>
      <c r="B27" s="16" t="n"/>
      <c r="C27" s="16" t="n"/>
      <c r="D27" s="19" t="n"/>
      <c r="E27" s="19" t="n"/>
      <c r="F27" s="20" t="n"/>
      <c r="G27" s="21">
        <f>IF(A27="","",(E27-D27)*24-(F27/60))</f>
        <v/>
      </c>
      <c r="H27" s="22">
        <f>IF(A27="","",G27*VLOOKUP(B27,Projekte!A:F,6,FALSE))</f>
        <v/>
      </c>
    </row>
    <row r="28">
      <c r="A28" s="17" t="n"/>
      <c r="B28" s="16" t="n"/>
      <c r="C28" s="16" t="n"/>
      <c r="D28" s="19" t="n"/>
      <c r="E28" s="19" t="n"/>
      <c r="F28" s="20" t="n"/>
      <c r="G28" s="21">
        <f>IF(A28="","",(E28-D28)*24-(F28/60))</f>
        <v/>
      </c>
      <c r="H28" s="22">
        <f>IF(A28="","",G28*VLOOKUP(B28,Projekte!A:F,6,FALSE))</f>
        <v/>
      </c>
    </row>
    <row r="29">
      <c r="A29" s="17" t="n"/>
      <c r="B29" s="16" t="n"/>
      <c r="C29" s="16" t="n"/>
      <c r="D29" s="19" t="n"/>
      <c r="E29" s="19" t="n"/>
      <c r="F29" s="20" t="n"/>
      <c r="G29" s="21">
        <f>IF(A29="","",(E29-D29)*24-(F29/60))</f>
        <v/>
      </c>
      <c r="H29" s="22">
        <f>IF(A29="","",G29*VLOOKUP(B29,Projekte!A:F,6,FALSE))</f>
        <v/>
      </c>
    </row>
    <row r="30">
      <c r="A30" s="17" t="n"/>
      <c r="B30" s="16" t="n"/>
      <c r="C30" s="16" t="n"/>
      <c r="D30" s="19" t="n"/>
      <c r="E30" s="19" t="n"/>
      <c r="F30" s="20" t="n"/>
      <c r="G30" s="21">
        <f>IF(A30="","",(E30-D30)*24-(F30/60))</f>
        <v/>
      </c>
      <c r="H30" s="22">
        <f>IF(A30="","",G30*VLOOKUP(B30,Projekte!A:F,6,FALSE))</f>
        <v/>
      </c>
    </row>
    <row r="31">
      <c r="A31" s="17" t="n"/>
      <c r="B31" s="16" t="n"/>
      <c r="C31" s="16" t="n"/>
      <c r="D31" s="19" t="n"/>
      <c r="E31" s="19" t="n"/>
      <c r="F31" s="20" t="n"/>
      <c r="G31" s="21">
        <f>IF(A31="","",(E31-D31)*24-(F31/60))</f>
        <v/>
      </c>
      <c r="H31" s="22">
        <f>IF(A31="","",G31*VLOOKUP(B31,Projekte!A:F,6,FALSE))</f>
        <v/>
      </c>
    </row>
    <row r="32">
      <c r="A32" s="17" t="n"/>
      <c r="B32" s="16" t="n"/>
      <c r="C32" s="16" t="n"/>
      <c r="D32" s="19" t="n"/>
      <c r="E32" s="19" t="n"/>
      <c r="F32" s="20" t="n"/>
      <c r="G32" s="21">
        <f>IF(A32="","",(E32-D32)*24-(F32/60))</f>
        <v/>
      </c>
      <c r="H32" s="22">
        <f>IF(A32="","",G32*VLOOKUP(B32,Projekte!A:F,6,FALSE))</f>
        <v/>
      </c>
    </row>
    <row r="33">
      <c r="A33" s="17" t="n"/>
      <c r="B33" s="16" t="n"/>
      <c r="C33" s="16" t="n"/>
      <c r="D33" s="19" t="n"/>
      <c r="E33" s="19" t="n"/>
      <c r="F33" s="20" t="n"/>
      <c r="G33" s="21">
        <f>IF(A33="","",(E33-D33)*24-(F33/60))</f>
        <v/>
      </c>
      <c r="H33" s="22">
        <f>IF(A33="","",G33*VLOOKUP(B33,Projekte!A:F,6,FALSE))</f>
        <v/>
      </c>
    </row>
    <row r="34">
      <c r="A34" s="17" t="n"/>
      <c r="B34" s="16" t="n"/>
      <c r="C34" s="16" t="n"/>
      <c r="D34" s="19" t="n"/>
      <c r="E34" s="19" t="n"/>
      <c r="F34" s="20" t="n"/>
      <c r="G34" s="21">
        <f>IF(A34="","",(E34-D34)*24-(F34/60))</f>
        <v/>
      </c>
      <c r="H34" s="22">
        <f>IF(A34="","",G34*VLOOKUP(B34,Projekte!A:F,6,FALSE))</f>
        <v/>
      </c>
    </row>
    <row r="35">
      <c r="A35" s="17" t="n"/>
      <c r="B35" s="16" t="n"/>
      <c r="C35" s="16" t="n"/>
      <c r="D35" s="19" t="n"/>
      <c r="E35" s="19" t="n"/>
      <c r="F35" s="20" t="n"/>
      <c r="G35" s="21">
        <f>IF(A35="","",(E35-D35)*24-(F35/60))</f>
        <v/>
      </c>
      <c r="H35" s="22">
        <f>IF(A35="","",G35*VLOOKUP(B35,Projekte!A:F,6,FALSE))</f>
        <v/>
      </c>
    </row>
    <row r="36">
      <c r="A36" s="17" t="n"/>
      <c r="B36" s="16" t="n"/>
      <c r="C36" s="16" t="n"/>
      <c r="D36" s="19" t="n"/>
      <c r="E36" s="19" t="n"/>
      <c r="F36" s="20" t="n"/>
      <c r="G36" s="21">
        <f>IF(A36="","",(E36-D36)*24-(F36/60))</f>
        <v/>
      </c>
      <c r="H36" s="22">
        <f>IF(A36="","",G36*VLOOKUP(B36,Projekte!A:F,6,FALSE))</f>
        <v/>
      </c>
    </row>
    <row r="37">
      <c r="A37" s="17" t="n"/>
      <c r="B37" s="16" t="n"/>
      <c r="C37" s="16" t="n"/>
      <c r="D37" s="19" t="n"/>
      <c r="E37" s="19" t="n"/>
      <c r="F37" s="20" t="n"/>
      <c r="G37" s="21">
        <f>IF(A37="","",(E37-D37)*24-(F37/60))</f>
        <v/>
      </c>
      <c r="H37" s="22">
        <f>IF(A37="","",G37*VLOOKUP(B37,Projekte!A:F,6,FALSE))</f>
        <v/>
      </c>
    </row>
    <row r="38">
      <c r="A38" s="17" t="n"/>
      <c r="B38" s="16" t="n"/>
      <c r="C38" s="16" t="n"/>
      <c r="D38" s="19" t="n"/>
      <c r="E38" s="19" t="n"/>
      <c r="F38" s="20" t="n"/>
      <c r="G38" s="21">
        <f>IF(A38="","",(E38-D38)*24-(F38/60))</f>
        <v/>
      </c>
      <c r="H38" s="22">
        <f>IF(A38="","",G38*VLOOKUP(B38,Projekte!A:F,6,FALSE))</f>
        <v/>
      </c>
    </row>
    <row r="39">
      <c r="A39" s="17" t="n"/>
      <c r="B39" s="16" t="n"/>
      <c r="C39" s="16" t="n"/>
      <c r="D39" s="19" t="n"/>
      <c r="E39" s="19" t="n"/>
      <c r="F39" s="20" t="n"/>
      <c r="G39" s="21">
        <f>IF(A39="","",(E39-D39)*24-(F39/60))</f>
        <v/>
      </c>
      <c r="H39" s="22">
        <f>IF(A39="","",G39*VLOOKUP(B39,Projekte!A:F,6,FALSE))</f>
        <v/>
      </c>
    </row>
    <row r="40">
      <c r="A40" s="17" t="n"/>
      <c r="B40" s="16" t="n"/>
      <c r="C40" s="16" t="n"/>
      <c r="D40" s="19" t="n"/>
      <c r="E40" s="19" t="n"/>
      <c r="F40" s="20" t="n"/>
      <c r="G40" s="21">
        <f>IF(A40="","",(E40-D40)*24-(F40/60))</f>
        <v/>
      </c>
      <c r="H40" s="22">
        <f>IF(A40="","",G40*VLOOKUP(B40,Projekte!A:F,6,FALSE))</f>
        <v/>
      </c>
    </row>
    <row r="41">
      <c r="A41" s="17" t="n"/>
      <c r="B41" s="16" t="n"/>
      <c r="C41" s="16" t="n"/>
      <c r="D41" s="19" t="n"/>
      <c r="E41" s="19" t="n"/>
      <c r="F41" s="20" t="n"/>
      <c r="G41" s="21">
        <f>IF(A41="","",(E41-D41)*24-(F41/60))</f>
        <v/>
      </c>
      <c r="H41" s="22">
        <f>IF(A41="","",G41*VLOOKUP(B41,Projekte!A:F,6,FALSE))</f>
        <v/>
      </c>
    </row>
    <row r="42">
      <c r="A42" s="17" t="n"/>
      <c r="B42" s="16" t="n"/>
      <c r="C42" s="16" t="n"/>
      <c r="D42" s="19" t="n"/>
      <c r="E42" s="19" t="n"/>
      <c r="F42" s="20" t="n"/>
      <c r="G42" s="21">
        <f>IF(A42="","",(E42-D42)*24-(F42/60))</f>
        <v/>
      </c>
      <c r="H42" s="22">
        <f>IF(A42="","",G42*VLOOKUP(B42,Projekte!A:F,6,FALSE))</f>
        <v/>
      </c>
    </row>
    <row r="43">
      <c r="A43" s="17" t="n"/>
      <c r="B43" s="16" t="n"/>
      <c r="C43" s="16" t="n"/>
      <c r="D43" s="19" t="n"/>
      <c r="E43" s="19" t="n"/>
      <c r="F43" s="20" t="n"/>
      <c r="G43" s="21">
        <f>IF(A43="","",(E43-D43)*24-(F43/60))</f>
        <v/>
      </c>
      <c r="H43" s="22">
        <f>IF(A43="","",G43*VLOOKUP(B43,Projekte!A:F,6,FALSE))</f>
        <v/>
      </c>
    </row>
    <row r="44">
      <c r="A44" s="17" t="n"/>
      <c r="B44" s="16" t="n"/>
      <c r="C44" s="16" t="n"/>
      <c r="D44" s="19" t="n"/>
      <c r="E44" s="19" t="n"/>
      <c r="F44" s="20" t="n"/>
      <c r="G44" s="21">
        <f>IF(A44="","",(E44-D44)*24-(F44/60))</f>
        <v/>
      </c>
      <c r="H44" s="22">
        <f>IF(A44="","",G44*VLOOKUP(B44,Projekte!A:F,6,FALSE))</f>
        <v/>
      </c>
    </row>
    <row r="45">
      <c r="A45" s="17" t="n"/>
      <c r="B45" s="16" t="n"/>
      <c r="C45" s="16" t="n"/>
      <c r="D45" s="19" t="n"/>
      <c r="E45" s="19" t="n"/>
      <c r="F45" s="20" t="n"/>
      <c r="G45" s="21">
        <f>IF(A45="","",(E45-D45)*24-(F45/60))</f>
        <v/>
      </c>
      <c r="H45" s="22">
        <f>IF(A45="","",G45*VLOOKUP(B45,Projekte!A:F,6,FALSE))</f>
        <v/>
      </c>
    </row>
    <row r="46">
      <c r="A46" s="17" t="n"/>
      <c r="B46" s="16" t="n"/>
      <c r="C46" s="16" t="n"/>
      <c r="D46" s="19" t="n"/>
      <c r="E46" s="19" t="n"/>
      <c r="F46" s="20" t="n"/>
      <c r="G46" s="21">
        <f>IF(A46="","",(E46-D46)*24-(F46/60))</f>
        <v/>
      </c>
      <c r="H46" s="22">
        <f>IF(A46="","",G46*VLOOKUP(B46,Projekte!A:F,6,FALSE))</f>
        <v/>
      </c>
    </row>
    <row r="47">
      <c r="A47" s="17" t="n"/>
      <c r="B47" s="16" t="n"/>
      <c r="C47" s="16" t="n"/>
      <c r="D47" s="19" t="n"/>
      <c r="E47" s="19" t="n"/>
      <c r="F47" s="20" t="n"/>
      <c r="G47" s="21">
        <f>IF(A47="","",(E47-D47)*24-(F47/60))</f>
        <v/>
      </c>
      <c r="H47" s="22">
        <f>IF(A47="","",G47*VLOOKUP(B47,Projekte!A:F,6,FALSE))</f>
        <v/>
      </c>
    </row>
    <row r="48">
      <c r="A48" s="17" t="n"/>
      <c r="B48" s="16" t="n"/>
      <c r="C48" s="16" t="n"/>
      <c r="D48" s="19" t="n"/>
      <c r="E48" s="19" t="n"/>
      <c r="F48" s="20" t="n"/>
      <c r="G48" s="21">
        <f>IF(A48="","",(E48-D48)*24-(F48/60))</f>
        <v/>
      </c>
      <c r="H48" s="22">
        <f>IF(A48="","",G48*VLOOKUP(B48,Projekte!A:F,6,FALSE))</f>
        <v/>
      </c>
    </row>
    <row r="49">
      <c r="A49" s="17" t="n"/>
      <c r="B49" s="16" t="n"/>
      <c r="C49" s="16" t="n"/>
      <c r="D49" s="19" t="n"/>
      <c r="E49" s="19" t="n"/>
      <c r="F49" s="20" t="n"/>
      <c r="G49" s="21">
        <f>IF(A49="","",(E49-D49)*24-(F49/60))</f>
        <v/>
      </c>
      <c r="H49" s="22">
        <f>IF(A49="","",G49*VLOOKUP(B49,Projekte!A:F,6,FALSE))</f>
        <v/>
      </c>
    </row>
    <row r="50">
      <c r="A50" s="17" t="n"/>
      <c r="B50" s="16" t="n"/>
      <c r="C50" s="16" t="n"/>
      <c r="D50" s="19" t="n"/>
      <c r="E50" s="19" t="n"/>
      <c r="F50" s="20" t="n"/>
      <c r="G50" s="21">
        <f>IF(A50="","",(E50-D50)*24-(F50/60))</f>
        <v/>
      </c>
      <c r="H50" s="22">
        <f>IF(A50="","",G50*VLOOKUP(B50,Projekte!A:F,6,FALSE))</f>
        <v/>
      </c>
    </row>
    <row r="51">
      <c r="A51" s="17" t="n"/>
      <c r="B51" s="16" t="n"/>
      <c r="C51" s="16" t="n"/>
      <c r="D51" s="19" t="n"/>
      <c r="E51" s="19" t="n"/>
      <c r="F51" s="20" t="n"/>
      <c r="G51" s="21">
        <f>IF(A51="","",(E51-D51)*24-(F51/60))</f>
        <v/>
      </c>
      <c r="H51" s="22">
        <f>IF(A51="","",G51*VLOOKUP(B51,Projekte!A:F,6,FALSE))</f>
        <v/>
      </c>
    </row>
    <row r="52">
      <c r="A52" s="17" t="n"/>
      <c r="B52" s="16" t="n"/>
      <c r="C52" s="16" t="n"/>
      <c r="D52" s="19" t="n"/>
      <c r="E52" s="19" t="n"/>
      <c r="F52" s="20" t="n"/>
      <c r="G52" s="21">
        <f>IF(A52="","",(E52-D52)*24-(F52/60))</f>
        <v/>
      </c>
      <c r="H52" s="22">
        <f>IF(A52="","",G52*VLOOKUP(B52,Projekte!A:F,6,FALSE))</f>
        <v/>
      </c>
    </row>
    <row r="53">
      <c r="A53" s="17" t="n"/>
      <c r="B53" s="16" t="n"/>
      <c r="C53" s="16" t="n"/>
      <c r="D53" s="19" t="n"/>
      <c r="E53" s="19" t="n"/>
      <c r="F53" s="20" t="n"/>
      <c r="G53" s="21">
        <f>IF(A53="","",(E53-D53)*24-(F53/60))</f>
        <v/>
      </c>
      <c r="H53" s="22">
        <f>IF(A53="","",G53*VLOOKUP(B53,Projekte!A:F,6,FALSE))</f>
        <v/>
      </c>
    </row>
    <row r="54">
      <c r="A54" s="17" t="n"/>
      <c r="B54" s="16" t="n"/>
      <c r="C54" s="16" t="n"/>
      <c r="D54" s="19" t="n"/>
      <c r="E54" s="19" t="n"/>
      <c r="F54" s="20" t="n"/>
      <c r="G54" s="21">
        <f>IF(A54="","",(E54-D54)*24-(F54/60))</f>
        <v/>
      </c>
      <c r="H54" s="22">
        <f>IF(A54="","",G54*VLOOKUP(B54,Projekte!A:F,6,FALSE))</f>
        <v/>
      </c>
    </row>
    <row r="55">
      <c r="A55" s="17" t="n"/>
      <c r="B55" s="16" t="n"/>
      <c r="C55" s="16" t="n"/>
      <c r="D55" s="19" t="n"/>
      <c r="E55" s="19" t="n"/>
      <c r="F55" s="20" t="n"/>
      <c r="G55" s="21">
        <f>IF(A55="","",(E55-D55)*24-(F55/60))</f>
        <v/>
      </c>
      <c r="H55" s="22">
        <f>IF(A55="","",G55*VLOOKUP(B55,Projekte!A:F,6,FALSE))</f>
        <v/>
      </c>
    </row>
    <row r="56">
      <c r="A56" s="17" t="n"/>
      <c r="B56" s="16" t="n"/>
      <c r="C56" s="16" t="n"/>
      <c r="D56" s="19" t="n"/>
      <c r="E56" s="19" t="n"/>
      <c r="F56" s="20" t="n"/>
      <c r="G56" s="21">
        <f>IF(A56="","",(E56-D56)*24-(F56/60))</f>
        <v/>
      </c>
      <c r="H56" s="22">
        <f>IF(A56="","",G56*VLOOKUP(B56,Projekte!A:F,6,FALSE))</f>
        <v/>
      </c>
    </row>
    <row r="57">
      <c r="A57" s="17" t="n"/>
      <c r="B57" s="16" t="n"/>
      <c r="C57" s="16" t="n"/>
      <c r="D57" s="19" t="n"/>
      <c r="E57" s="19" t="n"/>
      <c r="F57" s="20" t="n"/>
      <c r="G57" s="21">
        <f>IF(A57="","",(E57-D57)*24-(F57/60))</f>
        <v/>
      </c>
      <c r="H57" s="22">
        <f>IF(A57="","",G57*VLOOKUP(B57,Projekte!A:F,6,FALSE))</f>
        <v/>
      </c>
    </row>
    <row r="58">
      <c r="A58" s="17" t="n"/>
      <c r="B58" s="16" t="n"/>
      <c r="C58" s="16" t="n"/>
      <c r="D58" s="19" t="n"/>
      <c r="E58" s="19" t="n"/>
      <c r="F58" s="20" t="n"/>
      <c r="G58" s="21">
        <f>IF(A58="","",(E58-D58)*24-(F58/60))</f>
        <v/>
      </c>
      <c r="H58" s="22">
        <f>IF(A58="","",G58*VLOOKUP(B58,Projekte!A:F,6,FALSE))</f>
        <v/>
      </c>
    </row>
    <row r="59">
      <c r="A59" s="17" t="n"/>
      <c r="B59" s="16" t="n"/>
      <c r="C59" s="16" t="n"/>
      <c r="D59" s="19" t="n"/>
      <c r="E59" s="19" t="n"/>
      <c r="F59" s="20" t="n"/>
      <c r="G59" s="21">
        <f>IF(A59="","",(E59-D59)*24-(F59/60))</f>
        <v/>
      </c>
      <c r="H59" s="22">
        <f>IF(A59="","",G59*VLOOKUP(B59,Projekte!A:F,6,FALSE))</f>
        <v/>
      </c>
    </row>
    <row r="60">
      <c r="A60" s="17" t="n"/>
      <c r="B60" s="16" t="n"/>
      <c r="C60" s="16" t="n"/>
      <c r="D60" s="19" t="n"/>
      <c r="E60" s="19" t="n"/>
      <c r="F60" s="20" t="n"/>
      <c r="G60" s="21">
        <f>IF(A60="","",(E60-D60)*24-(F60/60))</f>
        <v/>
      </c>
      <c r="H60" s="22">
        <f>IF(A60="","",G60*VLOOKUP(B60,Projekte!A:F,6,FALSE))</f>
        <v/>
      </c>
    </row>
    <row r="61">
      <c r="A61" s="17" t="n"/>
      <c r="B61" s="16" t="n"/>
      <c r="C61" s="16" t="n"/>
      <c r="D61" s="19" t="n"/>
      <c r="E61" s="19" t="n"/>
      <c r="F61" s="20" t="n"/>
      <c r="G61" s="21">
        <f>IF(A61="","",(E61-D61)*24-(F61/60))</f>
        <v/>
      </c>
      <c r="H61" s="22">
        <f>IF(A61="","",G61*VLOOKUP(B61,Projekte!A:F,6,FALSE))</f>
        <v/>
      </c>
    </row>
    <row r="62">
      <c r="A62" s="17" t="n"/>
      <c r="B62" s="16" t="n"/>
      <c r="C62" s="16" t="n"/>
      <c r="D62" s="19" t="n"/>
      <c r="E62" s="19" t="n"/>
      <c r="F62" s="20" t="n"/>
      <c r="G62" s="21">
        <f>IF(A62="","",(E62-D62)*24-(F62/60))</f>
        <v/>
      </c>
      <c r="H62" s="22">
        <f>IF(A62="","",G62*VLOOKUP(B62,Projekte!A:F,6,FALSE))</f>
        <v/>
      </c>
    </row>
    <row r="63">
      <c r="A63" s="17" t="n"/>
      <c r="B63" s="16" t="n"/>
      <c r="C63" s="16" t="n"/>
      <c r="D63" s="19" t="n"/>
      <c r="E63" s="19" t="n"/>
      <c r="F63" s="20" t="n"/>
      <c r="G63" s="21">
        <f>IF(A63="","",(E63-D63)*24-(F63/60))</f>
        <v/>
      </c>
      <c r="H63" s="22">
        <f>IF(A63="","",G63*VLOOKUP(B63,Projekte!A:F,6,FALSE))</f>
        <v/>
      </c>
    </row>
    <row r="64">
      <c r="A64" s="17" t="n"/>
      <c r="B64" s="16" t="n"/>
      <c r="C64" s="16" t="n"/>
      <c r="D64" s="19" t="n"/>
      <c r="E64" s="19" t="n"/>
      <c r="F64" s="20" t="n"/>
      <c r="G64" s="21">
        <f>IF(A64="","",(E64-D64)*24-(F64/60))</f>
        <v/>
      </c>
      <c r="H64" s="22">
        <f>IF(A64="","",G64*VLOOKUP(B64,Projekte!A:F,6,FALSE))</f>
        <v/>
      </c>
    </row>
    <row r="65">
      <c r="A65" s="17" t="n"/>
      <c r="B65" s="16" t="n"/>
      <c r="C65" s="16" t="n"/>
      <c r="D65" s="19" t="n"/>
      <c r="E65" s="19" t="n"/>
      <c r="F65" s="20" t="n"/>
      <c r="G65" s="21">
        <f>IF(A65="","",(E65-D65)*24-(F65/60))</f>
        <v/>
      </c>
      <c r="H65" s="22">
        <f>IF(A65="","",G65*VLOOKUP(B65,Projekte!A:F,6,FALSE))</f>
        <v/>
      </c>
    </row>
    <row r="66">
      <c r="A66" s="17" t="n"/>
      <c r="B66" s="16" t="n"/>
      <c r="C66" s="16" t="n"/>
      <c r="D66" s="19" t="n"/>
      <c r="E66" s="19" t="n"/>
      <c r="F66" s="20" t="n"/>
      <c r="G66" s="21">
        <f>IF(A66="","",(E66-D66)*24-(F66/60))</f>
        <v/>
      </c>
      <c r="H66" s="22">
        <f>IF(A66="","",G66*VLOOKUP(B66,Projekte!A:F,6,FALSE))</f>
        <v/>
      </c>
    </row>
    <row r="67">
      <c r="A67" s="17" t="n"/>
      <c r="B67" s="16" t="n"/>
      <c r="C67" s="16" t="n"/>
      <c r="D67" s="19" t="n"/>
      <c r="E67" s="19" t="n"/>
      <c r="F67" s="20" t="n"/>
      <c r="G67" s="21">
        <f>IF(A67="","",(E67-D67)*24-(F67/60))</f>
        <v/>
      </c>
      <c r="H67" s="22">
        <f>IF(A67="","",G67*VLOOKUP(B67,Projekte!A:F,6,FALSE))</f>
        <v/>
      </c>
    </row>
    <row r="68">
      <c r="A68" s="17" t="n"/>
      <c r="B68" s="16" t="n"/>
      <c r="C68" s="16" t="n"/>
      <c r="D68" s="19" t="n"/>
      <c r="E68" s="19" t="n"/>
      <c r="F68" s="20" t="n"/>
      <c r="G68" s="21">
        <f>IF(A68="","",(E68-D68)*24-(F68/60))</f>
        <v/>
      </c>
      <c r="H68" s="22">
        <f>IF(A68="","",G68*VLOOKUP(B68,Projekte!A:F,6,FALSE))</f>
        <v/>
      </c>
    </row>
    <row r="69">
      <c r="A69" s="17" t="n"/>
      <c r="B69" s="16" t="n"/>
      <c r="C69" s="16" t="n"/>
      <c r="D69" s="19" t="n"/>
      <c r="E69" s="19" t="n"/>
      <c r="F69" s="20" t="n"/>
      <c r="G69" s="21">
        <f>IF(A69="","",(E69-D69)*24-(F69/60))</f>
        <v/>
      </c>
      <c r="H69" s="22">
        <f>IF(A69="","",G69*VLOOKUP(B69,Projekte!A:F,6,FALSE))</f>
        <v/>
      </c>
    </row>
    <row r="70">
      <c r="A70" s="17" t="n"/>
      <c r="B70" s="16" t="n"/>
      <c r="C70" s="16" t="n"/>
      <c r="D70" s="19" t="n"/>
      <c r="E70" s="19" t="n"/>
      <c r="F70" s="20" t="n"/>
      <c r="G70" s="21">
        <f>IF(A70="","",(E70-D70)*24-(F70/60))</f>
        <v/>
      </c>
      <c r="H70" s="22">
        <f>IF(A70="","",G70*VLOOKUP(B70,Projekte!A:F,6,FALSE))</f>
        <v/>
      </c>
    </row>
    <row r="71">
      <c r="A71" s="17" t="n"/>
      <c r="B71" s="16" t="n"/>
      <c r="C71" s="16" t="n"/>
      <c r="D71" s="19" t="n"/>
      <c r="E71" s="19" t="n"/>
      <c r="F71" s="20" t="n"/>
      <c r="G71" s="21">
        <f>IF(A71="","",(E71-D71)*24-(F71/60))</f>
        <v/>
      </c>
      <c r="H71" s="22">
        <f>IF(A71="","",G71*VLOOKUP(B71,Projekte!A:F,6,FALSE))</f>
        <v/>
      </c>
    </row>
    <row r="72">
      <c r="A72" s="17" t="n"/>
      <c r="B72" s="16" t="n"/>
      <c r="C72" s="16" t="n"/>
      <c r="D72" s="19" t="n"/>
      <c r="E72" s="19" t="n"/>
      <c r="F72" s="20" t="n"/>
      <c r="G72" s="21">
        <f>IF(A72="","",(E72-D72)*24-(F72/60))</f>
        <v/>
      </c>
      <c r="H72" s="22">
        <f>IF(A72="","",G72*VLOOKUP(B72,Projekte!A:F,6,FALSE))</f>
        <v/>
      </c>
    </row>
    <row r="73">
      <c r="A73" s="17" t="n"/>
      <c r="B73" s="16" t="n"/>
      <c r="C73" s="16" t="n"/>
      <c r="D73" s="19" t="n"/>
      <c r="E73" s="19" t="n"/>
      <c r="F73" s="20" t="n"/>
      <c r="G73" s="21">
        <f>IF(A73="","",(E73-D73)*24-(F73/60))</f>
        <v/>
      </c>
      <c r="H73" s="22">
        <f>IF(A73="","",G73*VLOOKUP(B73,Projekte!A:F,6,FALSE))</f>
        <v/>
      </c>
    </row>
    <row r="74">
      <c r="A74" s="17" t="n"/>
      <c r="B74" s="16" t="n"/>
      <c r="C74" s="16" t="n"/>
      <c r="D74" s="19" t="n"/>
      <c r="E74" s="19" t="n"/>
      <c r="F74" s="20" t="n"/>
      <c r="G74" s="21">
        <f>IF(A74="","",(E74-D74)*24-(F74/60))</f>
        <v/>
      </c>
      <c r="H74" s="22">
        <f>IF(A74="","",G74*VLOOKUP(B74,Projekte!A:F,6,FALSE))</f>
        <v/>
      </c>
    </row>
    <row r="75">
      <c r="A75" s="17" t="n"/>
      <c r="B75" s="16" t="n"/>
      <c r="C75" s="16" t="n"/>
      <c r="D75" s="19" t="n"/>
      <c r="E75" s="19" t="n"/>
      <c r="F75" s="20" t="n"/>
      <c r="G75" s="21">
        <f>IF(A75="","",(E75-D75)*24-(F75/60))</f>
        <v/>
      </c>
      <c r="H75" s="22">
        <f>IF(A75="","",G75*VLOOKUP(B75,Projekte!A:F,6,FALSE))</f>
        <v/>
      </c>
    </row>
    <row r="76">
      <c r="A76" s="17" t="n"/>
      <c r="B76" s="16" t="n"/>
      <c r="C76" s="16" t="n"/>
      <c r="D76" s="19" t="n"/>
      <c r="E76" s="19" t="n"/>
      <c r="F76" s="20" t="n"/>
      <c r="G76" s="21">
        <f>IF(A76="","",(E76-D76)*24-(F76/60))</f>
        <v/>
      </c>
      <c r="H76" s="22">
        <f>IF(A76="","",G76*VLOOKUP(B76,Projekte!A:F,6,FALSE))</f>
        <v/>
      </c>
    </row>
    <row r="77">
      <c r="A77" s="17" t="n"/>
      <c r="B77" s="16" t="n"/>
      <c r="C77" s="16" t="n"/>
      <c r="D77" s="19" t="n"/>
      <c r="E77" s="19" t="n"/>
      <c r="F77" s="20" t="n"/>
      <c r="G77" s="21">
        <f>IF(A77="","",(E77-D77)*24-(F77/60))</f>
        <v/>
      </c>
      <c r="H77" s="22">
        <f>IF(A77="","",G77*VLOOKUP(B77,Projekte!A:F,6,FALSE))</f>
        <v/>
      </c>
    </row>
    <row r="78">
      <c r="A78" s="17" t="n"/>
      <c r="B78" s="16" t="n"/>
      <c r="C78" s="16" t="n"/>
      <c r="D78" s="19" t="n"/>
      <c r="E78" s="19" t="n"/>
      <c r="F78" s="20" t="n"/>
      <c r="G78" s="21">
        <f>IF(A78="","",(E78-D78)*24-(F78/60))</f>
        <v/>
      </c>
      <c r="H78" s="22">
        <f>IF(A78="","",G78*VLOOKUP(B78,Projekte!A:F,6,FALSE))</f>
        <v/>
      </c>
    </row>
    <row r="79">
      <c r="A79" s="17" t="n"/>
      <c r="B79" s="16" t="n"/>
      <c r="C79" s="16" t="n"/>
      <c r="D79" s="19" t="n"/>
      <c r="E79" s="19" t="n"/>
      <c r="F79" s="20" t="n"/>
      <c r="G79" s="21">
        <f>IF(A79="","",(E79-D79)*24-(F79/60))</f>
        <v/>
      </c>
      <c r="H79" s="22">
        <f>IF(A79="","",G79*VLOOKUP(B79,Projekte!A:F,6,FALSE))</f>
        <v/>
      </c>
    </row>
    <row r="80">
      <c r="A80" s="17" t="n"/>
      <c r="B80" s="16" t="n"/>
      <c r="C80" s="16" t="n"/>
      <c r="D80" s="19" t="n"/>
      <c r="E80" s="19" t="n"/>
      <c r="F80" s="20" t="n"/>
      <c r="G80" s="21">
        <f>IF(A80="","",(E80-D80)*24-(F80/60))</f>
        <v/>
      </c>
      <c r="H80" s="22">
        <f>IF(A80="","",G80*VLOOKUP(B80,Projekte!A:F,6,FALSE))</f>
        <v/>
      </c>
    </row>
    <row r="81">
      <c r="A81" s="17" t="n"/>
      <c r="B81" s="16" t="n"/>
      <c r="C81" s="16" t="n"/>
      <c r="D81" s="19" t="n"/>
      <c r="E81" s="19" t="n"/>
      <c r="F81" s="20" t="n"/>
      <c r="G81" s="21">
        <f>IF(A81="","",(E81-D81)*24-(F81/60))</f>
        <v/>
      </c>
      <c r="H81" s="22">
        <f>IF(A81="","",G81*VLOOKUP(B81,Projekte!A:F,6,FALSE))</f>
        <v/>
      </c>
    </row>
    <row r="82">
      <c r="A82" s="17" t="n"/>
      <c r="B82" s="16" t="n"/>
      <c r="C82" s="16" t="n"/>
      <c r="D82" s="19" t="n"/>
      <c r="E82" s="19" t="n"/>
      <c r="F82" s="20" t="n"/>
      <c r="G82" s="21">
        <f>IF(A82="","",(E82-D82)*24-(F82/60))</f>
        <v/>
      </c>
      <c r="H82" s="22">
        <f>IF(A82="","",G82*VLOOKUP(B82,Projekte!A:F,6,FALSE))</f>
        <v/>
      </c>
    </row>
    <row r="83">
      <c r="A83" s="17" t="n"/>
      <c r="B83" s="16" t="n"/>
      <c r="C83" s="16" t="n"/>
      <c r="D83" s="19" t="n"/>
      <c r="E83" s="19" t="n"/>
      <c r="F83" s="20" t="n"/>
      <c r="G83" s="21">
        <f>IF(A83="","",(E83-D83)*24-(F83/60))</f>
        <v/>
      </c>
      <c r="H83" s="22">
        <f>IF(A83="","",G83*VLOOKUP(B83,Projekte!A:F,6,FALSE))</f>
        <v/>
      </c>
    </row>
    <row r="84">
      <c r="A84" s="17" t="n"/>
      <c r="B84" s="16" t="n"/>
      <c r="C84" s="16" t="n"/>
      <c r="D84" s="19" t="n"/>
      <c r="E84" s="19" t="n"/>
      <c r="F84" s="20" t="n"/>
      <c r="G84" s="21">
        <f>IF(A84="","",(E84-D84)*24-(F84/60))</f>
        <v/>
      </c>
      <c r="H84" s="22">
        <f>IF(A84="","",G84*VLOOKUP(B84,Projekte!A:F,6,FALSE))</f>
        <v/>
      </c>
    </row>
    <row r="85">
      <c r="A85" s="17" t="n"/>
      <c r="B85" s="16" t="n"/>
      <c r="C85" s="16" t="n"/>
      <c r="D85" s="19" t="n"/>
      <c r="E85" s="19" t="n"/>
      <c r="F85" s="20" t="n"/>
      <c r="G85" s="21">
        <f>IF(A85="","",(E85-D85)*24-(F85/60))</f>
        <v/>
      </c>
      <c r="H85" s="22">
        <f>IF(A85="","",G85*VLOOKUP(B85,Projekte!A:F,6,FALSE))</f>
        <v/>
      </c>
    </row>
    <row r="86">
      <c r="A86" s="17" t="n"/>
      <c r="B86" s="16" t="n"/>
      <c r="C86" s="16" t="n"/>
      <c r="D86" s="19" t="n"/>
      <c r="E86" s="19" t="n"/>
      <c r="F86" s="20" t="n"/>
      <c r="G86" s="21">
        <f>IF(A86="","",(E86-D86)*24-(F86/60))</f>
        <v/>
      </c>
      <c r="H86" s="22">
        <f>IF(A86="","",G86*VLOOKUP(B86,Projekte!A:F,6,FALSE))</f>
        <v/>
      </c>
    </row>
    <row r="87">
      <c r="A87" s="17" t="n"/>
      <c r="B87" s="16" t="n"/>
      <c r="C87" s="16" t="n"/>
      <c r="D87" s="19" t="n"/>
      <c r="E87" s="19" t="n"/>
      <c r="F87" s="20" t="n"/>
      <c r="G87" s="21">
        <f>IF(A87="","",(E87-D87)*24-(F87/60))</f>
        <v/>
      </c>
      <c r="H87" s="22">
        <f>IF(A87="","",G87*VLOOKUP(B87,Projekte!A:F,6,FALSE))</f>
        <v/>
      </c>
    </row>
    <row r="88">
      <c r="A88" s="17" t="n"/>
      <c r="B88" s="16" t="n"/>
      <c r="C88" s="16" t="n"/>
      <c r="D88" s="19" t="n"/>
      <c r="E88" s="19" t="n"/>
      <c r="F88" s="20" t="n"/>
      <c r="G88" s="21">
        <f>IF(A88="","",(E88-D88)*24-(F88/60))</f>
        <v/>
      </c>
      <c r="H88" s="22">
        <f>IF(A88="","",G88*VLOOKUP(B88,Projekte!A:F,6,FALSE))</f>
        <v/>
      </c>
    </row>
    <row r="89">
      <c r="A89" s="17" t="n"/>
      <c r="B89" s="16" t="n"/>
      <c r="C89" s="16" t="n"/>
      <c r="D89" s="19" t="n"/>
      <c r="E89" s="19" t="n"/>
      <c r="F89" s="20" t="n"/>
      <c r="G89" s="21">
        <f>IF(A89="","",(E89-D89)*24-(F89/60))</f>
        <v/>
      </c>
      <c r="H89" s="22">
        <f>IF(A89="","",G89*VLOOKUP(B89,Projekte!A:F,6,FALSE))</f>
        <v/>
      </c>
    </row>
    <row r="90">
      <c r="A90" s="17" t="n"/>
      <c r="B90" s="16" t="n"/>
      <c r="C90" s="16" t="n"/>
      <c r="D90" s="19" t="n"/>
      <c r="E90" s="19" t="n"/>
      <c r="F90" s="20" t="n"/>
      <c r="G90" s="21">
        <f>IF(A90="","",(E90-D90)*24-(F90/60))</f>
        <v/>
      </c>
      <c r="H90" s="22">
        <f>IF(A90="","",G90*VLOOKUP(B90,Projekte!A:F,6,FALSE))</f>
        <v/>
      </c>
    </row>
    <row r="91">
      <c r="A91" s="17" t="n"/>
      <c r="B91" s="16" t="n"/>
      <c r="C91" s="16" t="n"/>
      <c r="D91" s="19" t="n"/>
      <c r="E91" s="19" t="n"/>
      <c r="F91" s="20" t="n"/>
      <c r="G91" s="21">
        <f>IF(A91="","",(E91-D91)*24-(F91/60))</f>
        <v/>
      </c>
      <c r="H91" s="22">
        <f>IF(A91="","",G91*VLOOKUP(B91,Projekte!A:F,6,FALSE))</f>
        <v/>
      </c>
    </row>
    <row r="92">
      <c r="A92" s="17" t="n"/>
      <c r="B92" s="16" t="n"/>
      <c r="C92" s="16" t="n"/>
      <c r="D92" s="19" t="n"/>
      <c r="E92" s="19" t="n"/>
      <c r="F92" s="20" t="n"/>
      <c r="G92" s="21">
        <f>IF(A92="","",(E92-D92)*24-(F92/60))</f>
        <v/>
      </c>
      <c r="H92" s="22">
        <f>IF(A92="","",G92*VLOOKUP(B92,Projekte!A:F,6,FALSE))</f>
        <v/>
      </c>
    </row>
    <row r="93">
      <c r="A93" s="17" t="n"/>
      <c r="B93" s="16" t="n"/>
      <c r="C93" s="16" t="n"/>
      <c r="D93" s="19" t="n"/>
      <c r="E93" s="19" t="n"/>
      <c r="F93" s="20" t="n"/>
      <c r="G93" s="21">
        <f>IF(A93="","",(E93-D93)*24-(F93/60))</f>
        <v/>
      </c>
      <c r="H93" s="22">
        <f>IF(A93="","",G93*VLOOKUP(B93,Projekte!A:F,6,FALSE))</f>
        <v/>
      </c>
    </row>
    <row r="94">
      <c r="A94" s="17" t="n"/>
      <c r="B94" s="16" t="n"/>
      <c r="C94" s="16" t="n"/>
      <c r="D94" s="19" t="n"/>
      <c r="E94" s="19" t="n"/>
      <c r="F94" s="20" t="n"/>
      <c r="G94" s="21">
        <f>IF(A94="","",(E94-D94)*24-(F94/60))</f>
        <v/>
      </c>
      <c r="H94" s="22">
        <f>IF(A94="","",G94*VLOOKUP(B94,Projekte!A:F,6,FALSE))</f>
        <v/>
      </c>
    </row>
    <row r="95">
      <c r="A95" s="17" t="n"/>
      <c r="B95" s="16" t="n"/>
      <c r="C95" s="16" t="n"/>
      <c r="D95" s="19" t="n"/>
      <c r="E95" s="19" t="n"/>
      <c r="F95" s="20" t="n"/>
      <c r="G95" s="21">
        <f>IF(A95="","",(E95-D95)*24-(F95/60))</f>
        <v/>
      </c>
      <c r="H95" s="22">
        <f>IF(A95="","",G95*VLOOKUP(B95,Projekte!A:F,6,FALSE))</f>
        <v/>
      </c>
    </row>
    <row r="96">
      <c r="A96" s="17" t="n"/>
      <c r="B96" s="16" t="n"/>
      <c r="C96" s="16" t="n"/>
      <c r="D96" s="19" t="n"/>
      <c r="E96" s="19" t="n"/>
      <c r="F96" s="20" t="n"/>
      <c r="G96" s="21">
        <f>IF(A96="","",(E96-D96)*24-(F96/60))</f>
        <v/>
      </c>
      <c r="H96" s="22">
        <f>IF(A96="","",G96*VLOOKUP(B96,Projekte!A:F,6,FALSE))</f>
        <v/>
      </c>
    </row>
    <row r="97">
      <c r="A97" s="17" t="n"/>
      <c r="B97" s="16" t="n"/>
      <c r="C97" s="16" t="n"/>
      <c r="D97" s="19" t="n"/>
      <c r="E97" s="19" t="n"/>
      <c r="F97" s="20" t="n"/>
      <c r="G97" s="21">
        <f>IF(A97="","",(E97-D97)*24-(F97/60))</f>
        <v/>
      </c>
      <c r="H97" s="22">
        <f>IF(A97="","",G97*VLOOKUP(B97,Projekte!A:F,6,FALSE))</f>
        <v/>
      </c>
    </row>
    <row r="98">
      <c r="A98" s="17" t="n"/>
      <c r="B98" s="16" t="n"/>
      <c r="C98" s="16" t="n"/>
      <c r="D98" s="19" t="n"/>
      <c r="E98" s="19" t="n"/>
      <c r="F98" s="20" t="n"/>
      <c r="G98" s="21">
        <f>IF(A98="","",(E98-D98)*24-(F98/60))</f>
        <v/>
      </c>
      <c r="H98" s="22">
        <f>IF(A98="","",G98*VLOOKUP(B98,Projekte!A:F,6,FALSE))</f>
        <v/>
      </c>
    </row>
    <row r="99">
      <c r="A99" s="17" t="n"/>
      <c r="B99" s="16" t="n"/>
      <c r="C99" s="16" t="n"/>
      <c r="D99" s="19" t="n"/>
      <c r="E99" s="19" t="n"/>
      <c r="F99" s="20" t="n"/>
      <c r="G99" s="21">
        <f>IF(A99="","",(E99-D99)*24-(F99/60))</f>
        <v/>
      </c>
      <c r="H99" s="22">
        <f>IF(A99="","",G99*VLOOKUP(B99,Projekte!A:F,6,FALSE))</f>
        <v/>
      </c>
    </row>
    <row r="100">
      <c r="A100" s="17" t="n"/>
      <c r="B100" s="16" t="n"/>
      <c r="C100" s="16" t="n"/>
      <c r="D100" s="19" t="n"/>
      <c r="E100" s="19" t="n"/>
      <c r="F100" s="20" t="n"/>
      <c r="G100" s="21">
        <f>IF(A100="","",(E100-D100)*24-(F100/60))</f>
        <v/>
      </c>
      <c r="H100" s="22">
        <f>IF(A100="","",G100*VLOOKUP(B100,Projekte!A:F,6,FALSE))</f>
        <v/>
      </c>
    </row>
    <row r="101">
      <c r="A101" s="17" t="n"/>
      <c r="B101" s="16" t="n"/>
      <c r="C101" s="16" t="n"/>
      <c r="D101" s="19" t="n"/>
      <c r="E101" s="19" t="n"/>
      <c r="F101" s="20" t="n"/>
      <c r="G101" s="21">
        <f>IF(A101="","",(E101-D101)*24-(F101/60))</f>
        <v/>
      </c>
      <c r="H101" s="22">
        <f>IF(A101="","",G101*VLOOKUP(B101,Projekte!A:F,6,FALSE))</f>
        <v/>
      </c>
    </row>
    <row r="102">
      <c r="A102" s="17" t="n"/>
      <c r="B102" s="16" t="n"/>
      <c r="C102" s="16" t="n"/>
      <c r="D102" s="19" t="n"/>
      <c r="E102" s="19" t="n"/>
      <c r="F102" s="20" t="n"/>
      <c r="G102" s="21">
        <f>IF(A102="","",(E102-D102)*24-(F102/60))</f>
        <v/>
      </c>
      <c r="H102" s="22">
        <f>IF(A102="","",G102*VLOOKUP(B102,Projekte!A:F,6,FALSE))</f>
        <v/>
      </c>
    </row>
    <row r="103">
      <c r="A103" s="17" t="n"/>
      <c r="B103" s="16" t="n"/>
      <c r="C103" s="16" t="n"/>
      <c r="D103" s="19" t="n"/>
      <c r="E103" s="19" t="n"/>
      <c r="F103" s="20" t="n"/>
      <c r="G103" s="21">
        <f>IF(A103="","",(E103-D103)*24-(F103/60))</f>
        <v/>
      </c>
      <c r="H103" s="22">
        <f>IF(A103="","",G103*VLOOKUP(B103,Projekte!A:F,6,FALSE))</f>
        <v/>
      </c>
    </row>
    <row r="104">
      <c r="A104" s="17" t="n"/>
      <c r="B104" s="16" t="n"/>
      <c r="C104" s="16" t="n"/>
      <c r="D104" s="19" t="n"/>
      <c r="E104" s="19" t="n"/>
      <c r="F104" s="20" t="n"/>
      <c r="G104" s="21">
        <f>IF(A104="","",(E104-D104)*24-(F104/60))</f>
        <v/>
      </c>
      <c r="H104" s="22">
        <f>IF(A104="","",G104*VLOOKUP(B104,Projekte!A:F,6,FALSE))</f>
        <v/>
      </c>
    </row>
    <row r="105">
      <c r="A105" s="17" t="n"/>
      <c r="B105" s="16" t="n"/>
      <c r="C105" s="16" t="n"/>
      <c r="D105" s="19" t="n"/>
      <c r="E105" s="19" t="n"/>
      <c r="F105" s="20" t="n"/>
      <c r="G105" s="21">
        <f>IF(A105="","",(E105-D105)*24-(F105/60))</f>
        <v/>
      </c>
      <c r="H105" s="22">
        <f>IF(A105="","",G105*VLOOKUP(B105,Projekte!A:F,6,FALSE))</f>
        <v/>
      </c>
    </row>
    <row r="106">
      <c r="A106" s="17" t="n"/>
      <c r="B106" s="16" t="n"/>
      <c r="C106" s="16" t="n"/>
      <c r="D106" s="19" t="n"/>
      <c r="E106" s="19" t="n"/>
      <c r="F106" s="20" t="n"/>
      <c r="G106" s="21">
        <f>IF(A106="","",(E106-D106)*24-(F106/60))</f>
        <v/>
      </c>
      <c r="H106" s="22">
        <f>IF(A106="","",G106*VLOOKUP(B106,Projekte!A:F,6,FALSE))</f>
        <v/>
      </c>
    </row>
    <row r="107">
      <c r="A107" s="17" t="n"/>
      <c r="B107" s="16" t="n"/>
      <c r="C107" s="16" t="n"/>
      <c r="D107" s="19" t="n"/>
      <c r="E107" s="19" t="n"/>
      <c r="F107" s="20" t="n"/>
      <c r="G107" s="21">
        <f>IF(A107="","",(E107-D107)*24-(F107/60))</f>
        <v/>
      </c>
      <c r="H107" s="22">
        <f>IF(A107="","",G107*VLOOKUP(B107,Projekte!A:F,6,FALSE))</f>
        <v/>
      </c>
    </row>
    <row r="108">
      <c r="A108" s="17" t="n"/>
      <c r="B108" s="16" t="n"/>
      <c r="C108" s="16" t="n"/>
      <c r="D108" s="19" t="n"/>
      <c r="E108" s="19" t="n"/>
      <c r="F108" s="20" t="n"/>
      <c r="G108" s="21">
        <f>IF(A108="","",(E108-D108)*24-(F108/60))</f>
        <v/>
      </c>
      <c r="H108" s="22">
        <f>IF(A108="","",G108*VLOOKUP(B108,Projekte!A:F,6,FALSE))</f>
        <v/>
      </c>
    </row>
    <row r="109">
      <c r="A109" s="17" t="n"/>
      <c r="B109" s="16" t="n"/>
      <c r="C109" s="16" t="n"/>
      <c r="D109" s="19" t="n"/>
      <c r="E109" s="19" t="n"/>
      <c r="F109" s="20" t="n"/>
      <c r="G109" s="21">
        <f>IF(A109="","",(E109-D109)*24-(F109/60))</f>
        <v/>
      </c>
      <c r="H109" s="22">
        <f>IF(A109="","",G109*VLOOKUP(B109,Projekte!A:F,6,FALSE))</f>
        <v/>
      </c>
    </row>
    <row r="110">
      <c r="A110" s="17" t="n"/>
      <c r="B110" s="16" t="n"/>
      <c r="C110" s="16" t="n"/>
      <c r="D110" s="19" t="n"/>
      <c r="E110" s="19" t="n"/>
      <c r="F110" s="20" t="n"/>
      <c r="G110" s="21">
        <f>IF(A110="","",(E110-D110)*24-(F110/60))</f>
        <v/>
      </c>
      <c r="H110" s="22">
        <f>IF(A110="","",G110*VLOOKUP(B110,Projekte!A:F,6,FALSE))</f>
        <v/>
      </c>
    </row>
    <row r="111">
      <c r="A111" s="17" t="n"/>
      <c r="B111" s="16" t="n"/>
      <c r="C111" s="16" t="n"/>
      <c r="D111" s="19" t="n"/>
      <c r="E111" s="19" t="n"/>
      <c r="F111" s="20" t="n"/>
      <c r="G111" s="21">
        <f>IF(A111="","",(E111-D111)*24-(F111/60))</f>
        <v/>
      </c>
      <c r="H111" s="22">
        <f>IF(A111="","",G111*VLOOKUP(B111,Projekte!A:F,6,FALSE))</f>
        <v/>
      </c>
    </row>
    <row r="112">
      <c r="A112" s="17" t="n"/>
      <c r="B112" s="16" t="n"/>
      <c r="C112" s="16" t="n"/>
      <c r="D112" s="19" t="n"/>
      <c r="E112" s="19" t="n"/>
      <c r="F112" s="20" t="n"/>
      <c r="G112" s="21">
        <f>IF(A112="","",(E112-D112)*24-(F112/60))</f>
        <v/>
      </c>
      <c r="H112" s="22">
        <f>IF(A112="","",G112*VLOOKUP(B112,Projekte!A:F,6,FALSE))</f>
        <v/>
      </c>
    </row>
    <row r="113">
      <c r="A113" s="17" t="n"/>
      <c r="B113" s="16" t="n"/>
      <c r="C113" s="16" t="n"/>
      <c r="D113" s="19" t="n"/>
      <c r="E113" s="19" t="n"/>
      <c r="F113" s="20" t="n"/>
      <c r="G113" s="21">
        <f>IF(A113="","",(E113-D113)*24-(F113/60))</f>
        <v/>
      </c>
      <c r="H113" s="22">
        <f>IF(A113="","",G113*VLOOKUP(B113,Projekte!A:F,6,FALSE))</f>
        <v/>
      </c>
    </row>
    <row r="114">
      <c r="A114" s="17" t="n"/>
      <c r="B114" s="16" t="n"/>
      <c r="C114" s="16" t="n"/>
      <c r="D114" s="19" t="n"/>
      <c r="E114" s="19" t="n"/>
      <c r="F114" s="20" t="n"/>
      <c r="G114" s="21">
        <f>IF(A114="","",(E114-D114)*24-(F114/60))</f>
        <v/>
      </c>
      <c r="H114" s="22">
        <f>IF(A114="","",G114*VLOOKUP(B114,Projekte!A:F,6,FALSE))</f>
        <v/>
      </c>
    </row>
    <row r="115">
      <c r="A115" s="17" t="n"/>
      <c r="B115" s="16" t="n"/>
      <c r="C115" s="16" t="n"/>
      <c r="D115" s="19" t="n"/>
      <c r="E115" s="19" t="n"/>
      <c r="F115" s="20" t="n"/>
      <c r="G115" s="21">
        <f>IF(A115="","",(E115-D115)*24-(F115/60))</f>
        <v/>
      </c>
      <c r="H115" s="22">
        <f>IF(A115="","",G115*VLOOKUP(B115,Projekte!A:F,6,FALSE))</f>
        <v/>
      </c>
    </row>
    <row r="116">
      <c r="A116" s="17" t="n"/>
      <c r="B116" s="16" t="n"/>
      <c r="C116" s="16" t="n"/>
      <c r="D116" s="19" t="n"/>
      <c r="E116" s="19" t="n"/>
      <c r="F116" s="20" t="n"/>
      <c r="G116" s="21">
        <f>IF(A116="","",(E116-D116)*24-(F116/60))</f>
        <v/>
      </c>
      <c r="H116" s="22">
        <f>IF(A116="","",G116*VLOOKUP(B116,Projekte!A:F,6,FALSE))</f>
        <v/>
      </c>
    </row>
    <row r="117">
      <c r="A117" s="17" t="n"/>
      <c r="B117" s="16" t="n"/>
      <c r="C117" s="16" t="n"/>
      <c r="D117" s="19" t="n"/>
      <c r="E117" s="19" t="n"/>
      <c r="F117" s="20" t="n"/>
      <c r="G117" s="21">
        <f>IF(A117="","",(E117-D117)*24-(F117/60))</f>
        <v/>
      </c>
      <c r="H117" s="22">
        <f>IF(A117="","",G117*VLOOKUP(B117,Projekte!A:F,6,FALSE))</f>
        <v/>
      </c>
    </row>
    <row r="118">
      <c r="A118" s="17" t="n"/>
      <c r="B118" s="16" t="n"/>
      <c r="C118" s="16" t="n"/>
      <c r="D118" s="19" t="n"/>
      <c r="E118" s="19" t="n"/>
      <c r="F118" s="20" t="n"/>
      <c r="G118" s="21">
        <f>IF(A118="","",(E118-D118)*24-(F118/60))</f>
        <v/>
      </c>
      <c r="H118" s="22">
        <f>IF(A118="","",G118*VLOOKUP(B118,Projekte!A:F,6,FALSE))</f>
        <v/>
      </c>
    </row>
    <row r="119">
      <c r="A119" s="17" t="n"/>
      <c r="B119" s="16" t="n"/>
      <c r="C119" s="16" t="n"/>
      <c r="D119" s="19" t="n"/>
      <c r="E119" s="19" t="n"/>
      <c r="F119" s="20" t="n"/>
      <c r="G119" s="21">
        <f>IF(A119="","",(E119-D119)*24-(F119/60))</f>
        <v/>
      </c>
      <c r="H119" s="22">
        <f>IF(A119="","",G119*VLOOKUP(B119,Projekte!A:F,6,FALSE))</f>
        <v/>
      </c>
    </row>
    <row r="120">
      <c r="A120" s="17" t="n"/>
      <c r="B120" s="16" t="n"/>
      <c r="C120" s="16" t="n"/>
      <c r="D120" s="19" t="n"/>
      <c r="E120" s="19" t="n"/>
      <c r="F120" s="20" t="n"/>
      <c r="G120" s="21">
        <f>IF(A120="","",(E120-D120)*24-(F120/60))</f>
        <v/>
      </c>
      <c r="H120" s="22">
        <f>IF(A120="","",G120*VLOOKUP(B120,Projekte!A:F,6,FALSE))</f>
        <v/>
      </c>
    </row>
    <row r="121">
      <c r="A121" s="17" t="n"/>
      <c r="B121" s="16" t="n"/>
      <c r="C121" s="16" t="n"/>
      <c r="D121" s="19" t="n"/>
      <c r="E121" s="19" t="n"/>
      <c r="F121" s="20" t="n"/>
      <c r="G121" s="21">
        <f>IF(A121="","",(E121-D121)*24-(F121/60))</f>
        <v/>
      </c>
      <c r="H121" s="22">
        <f>IF(A121="","",G121*VLOOKUP(B121,Projekte!A:F,6,FALSE))</f>
        <v/>
      </c>
    </row>
    <row r="122">
      <c r="A122" s="17" t="n"/>
      <c r="B122" s="16" t="n"/>
      <c r="C122" s="16" t="n"/>
      <c r="D122" s="19" t="n"/>
      <c r="E122" s="19" t="n"/>
      <c r="F122" s="20" t="n"/>
      <c r="G122" s="21">
        <f>IF(A122="","",(E122-D122)*24-(F122/60))</f>
        <v/>
      </c>
      <c r="H122" s="22">
        <f>IF(A122="","",G122*VLOOKUP(B122,Projekte!A:F,6,FALSE))</f>
        <v/>
      </c>
    </row>
    <row r="123">
      <c r="A123" s="17" t="n"/>
      <c r="B123" s="16" t="n"/>
      <c r="C123" s="16" t="n"/>
      <c r="D123" s="19" t="n"/>
      <c r="E123" s="19" t="n"/>
      <c r="F123" s="20" t="n"/>
      <c r="G123" s="21">
        <f>IF(A123="","",(E123-D123)*24-(F123/60))</f>
        <v/>
      </c>
      <c r="H123" s="22">
        <f>IF(A123="","",G123*VLOOKUP(B123,Projekte!A:F,6,FALSE))</f>
        <v/>
      </c>
    </row>
    <row r="124">
      <c r="A124" s="17" t="n"/>
      <c r="B124" s="16" t="n"/>
      <c r="C124" s="16" t="n"/>
      <c r="D124" s="19" t="n"/>
      <c r="E124" s="19" t="n"/>
      <c r="F124" s="20" t="n"/>
      <c r="G124" s="21">
        <f>IF(A124="","",(E124-D124)*24-(F124/60))</f>
        <v/>
      </c>
      <c r="H124" s="22">
        <f>IF(A124="","",G124*VLOOKUP(B124,Projekte!A:F,6,FALSE))</f>
        <v/>
      </c>
    </row>
    <row r="125">
      <c r="A125" s="17" t="n"/>
      <c r="B125" s="16" t="n"/>
      <c r="C125" s="16" t="n"/>
      <c r="D125" s="19" t="n"/>
      <c r="E125" s="19" t="n"/>
      <c r="F125" s="20" t="n"/>
      <c r="G125" s="21">
        <f>IF(A125="","",(E125-D125)*24-(F125/60))</f>
        <v/>
      </c>
      <c r="H125" s="22">
        <f>IF(A125="","",G125*VLOOKUP(B125,Projekte!A:F,6,FALSE))</f>
        <v/>
      </c>
    </row>
    <row r="126">
      <c r="A126" s="17" t="n"/>
      <c r="B126" s="16" t="n"/>
      <c r="C126" s="16" t="n"/>
      <c r="D126" s="19" t="n"/>
      <c r="E126" s="19" t="n"/>
      <c r="F126" s="20" t="n"/>
      <c r="G126" s="21">
        <f>IF(A126="","",(E126-D126)*24-(F126/60))</f>
        <v/>
      </c>
      <c r="H126" s="22">
        <f>IF(A126="","",G126*VLOOKUP(B126,Projekte!A:F,6,FALSE))</f>
        <v/>
      </c>
    </row>
    <row r="127">
      <c r="A127" s="17" t="n"/>
      <c r="B127" s="16" t="n"/>
      <c r="C127" s="16" t="n"/>
      <c r="D127" s="19" t="n"/>
      <c r="E127" s="19" t="n"/>
      <c r="F127" s="20" t="n"/>
      <c r="G127" s="21">
        <f>IF(A127="","",(E127-D127)*24-(F127/60))</f>
        <v/>
      </c>
      <c r="H127" s="22">
        <f>IF(A127="","",G127*VLOOKUP(B127,Projekte!A:F,6,FALSE))</f>
        <v/>
      </c>
    </row>
    <row r="128">
      <c r="A128" s="17" t="n"/>
      <c r="B128" s="16" t="n"/>
      <c r="C128" s="16" t="n"/>
      <c r="D128" s="19" t="n"/>
      <c r="E128" s="19" t="n"/>
      <c r="F128" s="20" t="n"/>
      <c r="G128" s="21">
        <f>IF(A128="","",(E128-D128)*24-(F128/60))</f>
        <v/>
      </c>
      <c r="H128" s="22">
        <f>IF(A128="","",G128*VLOOKUP(B128,Projekte!A:F,6,FALSE))</f>
        <v/>
      </c>
    </row>
    <row r="129">
      <c r="A129" s="17" t="n"/>
      <c r="B129" s="16" t="n"/>
      <c r="C129" s="16" t="n"/>
      <c r="D129" s="19" t="n"/>
      <c r="E129" s="19" t="n"/>
      <c r="F129" s="20" t="n"/>
      <c r="G129" s="21">
        <f>IF(A129="","",(E129-D129)*24-(F129/60))</f>
        <v/>
      </c>
      <c r="H129" s="22">
        <f>IF(A129="","",G129*VLOOKUP(B129,Projekte!A:F,6,FALSE))</f>
        <v/>
      </c>
    </row>
    <row r="130">
      <c r="A130" s="17" t="n"/>
      <c r="B130" s="16" t="n"/>
      <c r="C130" s="16" t="n"/>
      <c r="D130" s="19" t="n"/>
      <c r="E130" s="19" t="n"/>
      <c r="F130" s="20" t="n"/>
      <c r="G130" s="21">
        <f>IF(A130="","",(E130-D130)*24-(F130/60))</f>
        <v/>
      </c>
      <c r="H130" s="22">
        <f>IF(A130="","",G130*VLOOKUP(B130,Projekte!A:F,6,FALSE))</f>
        <v/>
      </c>
    </row>
    <row r="131">
      <c r="A131" s="17" t="n"/>
      <c r="B131" s="16" t="n"/>
      <c r="C131" s="16" t="n"/>
      <c r="D131" s="19" t="n"/>
      <c r="E131" s="19" t="n"/>
      <c r="F131" s="20" t="n"/>
      <c r="G131" s="21">
        <f>IF(A131="","",(E131-D131)*24-(F131/60))</f>
        <v/>
      </c>
      <c r="H131" s="22">
        <f>IF(A131="","",G131*VLOOKUP(B131,Projekte!A:F,6,FALSE))</f>
        <v/>
      </c>
    </row>
    <row r="132">
      <c r="A132" s="17" t="n"/>
      <c r="B132" s="16" t="n"/>
      <c r="C132" s="16" t="n"/>
      <c r="D132" s="19" t="n"/>
      <c r="E132" s="19" t="n"/>
      <c r="F132" s="20" t="n"/>
      <c r="G132" s="21">
        <f>IF(A132="","",(E132-D132)*24-(F132/60))</f>
        <v/>
      </c>
      <c r="H132" s="22">
        <f>IF(A132="","",G132*VLOOKUP(B132,Projekte!A:F,6,FALSE))</f>
        <v/>
      </c>
    </row>
    <row r="133">
      <c r="A133" s="17" t="n"/>
      <c r="B133" s="16" t="n"/>
      <c r="C133" s="16" t="n"/>
      <c r="D133" s="19" t="n"/>
      <c r="E133" s="19" t="n"/>
      <c r="F133" s="20" t="n"/>
      <c r="G133" s="21">
        <f>IF(A133="","",(E133-D133)*24-(F133/60))</f>
        <v/>
      </c>
      <c r="H133" s="22">
        <f>IF(A133="","",G133*VLOOKUP(B133,Projekte!A:F,6,FALSE))</f>
        <v/>
      </c>
    </row>
    <row r="134">
      <c r="A134" s="17" t="n"/>
      <c r="B134" s="16" t="n"/>
      <c r="C134" s="16" t="n"/>
      <c r="D134" s="19" t="n"/>
      <c r="E134" s="19" t="n"/>
      <c r="F134" s="20" t="n"/>
      <c r="G134" s="21">
        <f>IF(A134="","",(E134-D134)*24-(F134/60))</f>
        <v/>
      </c>
      <c r="H134" s="22">
        <f>IF(A134="","",G134*VLOOKUP(B134,Projekte!A:F,6,FALSE))</f>
        <v/>
      </c>
    </row>
    <row r="135">
      <c r="A135" s="17" t="n"/>
      <c r="B135" s="16" t="n"/>
      <c r="C135" s="16" t="n"/>
      <c r="D135" s="19" t="n"/>
      <c r="E135" s="19" t="n"/>
      <c r="F135" s="20" t="n"/>
      <c r="G135" s="21">
        <f>IF(A135="","",(E135-D135)*24-(F135/60))</f>
        <v/>
      </c>
      <c r="H135" s="22">
        <f>IF(A135="","",G135*VLOOKUP(B135,Projekte!A:F,6,FALSE))</f>
        <v/>
      </c>
    </row>
    <row r="136">
      <c r="A136" s="17" t="n"/>
      <c r="B136" s="16" t="n"/>
      <c r="C136" s="16" t="n"/>
      <c r="D136" s="19" t="n"/>
      <c r="E136" s="19" t="n"/>
      <c r="F136" s="20" t="n"/>
      <c r="G136" s="21">
        <f>IF(A136="","",(E136-D136)*24-(F136/60))</f>
        <v/>
      </c>
      <c r="H136" s="22">
        <f>IF(A136="","",G136*VLOOKUP(B136,Projekte!A:F,6,FALSE))</f>
        <v/>
      </c>
    </row>
    <row r="137">
      <c r="A137" s="17" t="n"/>
      <c r="B137" s="16" t="n"/>
      <c r="C137" s="16" t="n"/>
      <c r="D137" s="19" t="n"/>
      <c r="E137" s="19" t="n"/>
      <c r="F137" s="20" t="n"/>
      <c r="G137" s="21">
        <f>IF(A137="","",(E137-D137)*24-(F137/60))</f>
        <v/>
      </c>
      <c r="H137" s="22">
        <f>IF(A137="","",G137*VLOOKUP(B137,Projekte!A:F,6,FALSE))</f>
        <v/>
      </c>
    </row>
    <row r="138">
      <c r="A138" s="17" t="n"/>
      <c r="B138" s="16" t="n"/>
      <c r="C138" s="16" t="n"/>
      <c r="D138" s="19" t="n"/>
      <c r="E138" s="19" t="n"/>
      <c r="F138" s="20" t="n"/>
      <c r="G138" s="21">
        <f>IF(A138="","",(E138-D138)*24-(F138/60))</f>
        <v/>
      </c>
      <c r="H138" s="22">
        <f>IF(A138="","",G138*VLOOKUP(B138,Projekte!A:F,6,FALSE))</f>
        <v/>
      </c>
    </row>
    <row r="139">
      <c r="A139" s="17" t="n"/>
      <c r="B139" s="16" t="n"/>
      <c r="C139" s="16" t="n"/>
      <c r="D139" s="19" t="n"/>
      <c r="E139" s="19" t="n"/>
      <c r="F139" s="20" t="n"/>
      <c r="G139" s="21">
        <f>IF(A139="","",(E139-D139)*24-(F139/60))</f>
        <v/>
      </c>
      <c r="H139" s="22">
        <f>IF(A139="","",G139*VLOOKUP(B139,Projekte!A:F,6,FALSE))</f>
        <v/>
      </c>
    </row>
    <row r="140">
      <c r="A140" s="17" t="n"/>
      <c r="B140" s="16" t="n"/>
      <c r="C140" s="16" t="n"/>
      <c r="D140" s="19" t="n"/>
      <c r="E140" s="19" t="n"/>
      <c r="F140" s="20" t="n"/>
      <c r="G140" s="21">
        <f>IF(A140="","",(E140-D140)*24-(F140/60))</f>
        <v/>
      </c>
      <c r="H140" s="22">
        <f>IF(A140="","",G140*VLOOKUP(B140,Projekte!A:F,6,FALSE))</f>
        <v/>
      </c>
    </row>
    <row r="141">
      <c r="A141" s="17" t="n"/>
      <c r="B141" s="16" t="n"/>
      <c r="C141" s="16" t="n"/>
      <c r="D141" s="19" t="n"/>
      <c r="E141" s="19" t="n"/>
      <c r="F141" s="20" t="n"/>
      <c r="G141" s="21">
        <f>IF(A141="","",(E141-D141)*24-(F141/60))</f>
        <v/>
      </c>
      <c r="H141" s="22">
        <f>IF(A141="","",G141*VLOOKUP(B141,Projekte!A:F,6,FALSE))</f>
        <v/>
      </c>
    </row>
    <row r="142">
      <c r="A142" s="17" t="n"/>
      <c r="B142" s="16" t="n"/>
      <c r="C142" s="16" t="n"/>
      <c r="D142" s="19" t="n"/>
      <c r="E142" s="19" t="n"/>
      <c r="F142" s="20" t="n"/>
      <c r="G142" s="21">
        <f>IF(A142="","",(E142-D142)*24-(F142/60))</f>
        <v/>
      </c>
      <c r="H142" s="22">
        <f>IF(A142="","",G142*VLOOKUP(B142,Projekte!A:F,6,FALSE))</f>
        <v/>
      </c>
    </row>
    <row r="143">
      <c r="A143" s="17" t="n"/>
      <c r="B143" s="16" t="n"/>
      <c r="C143" s="16" t="n"/>
      <c r="D143" s="19" t="n"/>
      <c r="E143" s="19" t="n"/>
      <c r="F143" s="20" t="n"/>
      <c r="G143" s="21">
        <f>IF(A143="","",(E143-D143)*24-(F143/60))</f>
        <v/>
      </c>
      <c r="H143" s="22">
        <f>IF(A143="","",G143*VLOOKUP(B143,Projekte!A:F,6,FALSE))</f>
        <v/>
      </c>
    </row>
    <row r="144">
      <c r="A144" s="17" t="n"/>
      <c r="B144" s="16" t="n"/>
      <c r="C144" s="16" t="n"/>
      <c r="D144" s="19" t="n"/>
      <c r="E144" s="19" t="n"/>
      <c r="F144" s="20" t="n"/>
      <c r="G144" s="21">
        <f>IF(A144="","",(E144-D144)*24-(F144/60))</f>
        <v/>
      </c>
      <c r="H144" s="22">
        <f>IF(A144="","",G144*VLOOKUP(B144,Projekte!A:F,6,FALSE))</f>
        <v/>
      </c>
    </row>
    <row r="145">
      <c r="A145" s="17" t="n"/>
      <c r="B145" s="16" t="n"/>
      <c r="C145" s="16" t="n"/>
      <c r="D145" s="19" t="n"/>
      <c r="E145" s="19" t="n"/>
      <c r="F145" s="20" t="n"/>
      <c r="G145" s="21">
        <f>IF(A145="","",(E145-D145)*24-(F145/60))</f>
        <v/>
      </c>
      <c r="H145" s="22">
        <f>IF(A145="","",G145*VLOOKUP(B145,Projekte!A:F,6,FALSE))</f>
        <v/>
      </c>
    </row>
    <row r="146">
      <c r="A146" s="17" t="n"/>
      <c r="B146" s="16" t="n"/>
      <c r="C146" s="16" t="n"/>
      <c r="D146" s="19" t="n"/>
      <c r="E146" s="19" t="n"/>
      <c r="F146" s="20" t="n"/>
      <c r="G146" s="21">
        <f>IF(A146="","",(E146-D146)*24-(F146/60))</f>
        <v/>
      </c>
      <c r="H146" s="22">
        <f>IF(A146="","",G146*VLOOKUP(B146,Projekte!A:F,6,FALSE))</f>
        <v/>
      </c>
    </row>
    <row r="147">
      <c r="A147" s="17" t="n"/>
      <c r="B147" s="16" t="n"/>
      <c r="C147" s="16" t="n"/>
      <c r="D147" s="19" t="n"/>
      <c r="E147" s="19" t="n"/>
      <c r="F147" s="20" t="n"/>
      <c r="G147" s="21">
        <f>IF(A147="","",(E147-D147)*24-(F147/60))</f>
        <v/>
      </c>
      <c r="H147" s="22">
        <f>IF(A147="","",G147*VLOOKUP(B147,Projekte!A:F,6,FALSE))</f>
        <v/>
      </c>
    </row>
    <row r="148">
      <c r="A148" s="17" t="n"/>
      <c r="B148" s="16" t="n"/>
      <c r="C148" s="16" t="n"/>
      <c r="D148" s="19" t="n"/>
      <c r="E148" s="19" t="n"/>
      <c r="F148" s="20" t="n"/>
      <c r="G148" s="21">
        <f>IF(A148="","",(E148-D148)*24-(F148/60))</f>
        <v/>
      </c>
      <c r="H148" s="22">
        <f>IF(A148="","",G148*VLOOKUP(B148,Projekte!A:F,6,FALSE))</f>
        <v/>
      </c>
    </row>
    <row r="149">
      <c r="A149" s="17" t="n"/>
      <c r="B149" s="16" t="n"/>
      <c r="C149" s="16" t="n"/>
      <c r="D149" s="19" t="n"/>
      <c r="E149" s="19" t="n"/>
      <c r="F149" s="20" t="n"/>
      <c r="G149" s="21">
        <f>IF(A149="","",(E149-D149)*24-(F149/60))</f>
        <v/>
      </c>
      <c r="H149" s="22">
        <f>IF(A149="","",G149*VLOOKUP(B149,Projekte!A:F,6,FALSE))</f>
        <v/>
      </c>
    </row>
    <row r="150">
      <c r="A150" s="17" t="n"/>
      <c r="B150" s="16" t="n"/>
      <c r="C150" s="16" t="n"/>
      <c r="D150" s="19" t="n"/>
      <c r="E150" s="19" t="n"/>
      <c r="F150" s="20" t="n"/>
      <c r="G150" s="21">
        <f>IF(A150="","",(E150-D150)*24-(F150/60))</f>
        <v/>
      </c>
      <c r="H150" s="22">
        <f>IF(A150="","",G150*VLOOKUP(B150,Projekte!A:F,6,FALSE))</f>
        <v/>
      </c>
    </row>
    <row r="151">
      <c r="A151" s="17" t="n"/>
      <c r="B151" s="16" t="n"/>
      <c r="C151" s="16" t="n"/>
      <c r="D151" s="19" t="n"/>
      <c r="E151" s="19" t="n"/>
      <c r="F151" s="20" t="n"/>
      <c r="G151" s="21">
        <f>IF(A151="","",(E151-D151)*24-(F151/60))</f>
        <v/>
      </c>
      <c r="H151" s="22">
        <f>IF(A151="","",G151*VLOOKUP(B151,Projekte!A:F,6,FALSE))</f>
        <v/>
      </c>
    </row>
    <row r="152">
      <c r="A152" s="17" t="n"/>
      <c r="B152" s="16" t="n"/>
      <c r="C152" s="16" t="n"/>
      <c r="D152" s="19" t="n"/>
      <c r="E152" s="19" t="n"/>
      <c r="F152" s="20" t="n"/>
      <c r="G152" s="21">
        <f>IF(A152="","",(E152-D152)*24-(F152/60))</f>
        <v/>
      </c>
      <c r="H152" s="22">
        <f>IF(A152="","",G152*VLOOKUP(B152,Projekte!A:F,6,FALSE))</f>
        <v/>
      </c>
    </row>
    <row r="153">
      <c r="A153" s="17" t="n"/>
      <c r="B153" s="16" t="n"/>
      <c r="C153" s="16" t="n"/>
      <c r="D153" s="19" t="n"/>
      <c r="E153" s="19" t="n"/>
      <c r="F153" s="20" t="n"/>
      <c r="G153" s="21">
        <f>IF(A153="","",(E153-D153)*24-(F153/60))</f>
        <v/>
      </c>
      <c r="H153" s="22">
        <f>IF(A153="","",G153*VLOOKUP(B153,Projekte!A:F,6,FALSE))</f>
        <v/>
      </c>
    </row>
    <row r="154">
      <c r="A154" s="17" t="n"/>
      <c r="B154" s="16" t="n"/>
      <c r="C154" s="16" t="n"/>
      <c r="D154" s="19" t="n"/>
      <c r="E154" s="19" t="n"/>
      <c r="F154" s="20" t="n"/>
      <c r="G154" s="21">
        <f>IF(A154="","",(E154-D154)*24-(F154/60))</f>
        <v/>
      </c>
      <c r="H154" s="22">
        <f>IF(A154="","",G154*VLOOKUP(B154,Projekte!A:F,6,FALSE))</f>
        <v/>
      </c>
    </row>
    <row r="155">
      <c r="A155" s="17" t="n"/>
      <c r="B155" s="16" t="n"/>
      <c r="C155" s="16" t="n"/>
      <c r="D155" s="19" t="n"/>
      <c r="E155" s="19" t="n"/>
      <c r="F155" s="20" t="n"/>
      <c r="G155" s="21">
        <f>IF(A155="","",(E155-D155)*24-(F155/60))</f>
        <v/>
      </c>
      <c r="H155" s="22">
        <f>IF(A155="","",G155*VLOOKUP(B155,Projekte!A:F,6,FALSE))</f>
        <v/>
      </c>
    </row>
    <row r="156">
      <c r="A156" s="17" t="n"/>
      <c r="B156" s="16" t="n"/>
      <c r="C156" s="16" t="n"/>
      <c r="D156" s="19" t="n"/>
      <c r="E156" s="19" t="n"/>
      <c r="F156" s="20" t="n"/>
      <c r="G156" s="21">
        <f>IF(A156="","",(E156-D156)*24-(F156/60))</f>
        <v/>
      </c>
      <c r="H156" s="22">
        <f>IF(A156="","",G156*VLOOKUP(B156,Projekte!A:F,6,FALSE))</f>
        <v/>
      </c>
    </row>
    <row r="157">
      <c r="A157" s="17" t="n"/>
      <c r="B157" s="16" t="n"/>
      <c r="C157" s="16" t="n"/>
      <c r="D157" s="19" t="n"/>
      <c r="E157" s="19" t="n"/>
      <c r="F157" s="20" t="n"/>
      <c r="G157" s="21">
        <f>IF(A157="","",(E157-D157)*24-(F157/60))</f>
        <v/>
      </c>
      <c r="H157" s="22">
        <f>IF(A157="","",G157*VLOOKUP(B157,Projekte!A:F,6,FALSE))</f>
        <v/>
      </c>
    </row>
    <row r="158">
      <c r="A158" s="17" t="n"/>
      <c r="B158" s="16" t="n"/>
      <c r="C158" s="16" t="n"/>
      <c r="D158" s="19" t="n"/>
      <c r="E158" s="19" t="n"/>
      <c r="F158" s="20" t="n"/>
      <c r="G158" s="21">
        <f>IF(A158="","",(E158-D158)*24-(F158/60))</f>
        <v/>
      </c>
      <c r="H158" s="22">
        <f>IF(A158="","",G158*VLOOKUP(B158,Projekte!A:F,6,FALSE))</f>
        <v/>
      </c>
    </row>
    <row r="159">
      <c r="A159" s="17" t="n"/>
      <c r="B159" s="16" t="n"/>
      <c r="C159" s="16" t="n"/>
      <c r="D159" s="19" t="n"/>
      <c r="E159" s="19" t="n"/>
      <c r="F159" s="20" t="n"/>
      <c r="G159" s="21">
        <f>IF(A159="","",(E159-D159)*24-(F159/60))</f>
        <v/>
      </c>
      <c r="H159" s="22">
        <f>IF(A159="","",G159*VLOOKUP(B159,Projekte!A:F,6,FALSE))</f>
        <v/>
      </c>
    </row>
    <row r="160">
      <c r="A160" s="17" t="n"/>
      <c r="B160" s="16" t="n"/>
      <c r="C160" s="16" t="n"/>
      <c r="D160" s="19" t="n"/>
      <c r="E160" s="19" t="n"/>
      <c r="F160" s="20" t="n"/>
      <c r="G160" s="21">
        <f>IF(A160="","",(E160-D160)*24-(F160/60))</f>
        <v/>
      </c>
      <c r="H160" s="22">
        <f>IF(A160="","",G160*VLOOKUP(B160,Projekte!A:F,6,FALSE))</f>
        <v/>
      </c>
    </row>
    <row r="161">
      <c r="A161" s="17" t="n"/>
      <c r="B161" s="16" t="n"/>
      <c r="C161" s="16" t="n"/>
      <c r="D161" s="19" t="n"/>
      <c r="E161" s="19" t="n"/>
      <c r="F161" s="20" t="n"/>
      <c r="G161" s="21">
        <f>IF(A161="","",(E161-D161)*24-(F161/60))</f>
        <v/>
      </c>
      <c r="H161" s="22">
        <f>IF(A161="","",G161*VLOOKUP(B161,Projekte!A:F,6,FALSE))</f>
        <v/>
      </c>
    </row>
    <row r="162">
      <c r="A162" s="17" t="n"/>
      <c r="B162" s="16" t="n"/>
      <c r="C162" s="16" t="n"/>
      <c r="D162" s="19" t="n"/>
      <c r="E162" s="19" t="n"/>
      <c r="F162" s="20" t="n"/>
      <c r="G162" s="21">
        <f>IF(A162="","",(E162-D162)*24-(F162/60))</f>
        <v/>
      </c>
      <c r="H162" s="22">
        <f>IF(A162="","",G162*VLOOKUP(B162,Projekte!A:F,6,FALSE))</f>
        <v/>
      </c>
    </row>
    <row r="163">
      <c r="A163" s="17" t="n"/>
      <c r="B163" s="16" t="n"/>
      <c r="C163" s="16" t="n"/>
      <c r="D163" s="19" t="n"/>
      <c r="E163" s="19" t="n"/>
      <c r="F163" s="20" t="n"/>
      <c r="G163" s="21">
        <f>IF(A163="","",(E163-D163)*24-(F163/60))</f>
        <v/>
      </c>
      <c r="H163" s="22">
        <f>IF(A163="","",G163*VLOOKUP(B163,Projekte!A:F,6,FALSE))</f>
        <v/>
      </c>
    </row>
    <row r="164">
      <c r="A164" s="17" t="n"/>
      <c r="B164" s="16" t="n"/>
      <c r="C164" s="16" t="n"/>
      <c r="D164" s="19" t="n"/>
      <c r="E164" s="19" t="n"/>
      <c r="F164" s="20" t="n"/>
      <c r="G164" s="21">
        <f>IF(A164="","",(E164-D164)*24-(F164/60))</f>
        <v/>
      </c>
      <c r="H164" s="22">
        <f>IF(A164="","",G164*VLOOKUP(B164,Projekte!A:F,6,FALSE))</f>
        <v/>
      </c>
    </row>
    <row r="165">
      <c r="A165" s="17" t="n"/>
      <c r="B165" s="16" t="n"/>
      <c r="C165" s="16" t="n"/>
      <c r="D165" s="19" t="n"/>
      <c r="E165" s="19" t="n"/>
      <c r="F165" s="20" t="n"/>
      <c r="G165" s="21">
        <f>IF(A165="","",(E165-D165)*24-(F165/60))</f>
        <v/>
      </c>
      <c r="H165" s="22">
        <f>IF(A165="","",G165*VLOOKUP(B165,Projekte!A:F,6,FALSE))</f>
        <v/>
      </c>
    </row>
    <row r="166">
      <c r="A166" s="17" t="n"/>
      <c r="B166" s="16" t="n"/>
      <c r="C166" s="16" t="n"/>
      <c r="D166" s="19" t="n"/>
      <c r="E166" s="19" t="n"/>
      <c r="F166" s="20" t="n"/>
      <c r="G166" s="21">
        <f>IF(A166="","",(E166-D166)*24-(F166/60))</f>
        <v/>
      </c>
      <c r="H166" s="22">
        <f>IF(A166="","",G166*VLOOKUP(B166,Projekte!A:F,6,FALSE))</f>
        <v/>
      </c>
    </row>
    <row r="167">
      <c r="A167" s="17" t="n"/>
      <c r="B167" s="16" t="n"/>
      <c r="C167" s="16" t="n"/>
      <c r="D167" s="19" t="n"/>
      <c r="E167" s="19" t="n"/>
      <c r="F167" s="20" t="n"/>
      <c r="G167" s="21">
        <f>IF(A167="","",(E167-D167)*24-(F167/60))</f>
        <v/>
      </c>
      <c r="H167" s="22">
        <f>IF(A167="","",G167*VLOOKUP(B167,Projekte!A:F,6,FALSE))</f>
        <v/>
      </c>
    </row>
    <row r="168">
      <c r="A168" s="17" t="n"/>
      <c r="B168" s="16" t="n"/>
      <c r="C168" s="16" t="n"/>
      <c r="D168" s="19" t="n"/>
      <c r="E168" s="19" t="n"/>
      <c r="F168" s="20" t="n"/>
      <c r="G168" s="21">
        <f>IF(A168="","",(E168-D168)*24-(F168/60))</f>
        <v/>
      </c>
      <c r="H168" s="22">
        <f>IF(A168="","",G168*VLOOKUP(B168,Projekte!A:F,6,FALSE))</f>
        <v/>
      </c>
    </row>
    <row r="169">
      <c r="A169" s="17" t="n"/>
      <c r="B169" s="16" t="n"/>
      <c r="C169" s="16" t="n"/>
      <c r="D169" s="19" t="n"/>
      <c r="E169" s="19" t="n"/>
      <c r="F169" s="20" t="n"/>
      <c r="G169" s="21">
        <f>IF(A169="","",(E169-D169)*24-(F169/60))</f>
        <v/>
      </c>
      <c r="H169" s="22">
        <f>IF(A169="","",G169*VLOOKUP(B169,Projekte!A:F,6,FALSE))</f>
        <v/>
      </c>
    </row>
    <row r="170">
      <c r="A170" s="17" t="n"/>
      <c r="B170" s="16" t="n"/>
      <c r="C170" s="16" t="n"/>
      <c r="D170" s="19" t="n"/>
      <c r="E170" s="19" t="n"/>
      <c r="F170" s="20" t="n"/>
      <c r="G170" s="21">
        <f>IF(A170="","",(E170-D170)*24-(F170/60))</f>
        <v/>
      </c>
      <c r="H170" s="22">
        <f>IF(A170="","",G170*VLOOKUP(B170,Projekte!A:F,6,FALSE))</f>
        <v/>
      </c>
    </row>
    <row r="171">
      <c r="A171" s="17" t="n"/>
      <c r="B171" s="16" t="n"/>
      <c r="C171" s="16" t="n"/>
      <c r="D171" s="19" t="n"/>
      <c r="E171" s="19" t="n"/>
      <c r="F171" s="20" t="n"/>
      <c r="G171" s="21">
        <f>IF(A171="","",(E171-D171)*24-(F171/60))</f>
        <v/>
      </c>
      <c r="H171" s="22">
        <f>IF(A171="","",G171*VLOOKUP(B171,Projekte!A:F,6,FALSE))</f>
        <v/>
      </c>
    </row>
    <row r="172">
      <c r="A172" s="17" t="n"/>
      <c r="B172" s="16" t="n"/>
      <c r="C172" s="16" t="n"/>
      <c r="D172" s="19" t="n"/>
      <c r="E172" s="19" t="n"/>
      <c r="F172" s="20" t="n"/>
      <c r="G172" s="21">
        <f>IF(A172="","",(E172-D172)*24-(F172/60))</f>
        <v/>
      </c>
      <c r="H172" s="22">
        <f>IF(A172="","",G172*VLOOKUP(B172,Projekte!A:F,6,FALSE))</f>
        <v/>
      </c>
    </row>
    <row r="173">
      <c r="A173" s="17" t="n"/>
      <c r="B173" s="16" t="n"/>
      <c r="C173" s="16" t="n"/>
      <c r="D173" s="19" t="n"/>
      <c r="E173" s="19" t="n"/>
      <c r="F173" s="20" t="n"/>
      <c r="G173" s="21">
        <f>IF(A173="","",(E173-D173)*24-(F173/60))</f>
        <v/>
      </c>
      <c r="H173" s="22">
        <f>IF(A173="","",G173*VLOOKUP(B173,Projekte!A:F,6,FALSE))</f>
        <v/>
      </c>
    </row>
    <row r="174">
      <c r="A174" s="17" t="n"/>
      <c r="B174" s="16" t="n"/>
      <c r="C174" s="16" t="n"/>
      <c r="D174" s="19" t="n"/>
      <c r="E174" s="19" t="n"/>
      <c r="F174" s="20" t="n"/>
      <c r="G174" s="21">
        <f>IF(A174="","",(E174-D174)*24-(F174/60))</f>
        <v/>
      </c>
      <c r="H174" s="22">
        <f>IF(A174="","",G174*VLOOKUP(B174,Projekte!A:F,6,FALSE))</f>
        <v/>
      </c>
    </row>
    <row r="175">
      <c r="A175" s="17" t="n"/>
      <c r="B175" s="16" t="n"/>
      <c r="C175" s="16" t="n"/>
      <c r="D175" s="19" t="n"/>
      <c r="E175" s="19" t="n"/>
      <c r="F175" s="20" t="n"/>
      <c r="G175" s="21">
        <f>IF(A175="","",(E175-D175)*24-(F175/60))</f>
        <v/>
      </c>
      <c r="H175" s="22">
        <f>IF(A175="","",G175*VLOOKUP(B175,Projekte!A:F,6,FALSE))</f>
        <v/>
      </c>
    </row>
    <row r="176">
      <c r="A176" s="17" t="n"/>
      <c r="B176" s="16" t="n"/>
      <c r="C176" s="16" t="n"/>
      <c r="D176" s="19" t="n"/>
      <c r="E176" s="19" t="n"/>
      <c r="F176" s="20" t="n"/>
      <c r="G176" s="21">
        <f>IF(A176="","",(E176-D176)*24-(F176/60))</f>
        <v/>
      </c>
      <c r="H176" s="22">
        <f>IF(A176="","",G176*VLOOKUP(B176,Projekte!A:F,6,FALSE))</f>
        <v/>
      </c>
    </row>
    <row r="177">
      <c r="A177" s="17" t="n"/>
      <c r="B177" s="16" t="n"/>
      <c r="C177" s="16" t="n"/>
      <c r="D177" s="19" t="n"/>
      <c r="E177" s="19" t="n"/>
      <c r="F177" s="20" t="n"/>
      <c r="G177" s="21">
        <f>IF(A177="","",(E177-D177)*24-(F177/60))</f>
        <v/>
      </c>
      <c r="H177" s="22">
        <f>IF(A177="","",G177*VLOOKUP(B177,Projekte!A:F,6,FALSE))</f>
        <v/>
      </c>
    </row>
    <row r="178">
      <c r="A178" s="17" t="n"/>
      <c r="B178" s="16" t="n"/>
      <c r="C178" s="16" t="n"/>
      <c r="D178" s="19" t="n"/>
      <c r="E178" s="19" t="n"/>
      <c r="F178" s="20" t="n"/>
      <c r="G178" s="21">
        <f>IF(A178="","",(E178-D178)*24-(F178/60))</f>
        <v/>
      </c>
      <c r="H178" s="22">
        <f>IF(A178="","",G178*VLOOKUP(B178,Projekte!A:F,6,FALSE))</f>
        <v/>
      </c>
    </row>
    <row r="179">
      <c r="A179" s="17" t="n"/>
      <c r="B179" s="16" t="n"/>
      <c r="C179" s="16" t="n"/>
      <c r="D179" s="19" t="n"/>
      <c r="E179" s="19" t="n"/>
      <c r="F179" s="20" t="n"/>
      <c r="G179" s="21">
        <f>IF(A179="","",(E179-D179)*24-(F179/60))</f>
        <v/>
      </c>
      <c r="H179" s="22">
        <f>IF(A179="","",G179*VLOOKUP(B179,Projekte!A:F,6,FALSE))</f>
        <v/>
      </c>
    </row>
    <row r="180">
      <c r="A180" s="17" t="n"/>
      <c r="B180" s="16" t="n"/>
      <c r="C180" s="16" t="n"/>
      <c r="D180" s="19" t="n"/>
      <c r="E180" s="19" t="n"/>
      <c r="F180" s="20" t="n"/>
      <c r="G180" s="21">
        <f>IF(A180="","",(E180-D180)*24-(F180/60))</f>
        <v/>
      </c>
      <c r="H180" s="22">
        <f>IF(A180="","",G180*VLOOKUP(B180,Projekte!A:F,6,FALSE))</f>
        <v/>
      </c>
    </row>
    <row r="181">
      <c r="A181" s="17" t="n"/>
      <c r="B181" s="16" t="n"/>
      <c r="C181" s="16" t="n"/>
      <c r="D181" s="19" t="n"/>
      <c r="E181" s="19" t="n"/>
      <c r="F181" s="20" t="n"/>
      <c r="G181" s="21">
        <f>IF(A181="","",(E181-D181)*24-(F181/60))</f>
        <v/>
      </c>
      <c r="H181" s="22">
        <f>IF(A181="","",G181*VLOOKUP(B181,Projekte!A:F,6,FALSE))</f>
        <v/>
      </c>
    </row>
    <row r="182">
      <c r="A182" s="17" t="n"/>
      <c r="B182" s="16" t="n"/>
      <c r="C182" s="16" t="n"/>
      <c r="D182" s="19" t="n"/>
      <c r="E182" s="19" t="n"/>
      <c r="F182" s="20" t="n"/>
      <c r="G182" s="21">
        <f>IF(A182="","",(E182-D182)*24-(F182/60))</f>
        <v/>
      </c>
      <c r="H182" s="22">
        <f>IF(A182="","",G182*VLOOKUP(B182,Projekte!A:F,6,FALSE))</f>
        <v/>
      </c>
    </row>
    <row r="183">
      <c r="A183" s="17" t="n"/>
      <c r="B183" s="16" t="n"/>
      <c r="C183" s="16" t="n"/>
      <c r="D183" s="19" t="n"/>
      <c r="E183" s="19" t="n"/>
      <c r="F183" s="20" t="n"/>
      <c r="G183" s="21">
        <f>IF(A183="","",(E183-D183)*24-(F183/60))</f>
        <v/>
      </c>
      <c r="H183" s="22">
        <f>IF(A183="","",G183*VLOOKUP(B183,Projekte!A:F,6,FALSE))</f>
        <v/>
      </c>
    </row>
    <row r="184">
      <c r="A184" s="17" t="n"/>
      <c r="B184" s="16" t="n"/>
      <c r="C184" s="16" t="n"/>
      <c r="D184" s="19" t="n"/>
      <c r="E184" s="19" t="n"/>
      <c r="F184" s="20" t="n"/>
      <c r="G184" s="21">
        <f>IF(A184="","",(E184-D184)*24-(F184/60))</f>
        <v/>
      </c>
      <c r="H184" s="22">
        <f>IF(A184="","",G184*VLOOKUP(B184,Projekte!A:F,6,FALSE))</f>
        <v/>
      </c>
    </row>
    <row r="185">
      <c r="A185" s="17" t="n"/>
      <c r="B185" s="16" t="n"/>
      <c r="C185" s="16" t="n"/>
      <c r="D185" s="19" t="n"/>
      <c r="E185" s="19" t="n"/>
      <c r="F185" s="20" t="n"/>
      <c r="G185" s="21">
        <f>IF(A185="","",(E185-D185)*24-(F185/60))</f>
        <v/>
      </c>
      <c r="H185" s="22">
        <f>IF(A185="","",G185*VLOOKUP(B185,Projekte!A:F,6,FALSE))</f>
        <v/>
      </c>
    </row>
    <row r="186">
      <c r="A186" s="17" t="n"/>
      <c r="B186" s="16" t="n"/>
      <c r="C186" s="16" t="n"/>
      <c r="D186" s="19" t="n"/>
      <c r="E186" s="19" t="n"/>
      <c r="F186" s="20" t="n"/>
      <c r="G186" s="21">
        <f>IF(A186="","",(E186-D186)*24-(F186/60))</f>
        <v/>
      </c>
      <c r="H186" s="22">
        <f>IF(A186="","",G186*VLOOKUP(B186,Projekte!A:F,6,FALSE))</f>
        <v/>
      </c>
    </row>
    <row r="187">
      <c r="A187" s="17" t="n"/>
      <c r="B187" s="16" t="n"/>
      <c r="C187" s="16" t="n"/>
      <c r="D187" s="19" t="n"/>
      <c r="E187" s="19" t="n"/>
      <c r="F187" s="20" t="n"/>
      <c r="G187" s="21">
        <f>IF(A187="","",(E187-D187)*24-(F187/60))</f>
        <v/>
      </c>
      <c r="H187" s="22">
        <f>IF(A187="","",G187*VLOOKUP(B187,Projekte!A:F,6,FALSE))</f>
        <v/>
      </c>
    </row>
    <row r="188">
      <c r="A188" s="17" t="n"/>
      <c r="B188" s="16" t="n"/>
      <c r="C188" s="16" t="n"/>
      <c r="D188" s="19" t="n"/>
      <c r="E188" s="19" t="n"/>
      <c r="F188" s="20" t="n"/>
      <c r="G188" s="21">
        <f>IF(A188="","",(E188-D188)*24-(F188/60))</f>
        <v/>
      </c>
      <c r="H188" s="22">
        <f>IF(A188="","",G188*VLOOKUP(B188,Projekte!A:F,6,FALSE))</f>
        <v/>
      </c>
    </row>
    <row r="189">
      <c r="A189" s="17" t="n"/>
      <c r="B189" s="16" t="n"/>
      <c r="C189" s="16" t="n"/>
      <c r="D189" s="19" t="n"/>
      <c r="E189" s="19" t="n"/>
      <c r="F189" s="20" t="n"/>
      <c r="G189" s="21">
        <f>IF(A189="","",(E189-D189)*24-(F189/60))</f>
        <v/>
      </c>
      <c r="H189" s="22">
        <f>IF(A189="","",G189*VLOOKUP(B189,Projekte!A:F,6,FALSE))</f>
        <v/>
      </c>
    </row>
    <row r="190">
      <c r="A190" s="17" t="n"/>
      <c r="B190" s="16" t="n"/>
      <c r="C190" s="16" t="n"/>
      <c r="D190" s="19" t="n"/>
      <c r="E190" s="19" t="n"/>
      <c r="F190" s="20" t="n"/>
      <c r="G190" s="21">
        <f>IF(A190="","",(E190-D190)*24-(F190/60))</f>
        <v/>
      </c>
      <c r="H190" s="22">
        <f>IF(A190="","",G190*VLOOKUP(B190,Projekte!A:F,6,FALSE))</f>
        <v/>
      </c>
    </row>
    <row r="191">
      <c r="A191" s="17" t="n"/>
      <c r="B191" s="16" t="n"/>
      <c r="C191" s="16" t="n"/>
      <c r="D191" s="19" t="n"/>
      <c r="E191" s="19" t="n"/>
      <c r="F191" s="20" t="n"/>
      <c r="G191" s="21">
        <f>IF(A191="","",(E191-D191)*24-(F191/60))</f>
        <v/>
      </c>
      <c r="H191" s="22">
        <f>IF(A191="","",G191*VLOOKUP(B191,Projekte!A:F,6,FALSE))</f>
        <v/>
      </c>
    </row>
    <row r="192">
      <c r="A192" s="17" t="n"/>
      <c r="B192" s="16" t="n"/>
      <c r="C192" s="16" t="n"/>
      <c r="D192" s="19" t="n"/>
      <c r="E192" s="19" t="n"/>
      <c r="F192" s="20" t="n"/>
      <c r="G192" s="21">
        <f>IF(A192="","",(E192-D192)*24-(F192/60))</f>
        <v/>
      </c>
      <c r="H192" s="22">
        <f>IF(A192="","",G192*VLOOKUP(B192,Projekte!A:F,6,FALSE))</f>
        <v/>
      </c>
    </row>
    <row r="193">
      <c r="A193" s="17" t="n"/>
      <c r="B193" s="16" t="n"/>
      <c r="C193" s="16" t="n"/>
      <c r="D193" s="19" t="n"/>
      <c r="E193" s="19" t="n"/>
      <c r="F193" s="20" t="n"/>
      <c r="G193" s="21">
        <f>IF(A193="","",(E193-D193)*24-(F193/60))</f>
        <v/>
      </c>
      <c r="H193" s="22">
        <f>IF(A193="","",G193*VLOOKUP(B193,Projekte!A:F,6,FALSE))</f>
        <v/>
      </c>
    </row>
    <row r="194">
      <c r="A194" s="17" t="n"/>
      <c r="B194" s="16" t="n"/>
      <c r="C194" s="16" t="n"/>
      <c r="D194" s="19" t="n"/>
      <c r="E194" s="19" t="n"/>
      <c r="F194" s="20" t="n"/>
      <c r="G194" s="21">
        <f>IF(A194="","",(E194-D194)*24-(F194/60))</f>
        <v/>
      </c>
      <c r="H194" s="22">
        <f>IF(A194="","",G194*VLOOKUP(B194,Projekte!A:F,6,FALSE))</f>
        <v/>
      </c>
    </row>
    <row r="195">
      <c r="A195" s="17" t="n"/>
      <c r="B195" s="16" t="n"/>
      <c r="C195" s="16" t="n"/>
      <c r="D195" s="19" t="n"/>
      <c r="E195" s="19" t="n"/>
      <c r="F195" s="20" t="n"/>
      <c r="G195" s="21">
        <f>IF(A195="","",(E195-D195)*24-(F195/60))</f>
        <v/>
      </c>
      <c r="H195" s="22">
        <f>IF(A195="","",G195*VLOOKUP(B195,Projekte!A:F,6,FALSE))</f>
        <v/>
      </c>
    </row>
    <row r="196">
      <c r="A196" s="17" t="n"/>
      <c r="B196" s="16" t="n"/>
      <c r="C196" s="16" t="n"/>
      <c r="D196" s="19" t="n"/>
      <c r="E196" s="19" t="n"/>
      <c r="F196" s="20" t="n"/>
      <c r="G196" s="21">
        <f>IF(A196="","",(E196-D196)*24-(F196/60))</f>
        <v/>
      </c>
      <c r="H196" s="22">
        <f>IF(A196="","",G196*VLOOKUP(B196,Projekte!A:F,6,FALSE))</f>
        <v/>
      </c>
    </row>
    <row r="197">
      <c r="A197" s="17" t="n"/>
      <c r="B197" s="16" t="n"/>
      <c r="C197" s="16" t="n"/>
      <c r="D197" s="19" t="n"/>
      <c r="E197" s="19" t="n"/>
      <c r="F197" s="20" t="n"/>
      <c r="G197" s="21">
        <f>IF(A197="","",(E197-D197)*24-(F197/60))</f>
        <v/>
      </c>
      <c r="H197" s="22">
        <f>IF(A197="","",G197*VLOOKUP(B197,Projekte!A:F,6,FALSE))</f>
        <v/>
      </c>
    </row>
    <row r="198">
      <c r="A198" s="17" t="n"/>
      <c r="B198" s="16" t="n"/>
      <c r="C198" s="16" t="n"/>
      <c r="D198" s="19" t="n"/>
      <c r="E198" s="19" t="n"/>
      <c r="F198" s="20" t="n"/>
      <c r="G198" s="21">
        <f>IF(A198="","",(E198-D198)*24-(F198/60))</f>
        <v/>
      </c>
      <c r="H198" s="22">
        <f>IF(A198="","",G198*VLOOKUP(B198,Projekte!A:F,6,FALSE))</f>
        <v/>
      </c>
    </row>
    <row r="199">
      <c r="A199" s="17" t="n"/>
      <c r="B199" s="16" t="n"/>
      <c r="C199" s="16" t="n"/>
      <c r="D199" s="19" t="n"/>
      <c r="E199" s="19" t="n"/>
      <c r="F199" s="20" t="n"/>
      <c r="G199" s="21">
        <f>IF(A199="","",(E199-D199)*24-(F199/60))</f>
        <v/>
      </c>
      <c r="H199" s="22">
        <f>IF(A199="","",G199*VLOOKUP(B199,Projekte!A:F,6,FALSE))</f>
        <v/>
      </c>
    </row>
    <row r="200">
      <c r="A200" s="17" t="n"/>
      <c r="B200" s="16" t="n"/>
      <c r="C200" s="16" t="n"/>
      <c r="D200" s="19" t="n"/>
      <c r="E200" s="19" t="n"/>
      <c r="F200" s="20" t="n"/>
      <c r="G200" s="21">
        <f>IF(A200="","",(E200-D200)*24-(F200/60))</f>
        <v/>
      </c>
      <c r="H200" s="22">
        <f>IF(A200="","",G200*VLOOKUP(B200,Projekte!A:F,6,FALSE))</f>
        <v/>
      </c>
    </row>
    <row r="201">
      <c r="A201" s="17" t="n"/>
      <c r="B201" s="16" t="n"/>
      <c r="C201" s="16" t="n"/>
      <c r="D201" s="19" t="n"/>
      <c r="E201" s="19" t="n"/>
      <c r="F201" s="20" t="n"/>
      <c r="G201" s="21">
        <f>IF(A201="","",(E201-D201)*24-(F201/60))</f>
        <v/>
      </c>
      <c r="H201" s="22">
        <f>IF(A201="","",G201*VLOOKUP(B201,Projekte!A:F,6,FALSE))</f>
        <v/>
      </c>
    </row>
    <row r="202">
      <c r="A202" s="17" t="n"/>
      <c r="B202" s="16" t="n"/>
      <c r="C202" s="16" t="n"/>
      <c r="D202" s="19" t="n"/>
      <c r="E202" s="19" t="n"/>
      <c r="F202" s="20" t="n"/>
      <c r="G202" s="21">
        <f>IF(A202="","",(E202-D202)*24-(F202/60))</f>
        <v/>
      </c>
      <c r="H202" s="22">
        <f>IF(A202="","",G202*VLOOKUP(B202,Projekte!A:F,6,FALSE))</f>
        <v/>
      </c>
    </row>
    <row r="203">
      <c r="A203" s="17" t="n"/>
      <c r="B203" s="16" t="n"/>
      <c r="C203" s="16" t="n"/>
      <c r="D203" s="19" t="n"/>
      <c r="E203" s="19" t="n"/>
      <c r="F203" s="20" t="n"/>
      <c r="G203" s="21">
        <f>IF(A203="","",(E203-D203)*24-(F203/60))</f>
        <v/>
      </c>
      <c r="H203" s="22">
        <f>IF(A203="","",G203*VLOOKUP(B203,Projekte!A:F,6,FALSE))</f>
        <v/>
      </c>
    </row>
  </sheetData>
  <conditionalFormatting sqref="H2:H203">
    <cfRule type="cellIs" priority="1" operator="lessThan" dxfId="0">
      <formula>0</formula>
    </cfRule>
  </conditionalFormatting>
  <dataValidations count="1">
    <dataValidation sqref="B2:B203" showDropDown="0" showInputMessage="0" showErrorMessage="0" allowBlank="1" type="list">
      <formula1>"I,N,D,I,R,E,C,T,(,",P,r"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15" customWidth="1" min="4" max="4"/>
    <col width="15" customWidth="1" min="5" max="5"/>
    <col width="12" customWidth="1" min="6" max="6"/>
  </cols>
  <sheetData>
    <row r="1" ht="32" customHeight="1">
      <c r="A1" s="15" t="inlineStr">
        <is>
          <t>Datum</t>
        </is>
      </c>
      <c r="B1" s="15" t="inlineStr">
        <is>
          <t>Kategorie</t>
        </is>
      </c>
      <c r="C1" s="15" t="inlineStr">
        <is>
          <t>Beschreibung</t>
        </is>
      </c>
      <c r="D1" s="15" t="inlineStr">
        <is>
          <t>Betrag (EUR)</t>
        </is>
      </c>
      <c r="E1" s="15" t="inlineStr">
        <is>
          <t>Projekt-ID</t>
        </is>
      </c>
      <c r="F1" s="15" t="inlineStr">
        <is>
          <t>Steuerbar</t>
        </is>
      </c>
    </row>
    <row r="2">
      <c r="A2" s="17" t="n">
        <v>46027</v>
      </c>
      <c r="B2" s="16" t="inlineStr">
        <is>
          <t>Software</t>
        </is>
      </c>
      <c r="C2" s="16" t="inlineStr">
        <is>
          <t>Adobe CC Monatsabo</t>
        </is>
      </c>
      <c r="D2" s="18" t="n">
        <v>34.99</v>
      </c>
      <c r="E2" s="16" t="inlineStr"/>
      <c r="F2" s="16" t="inlineStr">
        <is>
          <t>ja</t>
        </is>
      </c>
    </row>
    <row r="3">
      <c r="A3" s="17" t="n">
        <v>46040</v>
      </c>
      <c r="B3" s="16" t="inlineStr">
        <is>
          <t>Reise</t>
        </is>
      </c>
      <c r="C3" s="16" t="inlineStr">
        <is>
          <t>Bahnfahrt zum Kunden</t>
        </is>
      </c>
      <c r="D3" s="18" t="n">
        <v>52.3</v>
      </c>
      <c r="E3" s="16" t="inlineStr">
        <is>
          <t>PRJ-2026-001</t>
        </is>
      </c>
      <c r="F3" s="16" t="inlineStr">
        <is>
          <t>ja</t>
        </is>
      </c>
    </row>
    <row r="4">
      <c r="A4" s="17" t="n"/>
      <c r="B4" s="16" t="n"/>
      <c r="C4" s="16" t="n"/>
      <c r="D4" s="18" t="n"/>
      <c r="E4" s="16" t="n"/>
      <c r="F4" s="16" t="n"/>
    </row>
    <row r="5">
      <c r="A5" s="17" t="n"/>
      <c r="B5" s="16" t="n"/>
      <c r="C5" s="16" t="n"/>
      <c r="D5" s="18" t="n"/>
      <c r="E5" s="16" t="n"/>
      <c r="F5" s="16" t="n"/>
    </row>
    <row r="6">
      <c r="A6" s="17" t="n"/>
      <c r="B6" s="16" t="n"/>
      <c r="C6" s="16" t="n"/>
      <c r="D6" s="18" t="n"/>
      <c r="E6" s="16" t="n"/>
      <c r="F6" s="16" t="n"/>
    </row>
    <row r="7">
      <c r="A7" s="17" t="n"/>
      <c r="B7" s="16" t="n"/>
      <c r="C7" s="16" t="n"/>
      <c r="D7" s="18" t="n"/>
      <c r="E7" s="16" t="n"/>
      <c r="F7" s="16" t="n"/>
    </row>
    <row r="8">
      <c r="A8" s="17" t="n"/>
      <c r="B8" s="16" t="n"/>
      <c r="C8" s="16" t="n"/>
      <c r="D8" s="18" t="n"/>
      <c r="E8" s="16" t="n"/>
      <c r="F8" s="16" t="n"/>
    </row>
    <row r="9">
      <c r="A9" s="17" t="n"/>
      <c r="B9" s="16" t="n"/>
      <c r="C9" s="16" t="n"/>
      <c r="D9" s="18" t="n"/>
      <c r="E9" s="16" t="n"/>
      <c r="F9" s="16" t="n"/>
    </row>
    <row r="10">
      <c r="A10" s="17" t="n"/>
      <c r="B10" s="16" t="n"/>
      <c r="C10" s="16" t="n"/>
      <c r="D10" s="18" t="n"/>
      <c r="E10" s="16" t="n"/>
      <c r="F10" s="16" t="n"/>
    </row>
    <row r="11">
      <c r="A11" s="17" t="n"/>
      <c r="B11" s="16" t="n"/>
      <c r="C11" s="16" t="n"/>
      <c r="D11" s="18" t="n"/>
      <c r="E11" s="16" t="n"/>
      <c r="F11" s="16" t="n"/>
    </row>
    <row r="12">
      <c r="A12" s="17" t="n"/>
      <c r="B12" s="16" t="n"/>
      <c r="C12" s="16" t="n"/>
      <c r="D12" s="18" t="n"/>
      <c r="E12" s="16" t="n"/>
      <c r="F12" s="16" t="n"/>
    </row>
    <row r="13">
      <c r="A13" s="17" t="n"/>
      <c r="B13" s="16" t="n"/>
      <c r="C13" s="16" t="n"/>
      <c r="D13" s="18" t="n"/>
      <c r="E13" s="16" t="n"/>
      <c r="F13" s="16" t="n"/>
    </row>
    <row r="14">
      <c r="A14" s="17" t="n"/>
      <c r="B14" s="16" t="n"/>
      <c r="C14" s="16" t="n"/>
      <c r="D14" s="18" t="n"/>
      <c r="E14" s="16" t="n"/>
      <c r="F14" s="16" t="n"/>
    </row>
    <row r="15">
      <c r="A15" s="17" t="n"/>
      <c r="B15" s="16" t="n"/>
      <c r="C15" s="16" t="n"/>
      <c r="D15" s="18" t="n"/>
      <c r="E15" s="16" t="n"/>
      <c r="F15" s="16" t="n"/>
    </row>
    <row r="16">
      <c r="A16" s="17" t="n"/>
      <c r="B16" s="16" t="n"/>
      <c r="C16" s="16" t="n"/>
      <c r="D16" s="18" t="n"/>
      <c r="E16" s="16" t="n"/>
      <c r="F16" s="16" t="n"/>
    </row>
    <row r="17">
      <c r="A17" s="17" t="n"/>
      <c r="B17" s="16" t="n"/>
      <c r="C17" s="16" t="n"/>
      <c r="D17" s="18" t="n"/>
      <c r="E17" s="16" t="n"/>
      <c r="F17" s="16" t="n"/>
    </row>
    <row r="18">
      <c r="A18" s="17" t="n"/>
      <c r="B18" s="16" t="n"/>
      <c r="C18" s="16" t="n"/>
      <c r="D18" s="18" t="n"/>
      <c r="E18" s="16" t="n"/>
      <c r="F18" s="16" t="n"/>
    </row>
    <row r="19">
      <c r="A19" s="17" t="n"/>
      <c r="B19" s="16" t="n"/>
      <c r="C19" s="16" t="n"/>
      <c r="D19" s="18" t="n"/>
      <c r="E19" s="16" t="n"/>
      <c r="F19" s="16" t="n"/>
    </row>
    <row r="20">
      <c r="A20" s="17" t="n"/>
      <c r="B20" s="16" t="n"/>
      <c r="C20" s="16" t="n"/>
      <c r="D20" s="18" t="n"/>
      <c r="E20" s="16" t="n"/>
      <c r="F20" s="16" t="n"/>
    </row>
    <row r="21">
      <c r="A21" s="17" t="n"/>
      <c r="B21" s="16" t="n"/>
      <c r="C21" s="16" t="n"/>
      <c r="D21" s="18" t="n"/>
      <c r="E21" s="16" t="n"/>
      <c r="F21" s="16" t="n"/>
    </row>
    <row r="22">
      <c r="A22" s="17" t="n"/>
      <c r="B22" s="16" t="n"/>
      <c r="C22" s="16" t="n"/>
      <c r="D22" s="18" t="n"/>
      <c r="E22" s="16" t="n"/>
      <c r="F22" s="16" t="n"/>
    </row>
    <row r="23">
      <c r="A23" s="17" t="n"/>
      <c r="B23" s="16" t="n"/>
      <c r="C23" s="16" t="n"/>
      <c r="D23" s="18" t="n"/>
      <c r="E23" s="16" t="n"/>
      <c r="F23" s="16" t="n"/>
    </row>
    <row r="24">
      <c r="A24" s="17" t="n"/>
      <c r="B24" s="16" t="n"/>
      <c r="C24" s="16" t="n"/>
      <c r="D24" s="18" t="n"/>
      <c r="E24" s="16" t="n"/>
      <c r="F24" s="16" t="n"/>
    </row>
    <row r="25">
      <c r="A25" s="17" t="n"/>
      <c r="B25" s="16" t="n"/>
      <c r="C25" s="16" t="n"/>
      <c r="D25" s="18" t="n"/>
      <c r="E25" s="16" t="n"/>
      <c r="F25" s="16" t="n"/>
    </row>
    <row r="26">
      <c r="A26" s="17" t="n"/>
      <c r="B26" s="16" t="n"/>
      <c r="C26" s="16" t="n"/>
      <c r="D26" s="18" t="n"/>
      <c r="E26" s="16" t="n"/>
      <c r="F26" s="16" t="n"/>
    </row>
    <row r="27">
      <c r="A27" s="17" t="n"/>
      <c r="B27" s="16" t="n"/>
      <c r="C27" s="16" t="n"/>
      <c r="D27" s="18" t="n"/>
      <c r="E27" s="16" t="n"/>
      <c r="F27" s="16" t="n"/>
    </row>
    <row r="28">
      <c r="A28" s="17" t="n"/>
      <c r="B28" s="16" t="n"/>
      <c r="C28" s="16" t="n"/>
      <c r="D28" s="18" t="n"/>
      <c r="E28" s="16" t="n"/>
      <c r="F28" s="16" t="n"/>
    </row>
    <row r="29">
      <c r="A29" s="17" t="n"/>
      <c r="B29" s="16" t="n"/>
      <c r="C29" s="16" t="n"/>
      <c r="D29" s="18" t="n"/>
      <c r="E29" s="16" t="n"/>
      <c r="F29" s="16" t="n"/>
    </row>
    <row r="30">
      <c r="A30" s="17" t="n"/>
      <c r="B30" s="16" t="n"/>
      <c r="C30" s="16" t="n"/>
      <c r="D30" s="18" t="n"/>
      <c r="E30" s="16" t="n"/>
      <c r="F30" s="16" t="n"/>
    </row>
    <row r="31">
      <c r="A31" s="17" t="n"/>
      <c r="B31" s="16" t="n"/>
      <c r="C31" s="16" t="n"/>
      <c r="D31" s="18" t="n"/>
      <c r="E31" s="16" t="n"/>
      <c r="F31" s="16" t="n"/>
    </row>
    <row r="32">
      <c r="A32" s="17" t="n"/>
      <c r="B32" s="16" t="n"/>
      <c r="C32" s="16" t="n"/>
      <c r="D32" s="18" t="n"/>
      <c r="E32" s="16" t="n"/>
      <c r="F32" s="16" t="n"/>
    </row>
    <row r="33">
      <c r="A33" s="17" t="n"/>
      <c r="B33" s="16" t="n"/>
      <c r="C33" s="16" t="n"/>
      <c r="D33" s="18" t="n"/>
      <c r="E33" s="16" t="n"/>
      <c r="F33" s="16" t="n"/>
    </row>
    <row r="34">
      <c r="A34" s="17" t="n"/>
      <c r="B34" s="16" t="n"/>
      <c r="C34" s="16" t="n"/>
      <c r="D34" s="18" t="n"/>
      <c r="E34" s="16" t="n"/>
      <c r="F34" s="16" t="n"/>
    </row>
    <row r="35">
      <c r="A35" s="17" t="n"/>
      <c r="B35" s="16" t="n"/>
      <c r="C35" s="16" t="n"/>
      <c r="D35" s="18" t="n"/>
      <c r="E35" s="16" t="n"/>
      <c r="F35" s="16" t="n"/>
    </row>
    <row r="36">
      <c r="A36" s="17" t="n"/>
      <c r="B36" s="16" t="n"/>
      <c r="C36" s="16" t="n"/>
      <c r="D36" s="18" t="n"/>
      <c r="E36" s="16" t="n"/>
      <c r="F36" s="16" t="n"/>
    </row>
    <row r="37">
      <c r="A37" s="17" t="n"/>
      <c r="B37" s="16" t="n"/>
      <c r="C37" s="16" t="n"/>
      <c r="D37" s="18" t="n"/>
      <c r="E37" s="16" t="n"/>
      <c r="F37" s="16" t="n"/>
    </row>
    <row r="38">
      <c r="A38" s="17" t="n"/>
      <c r="B38" s="16" t="n"/>
      <c r="C38" s="16" t="n"/>
      <c r="D38" s="18" t="n"/>
      <c r="E38" s="16" t="n"/>
      <c r="F38" s="16" t="n"/>
    </row>
    <row r="39">
      <c r="A39" s="17" t="n"/>
      <c r="B39" s="16" t="n"/>
      <c r="C39" s="16" t="n"/>
      <c r="D39" s="18" t="n"/>
      <c r="E39" s="16" t="n"/>
      <c r="F39" s="16" t="n"/>
    </row>
    <row r="40">
      <c r="A40" s="17" t="n"/>
      <c r="B40" s="16" t="n"/>
      <c r="C40" s="16" t="n"/>
      <c r="D40" s="18" t="n"/>
      <c r="E40" s="16" t="n"/>
      <c r="F40" s="16" t="n"/>
    </row>
    <row r="41">
      <c r="A41" s="17" t="n"/>
      <c r="B41" s="16" t="n"/>
      <c r="C41" s="16" t="n"/>
      <c r="D41" s="18" t="n"/>
      <c r="E41" s="16" t="n"/>
      <c r="F41" s="16" t="n"/>
    </row>
    <row r="42">
      <c r="A42" s="17" t="n"/>
      <c r="B42" s="16" t="n"/>
      <c r="C42" s="16" t="n"/>
      <c r="D42" s="18" t="n"/>
      <c r="E42" s="16" t="n"/>
      <c r="F42" s="16" t="n"/>
    </row>
    <row r="43">
      <c r="A43" s="17" t="n"/>
      <c r="B43" s="16" t="n"/>
      <c r="C43" s="16" t="n"/>
      <c r="D43" s="18" t="n"/>
      <c r="E43" s="16" t="n"/>
      <c r="F43" s="16" t="n"/>
    </row>
    <row r="44">
      <c r="A44" s="17" t="n"/>
      <c r="B44" s="16" t="n"/>
      <c r="C44" s="16" t="n"/>
      <c r="D44" s="18" t="n"/>
      <c r="E44" s="16" t="n"/>
      <c r="F44" s="16" t="n"/>
    </row>
    <row r="45">
      <c r="A45" s="17" t="n"/>
      <c r="B45" s="16" t="n"/>
      <c r="C45" s="16" t="n"/>
      <c r="D45" s="18" t="n"/>
      <c r="E45" s="16" t="n"/>
      <c r="F45" s="16" t="n"/>
    </row>
    <row r="46">
      <c r="A46" s="17" t="n"/>
      <c r="B46" s="16" t="n"/>
      <c r="C46" s="16" t="n"/>
      <c r="D46" s="18" t="n"/>
      <c r="E46" s="16" t="n"/>
      <c r="F46" s="16" t="n"/>
    </row>
    <row r="47">
      <c r="A47" s="17" t="n"/>
      <c r="B47" s="16" t="n"/>
      <c r="C47" s="16" t="n"/>
      <c r="D47" s="18" t="n"/>
      <c r="E47" s="16" t="n"/>
      <c r="F47" s="16" t="n"/>
    </row>
    <row r="48">
      <c r="A48" s="17" t="n"/>
      <c r="B48" s="16" t="n"/>
      <c r="C48" s="16" t="n"/>
      <c r="D48" s="18" t="n"/>
      <c r="E48" s="16" t="n"/>
      <c r="F48" s="16" t="n"/>
    </row>
    <row r="49">
      <c r="A49" s="17" t="n"/>
      <c r="B49" s="16" t="n"/>
      <c r="C49" s="16" t="n"/>
      <c r="D49" s="18" t="n"/>
      <c r="E49" s="16" t="n"/>
      <c r="F49" s="16" t="n"/>
    </row>
    <row r="50">
      <c r="A50" s="17" t="n"/>
      <c r="B50" s="16" t="n"/>
      <c r="C50" s="16" t="n"/>
      <c r="D50" s="18" t="n"/>
      <c r="E50" s="16" t="n"/>
      <c r="F50" s="16" t="n"/>
    </row>
    <row r="51">
      <c r="A51" s="17" t="n"/>
      <c r="B51" s="16" t="n"/>
      <c r="C51" s="16" t="n"/>
      <c r="D51" s="18" t="n"/>
      <c r="E51" s="16" t="n"/>
      <c r="F51" s="16" t="n"/>
    </row>
    <row r="52">
      <c r="A52" s="17" t="n"/>
      <c r="B52" s="16" t="n"/>
      <c r="C52" s="16" t="n"/>
      <c r="D52" s="18" t="n"/>
      <c r="E52" s="16" t="n"/>
      <c r="F52" s="16" t="n"/>
    </row>
    <row r="53">
      <c r="A53" s="17" t="n"/>
      <c r="B53" s="16" t="n"/>
      <c r="C53" s="16" t="n"/>
      <c r="D53" s="18" t="n"/>
      <c r="E53" s="16" t="n"/>
      <c r="F53" s="16" t="n"/>
    </row>
  </sheetData>
  <conditionalFormatting sqref="D2:D53">
    <cfRule type="cellIs" priority="1" operator="lessThan" dxfId="0">
      <formula>0</formula>
    </cfRule>
  </conditionalFormatting>
  <dataValidations count="2">
    <dataValidation sqref="B2:B53" showDropDown="0" showInputMessage="0" showErrorMessage="0" allowBlank="1" type="list">
      <formula1>"Büro,Software,Hardware,Fortbildung,Reise,Marketing,Sonstiges"</formula1>
    </dataValidation>
    <dataValidation sqref="F2:F53" showDropDown="0" showInputMessage="0" showErrorMessage="0" allowBlank="1" type="list">
      <formula1>"ja,nein"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Stundentracker für Freelancer</dc:title>
  <dcterms:created xsi:type="dcterms:W3CDTF">2026-09-28T06:55:19Z</dcterms:created>
  <dcterms:modified xsi:type="dcterms:W3CDTF">2026-09-28T06:55:19Z</dcterms:modified>
</cp:coreProperties>
</file>