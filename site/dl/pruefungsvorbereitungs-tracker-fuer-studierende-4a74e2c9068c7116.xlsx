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Lernplan" sheetId="3" state="visible" r:id="rId3"/>
    <sheet name="Prüfungstermine" sheetId="4" state="visible" r:id="rId4"/>
    <sheet name="Motiv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  <xf numFmtId="1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Lernfortschritt nach Thema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'Lernplan'!F1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'Lernplan'!$B$2:$B$9</f>
            </numRef>
          </cat>
          <val>
            <numRef>
              <f>'Lernplan'!$F$2:$F$9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Lernplan" displayName="T_Lernplan" ref="A1:F69" headerRowCount="1">
  <autoFilter ref="A1:F69"/>
  <tableColumns count="6">
    <tableColumn id="1" name="Datum"/>
    <tableColumn id="2" name="Thema"/>
    <tableColumn id="3" name="Priorität"/>
    <tableColumn id="4" name="Geplante Zeit"/>
    <tableColumn id="5" name="Tatsächliche Zeit"/>
    <tableColumn id="6" name="Fortschritt"/>
  </tableColumns>
  <tableStyleInfo name="TableStyleMedium7" showRowStripes="1"/>
</table>
</file>

<file path=xl/tables/table2.xml><?xml version="1.0" encoding="utf-8"?>
<table xmlns="http://schemas.openxmlformats.org/spreadsheetml/2006/main" id="2" name="T_Pr_fungstermine" displayName="T_Pr_fungstermine" ref="A1:F26" headerRowCount="1">
  <autoFilter ref="A1:F26"/>
  <tableColumns count="6">
    <tableColumn id="1" name="Datum"/>
    <tableColumn id="2" name="Fach"/>
    <tableColumn id="3" name="Art"/>
    <tableColumn id="4" name="Ort"/>
    <tableColumn id="5" name="Gewichtung"/>
    <tableColumn id="6" name="Tage bis Prüfung"/>
  </tableColumns>
  <tableStyleInfo name="TableStyleMedium7" showRowStripes="1"/>
</table>
</file>

<file path=xl/tables/table3.xml><?xml version="1.0" encoding="utf-8"?>
<table xmlns="http://schemas.openxmlformats.org/spreadsheetml/2006/main" id="3" name="T_Motivation" displayName="T_Motivation" ref="A1:D35" headerRowCount="1">
  <autoFilter ref="A1:D35"/>
  <tableColumns count="4">
    <tableColumn id="1" name="Datum"/>
    <tableColumn id="2" name="Pausen"/>
    <tableColumn id="3" name="Motivation (1-10)"/>
    <tableColumn id="4" name="Bemerkung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Lernplan'!A1" TargetMode="External" Id="rId2" /><Relationship Type="http://schemas.openxmlformats.org/officeDocument/2006/relationships/hyperlink" Target="#'Pr&#252;fungstermine'!A1" TargetMode="External" Id="rId3" /><Relationship Type="http://schemas.openxmlformats.org/officeDocument/2006/relationships/hyperlink" Target="#'Motivatio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Prüfungsvorbereitungs-Tracker für Studierende</t>
        </is>
      </c>
    </row>
    <row r="3" ht="45" customHeight="1">
      <c r="C3" s="2" t="inlineStr">
        <is>
          <t>Organisiere deine Lerninhalte, verfolge deinen Fortschritt und steigere deine Effizienz mit dieser professionellen Excel-Vorlage. Ideal für stressfreie Prüfungsphasen.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alle Prüfungstermine und Lerninhalte ein</t>
        </is>
      </c>
    </row>
    <row r="7" ht="18" customHeight="1">
      <c r="B7" s="4" t="inlineStr">
        <is>
          <t>2.</t>
        </is>
      </c>
      <c r="C7" s="5" t="inlineStr">
        <is>
          <t>Plane deine wöchentlichen Lernziele</t>
        </is>
      </c>
    </row>
    <row r="8" ht="18" customHeight="1">
      <c r="B8" s="4" t="inlineStr">
        <is>
          <t>3.</t>
        </is>
      </c>
      <c r="C8" s="5" t="inlineStr">
        <is>
          <t>Dokumentiere tägliche Lernfortschritte</t>
        </is>
      </c>
    </row>
    <row r="9" ht="18" customHeight="1">
      <c r="B9" s="4" t="inlineStr">
        <is>
          <t>4.</t>
        </is>
      </c>
      <c r="C9" s="5" t="inlineStr">
        <is>
          <t>Nutze die Automatik-Berechnungen für Zeitmanagement</t>
        </is>
      </c>
    </row>
    <row r="10" ht="18" customHeight="1">
      <c r="B10" s="4" t="inlineStr">
        <is>
          <t>5.</t>
        </is>
      </c>
      <c r="C10" s="5" t="inlineStr">
        <is>
          <t>Verfolge deine Motivation und Pausenzeiten</t>
        </is>
      </c>
    </row>
    <row r="11" ht="18" customHeight="1">
      <c r="B11" s="4" t="inlineStr">
        <is>
          <t>6.</t>
        </is>
      </c>
      <c r="C11" s="5" t="inlineStr">
        <is>
          <t>Analysiere deine Stärken und Schwächen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Lernplan</t>
        </is>
      </c>
    </row>
    <row r="18">
      <c r="C18" s="7" t="inlineStr">
        <is>
          <t>→ Prüfungstermine</t>
        </is>
      </c>
    </row>
    <row r="19">
      <c r="C19" s="7" t="inlineStr">
        <is>
          <t>→ Motivation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Prüfungsvorbereitungs-Tracker für Studierende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 Lernstunden</t>
        </is>
      </c>
      <c r="C5" s="12">
        <f>SUM('Lernplan'!E2:E300)</f>
        <v/>
      </c>
    </row>
    <row r="6" ht="24" customHeight="1">
      <c r="B6" s="11" t="inlineStr">
        <is>
          <t>Durchschnitt Motivation</t>
        </is>
      </c>
      <c r="C6" s="13">
        <f>AVERAGE('Motivation'!C2:C300)</f>
        <v/>
      </c>
    </row>
    <row r="7" ht="24" customHeight="1">
      <c r="B7" s="11" t="inlineStr">
        <is>
          <t>Anstehende Prüfungen</t>
        </is>
      </c>
      <c r="C7" s="13">
        <f>COUNTIF('Prüfungstermine'!F2:F300,"&gt;0")</f>
        <v/>
      </c>
    </row>
    <row r="8" ht="24" customHeight="1">
      <c r="B8" s="11" t="inlineStr">
        <is>
          <t>Dringlichste Prüfung</t>
        </is>
      </c>
      <c r="C8" s="14">
        <f>INDEX('Prüfungstermine'!B2:B300,MATCH(MIN('Prüfungstermine'!F2:F300),'Prüfungstermine'!F2:F300,0))</f>
        <v/>
      </c>
    </row>
    <row r="9" ht="24" customHeight="1">
      <c r="B9" s="11" t="inlineStr">
        <is>
          <t>Durchschnittlicher Fortschritt</t>
        </is>
      </c>
      <c r="C9" s="15">
        <f>AVERAGE('Lernplan'!F2:F300)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6" customWidth="1" min="4" max="4"/>
    <col width="20" customWidth="1" min="5" max="5"/>
    <col width="40" customWidth="1" min="6" max="6"/>
  </cols>
  <sheetData>
    <row r="1" ht="32" customHeight="1">
      <c r="A1" s="16" t="inlineStr">
        <is>
          <t>Datum</t>
        </is>
      </c>
      <c r="B1" s="16" t="inlineStr">
        <is>
          <t>Thema</t>
        </is>
      </c>
      <c r="C1" s="16" t="inlineStr">
        <is>
          <t>Priorität</t>
        </is>
      </c>
      <c r="D1" s="16" t="inlineStr">
        <is>
          <t>Geplante Zeit</t>
        </is>
      </c>
      <c r="E1" s="16" t="inlineStr">
        <is>
          <t>Tatsächliche Zeit</t>
        </is>
      </c>
      <c r="F1" s="16" t="inlineStr">
        <is>
          <t>Fortschritt</t>
        </is>
      </c>
    </row>
    <row r="2">
      <c r="A2" s="17" t="n">
        <v>46096</v>
      </c>
      <c r="B2" s="18" t="inlineStr">
        <is>
          <t>Statistik Grundlagen</t>
        </is>
      </c>
      <c r="C2" s="18" t="inlineStr">
        <is>
          <t>hoch</t>
        </is>
      </c>
      <c r="D2" s="19" t="n">
        <v>4</v>
      </c>
      <c r="E2" s="19" t="n">
        <v>3.5</v>
      </c>
      <c r="F2" s="20">
        <f>IF(ISBLANK(E2),0,E2/D2*100)</f>
        <v/>
      </c>
    </row>
    <row r="3">
      <c r="A3" s="17" t="n">
        <v>46097</v>
      </c>
      <c r="B3" s="18" t="inlineStr">
        <is>
          <t>VWL Modelle</t>
        </is>
      </c>
      <c r="C3" s="18" t="inlineStr">
        <is>
          <t>mittel</t>
        </is>
      </c>
      <c r="D3" s="19" t="n">
        <v>3</v>
      </c>
      <c r="E3" s="19" t="n">
        <v>3</v>
      </c>
      <c r="F3" s="20">
        <f>IF(ISBLANK(E3),0,E3/D3*100)</f>
        <v/>
      </c>
    </row>
    <row r="4">
      <c r="A4" s="17" t="n">
        <v>46098</v>
      </c>
      <c r="B4" s="18" t="inlineStr">
        <is>
          <t>BWL Fallstudien</t>
        </is>
      </c>
      <c r="C4" s="18" t="inlineStr">
        <is>
          <t>hoch</t>
        </is>
      </c>
      <c r="D4" s="19" t="n">
        <v>5</v>
      </c>
      <c r="E4" s="19" t="n">
        <v>4</v>
      </c>
      <c r="F4" s="20">
        <f>IF(ISBLANK(E4),0,E4/D4*100)</f>
        <v/>
      </c>
    </row>
    <row r="5">
      <c r="A5" s="17" t="n">
        <v>46099</v>
      </c>
      <c r="B5" s="18" t="inlineStr">
        <is>
          <t>Wiederholung</t>
        </is>
      </c>
      <c r="C5" s="18" t="inlineStr">
        <is>
          <t>niedrig</t>
        </is>
      </c>
      <c r="D5" s="19" t="n">
        <v>2</v>
      </c>
      <c r="E5" s="19" t="n">
        <v>1.5</v>
      </c>
      <c r="F5" s="20">
        <f>IF(ISBLANK(E5),0,E5/D5*100)</f>
        <v/>
      </c>
    </row>
    <row r="6">
      <c r="A6" s="17" t="n">
        <v>46100</v>
      </c>
      <c r="B6" s="18" t="inlineStr">
        <is>
          <t>Mathe Übungen</t>
        </is>
      </c>
      <c r="C6" s="18" t="inlineStr">
        <is>
          <t>hoch</t>
        </is>
      </c>
      <c r="D6" s="19" t="n">
        <v>4</v>
      </c>
      <c r="E6" s="19" t="inlineStr"/>
      <c r="F6" s="20">
        <f>IF(ISBLANK(E6),0,E6/D6*100)</f>
        <v/>
      </c>
    </row>
    <row r="7">
      <c r="A7" s="17" t="n">
        <v>46101</v>
      </c>
      <c r="B7" s="18" t="inlineStr">
        <is>
          <t>Englisch Vokabeln</t>
        </is>
      </c>
      <c r="C7" s="18" t="inlineStr">
        <is>
          <t>mittel</t>
        </is>
      </c>
      <c r="D7" s="19" t="n">
        <v>2</v>
      </c>
      <c r="E7" s="19" t="inlineStr"/>
      <c r="F7" s="20">
        <f>IF(ISBLANK(E7),0,E7/D7*100)</f>
        <v/>
      </c>
    </row>
    <row r="8">
      <c r="A8" s="17" t="n">
        <v>46102</v>
      </c>
      <c r="B8" s="18" t="inlineStr">
        <is>
          <t>Praxisfälle</t>
        </is>
      </c>
      <c r="C8" s="18" t="inlineStr">
        <is>
          <t>hoch</t>
        </is>
      </c>
      <c r="D8" s="19" t="n">
        <v>5</v>
      </c>
      <c r="E8" s="19" t="inlineStr"/>
      <c r="F8" s="20">
        <f>IF(ISBLANK(E8),0,E8/D8*100)</f>
        <v/>
      </c>
    </row>
    <row r="9">
      <c r="A9" s="17" t="n">
        <v>46103</v>
      </c>
      <c r="B9" s="18" t="inlineStr">
        <is>
          <t>Zusammenfassung</t>
        </is>
      </c>
      <c r="C9" s="18" t="inlineStr">
        <is>
          <t>mittel</t>
        </is>
      </c>
      <c r="D9" s="19" t="n">
        <v>3</v>
      </c>
      <c r="E9" s="19" t="inlineStr"/>
      <c r="F9" s="20">
        <f>IF(ISBLANK(E9),0,E9/D9*100)</f>
        <v/>
      </c>
    </row>
    <row r="10">
      <c r="A10" s="17" t="n"/>
      <c r="B10" s="18" t="n"/>
      <c r="C10" s="18" t="n"/>
      <c r="D10" s="19" t="n"/>
      <c r="E10" s="19" t="n"/>
      <c r="F10" s="20">
        <f>IF(A10="","",IF(ISBLANK(E10),0,E10/D10*100))</f>
        <v/>
      </c>
    </row>
    <row r="11">
      <c r="A11" s="17" t="n"/>
      <c r="B11" s="18" t="n"/>
      <c r="C11" s="18" t="n"/>
      <c r="D11" s="19" t="n"/>
      <c r="E11" s="19" t="n"/>
      <c r="F11" s="20">
        <f>IF(A11="","",IF(ISBLANK(E11),0,E11/D11*100))</f>
        <v/>
      </c>
    </row>
    <row r="12">
      <c r="A12" s="17" t="n"/>
      <c r="B12" s="18" t="n"/>
      <c r="C12" s="18" t="n"/>
      <c r="D12" s="19" t="n"/>
      <c r="E12" s="19" t="n"/>
      <c r="F12" s="20">
        <f>IF(A12="","",IF(ISBLANK(E12),0,E12/D12*100))</f>
        <v/>
      </c>
    </row>
    <row r="13">
      <c r="A13" s="17" t="n"/>
      <c r="B13" s="18" t="n"/>
      <c r="C13" s="18" t="n"/>
      <c r="D13" s="19" t="n"/>
      <c r="E13" s="19" t="n"/>
      <c r="F13" s="20">
        <f>IF(A13="","",IF(ISBLANK(E13),0,E13/D13*100))</f>
        <v/>
      </c>
    </row>
    <row r="14">
      <c r="A14" s="17" t="n"/>
      <c r="B14" s="18" t="n"/>
      <c r="C14" s="18" t="n"/>
      <c r="D14" s="19" t="n"/>
      <c r="E14" s="19" t="n"/>
      <c r="F14" s="20">
        <f>IF(A14="","",IF(ISBLANK(E14),0,E14/D14*100))</f>
        <v/>
      </c>
    </row>
    <row r="15">
      <c r="A15" s="17" t="n"/>
      <c r="B15" s="18" t="n"/>
      <c r="C15" s="18" t="n"/>
      <c r="D15" s="19" t="n"/>
      <c r="E15" s="19" t="n"/>
      <c r="F15" s="20">
        <f>IF(A15="","",IF(ISBLANK(E15),0,E15/D15*100))</f>
        <v/>
      </c>
    </row>
    <row r="16">
      <c r="A16" s="17" t="n"/>
      <c r="B16" s="18" t="n"/>
      <c r="C16" s="18" t="n"/>
      <c r="D16" s="19" t="n"/>
      <c r="E16" s="19" t="n"/>
      <c r="F16" s="20">
        <f>IF(A16="","",IF(ISBLANK(E16),0,E16/D16*100))</f>
        <v/>
      </c>
    </row>
    <row r="17">
      <c r="A17" s="17" t="n"/>
      <c r="B17" s="18" t="n"/>
      <c r="C17" s="18" t="n"/>
      <c r="D17" s="19" t="n"/>
      <c r="E17" s="19" t="n"/>
      <c r="F17" s="20">
        <f>IF(A17="","",IF(ISBLANK(E17),0,E17/D17*100))</f>
        <v/>
      </c>
    </row>
    <row r="18">
      <c r="A18" s="17" t="n"/>
      <c r="B18" s="18" t="n"/>
      <c r="C18" s="18" t="n"/>
      <c r="D18" s="19" t="n"/>
      <c r="E18" s="19" t="n"/>
      <c r="F18" s="20">
        <f>IF(A18="","",IF(ISBLANK(E18),0,E18/D18*100))</f>
        <v/>
      </c>
    </row>
    <row r="19">
      <c r="A19" s="17" t="n"/>
      <c r="B19" s="18" t="n"/>
      <c r="C19" s="18" t="n"/>
      <c r="D19" s="19" t="n"/>
      <c r="E19" s="19" t="n"/>
      <c r="F19" s="20">
        <f>IF(A19="","",IF(ISBLANK(E19),0,E19/D19*100))</f>
        <v/>
      </c>
    </row>
    <row r="20">
      <c r="A20" s="17" t="n"/>
      <c r="B20" s="18" t="n"/>
      <c r="C20" s="18" t="n"/>
      <c r="D20" s="19" t="n"/>
      <c r="E20" s="19" t="n"/>
      <c r="F20" s="20">
        <f>IF(A20="","",IF(ISBLANK(E20),0,E20/D20*100))</f>
        <v/>
      </c>
    </row>
    <row r="21">
      <c r="A21" s="17" t="n"/>
      <c r="B21" s="18" t="n"/>
      <c r="C21" s="18" t="n"/>
      <c r="D21" s="19" t="n"/>
      <c r="E21" s="19" t="n"/>
      <c r="F21" s="20">
        <f>IF(A21="","",IF(ISBLANK(E21),0,E21/D21*100))</f>
        <v/>
      </c>
    </row>
    <row r="22">
      <c r="A22" s="17" t="n"/>
      <c r="B22" s="18" t="n"/>
      <c r="C22" s="18" t="n"/>
      <c r="D22" s="19" t="n"/>
      <c r="E22" s="19" t="n"/>
      <c r="F22" s="20">
        <f>IF(A22="","",IF(ISBLANK(E22),0,E22/D22*100))</f>
        <v/>
      </c>
    </row>
    <row r="23">
      <c r="A23" s="17" t="n"/>
      <c r="B23" s="18" t="n"/>
      <c r="C23" s="18" t="n"/>
      <c r="D23" s="19" t="n"/>
      <c r="E23" s="19" t="n"/>
      <c r="F23" s="20">
        <f>IF(A23="","",IF(ISBLANK(E23),0,E23/D23*100))</f>
        <v/>
      </c>
    </row>
    <row r="24">
      <c r="A24" s="17" t="n"/>
      <c r="B24" s="18" t="n"/>
      <c r="C24" s="18" t="n"/>
      <c r="D24" s="19" t="n"/>
      <c r="E24" s="19" t="n"/>
      <c r="F24" s="20">
        <f>IF(A24="","",IF(ISBLANK(E24),0,E24/D24*100))</f>
        <v/>
      </c>
    </row>
    <row r="25">
      <c r="A25" s="17" t="n"/>
      <c r="B25" s="18" t="n"/>
      <c r="C25" s="18" t="n"/>
      <c r="D25" s="19" t="n"/>
      <c r="E25" s="19" t="n"/>
      <c r="F25" s="20">
        <f>IF(A25="","",IF(ISBLANK(E25),0,E25/D25*100))</f>
        <v/>
      </c>
    </row>
    <row r="26">
      <c r="A26" s="17" t="n"/>
      <c r="B26" s="18" t="n"/>
      <c r="C26" s="18" t="n"/>
      <c r="D26" s="19" t="n"/>
      <c r="E26" s="19" t="n"/>
      <c r="F26" s="20">
        <f>IF(A26="","",IF(ISBLANK(E26),0,E26/D26*100))</f>
        <v/>
      </c>
    </row>
    <row r="27">
      <c r="A27" s="17" t="n"/>
      <c r="B27" s="18" t="n"/>
      <c r="C27" s="18" t="n"/>
      <c r="D27" s="19" t="n"/>
      <c r="E27" s="19" t="n"/>
      <c r="F27" s="20">
        <f>IF(A27="","",IF(ISBLANK(E27),0,E27/D27*100))</f>
        <v/>
      </c>
    </row>
    <row r="28">
      <c r="A28" s="17" t="n"/>
      <c r="B28" s="18" t="n"/>
      <c r="C28" s="18" t="n"/>
      <c r="D28" s="19" t="n"/>
      <c r="E28" s="19" t="n"/>
      <c r="F28" s="20">
        <f>IF(A28="","",IF(ISBLANK(E28),0,E28/D28*100))</f>
        <v/>
      </c>
    </row>
    <row r="29">
      <c r="A29" s="17" t="n"/>
      <c r="B29" s="18" t="n"/>
      <c r="C29" s="18" t="n"/>
      <c r="D29" s="19" t="n"/>
      <c r="E29" s="19" t="n"/>
      <c r="F29" s="20">
        <f>IF(A29="","",IF(ISBLANK(E29),0,E29/D29*100))</f>
        <v/>
      </c>
    </row>
    <row r="30">
      <c r="A30" s="17" t="n"/>
      <c r="B30" s="18" t="n"/>
      <c r="C30" s="18" t="n"/>
      <c r="D30" s="19" t="n"/>
      <c r="E30" s="19" t="n"/>
      <c r="F30" s="20">
        <f>IF(A30="","",IF(ISBLANK(E30),0,E30/D30*100))</f>
        <v/>
      </c>
    </row>
    <row r="31">
      <c r="A31" s="17" t="n"/>
      <c r="B31" s="18" t="n"/>
      <c r="C31" s="18" t="n"/>
      <c r="D31" s="19" t="n"/>
      <c r="E31" s="19" t="n"/>
      <c r="F31" s="20">
        <f>IF(A31="","",IF(ISBLANK(E31),0,E31/D31*100))</f>
        <v/>
      </c>
    </row>
    <row r="32">
      <c r="A32" s="17" t="n"/>
      <c r="B32" s="18" t="n"/>
      <c r="C32" s="18" t="n"/>
      <c r="D32" s="19" t="n"/>
      <c r="E32" s="19" t="n"/>
      <c r="F32" s="20">
        <f>IF(A32="","",IF(ISBLANK(E32),0,E32/D32*100))</f>
        <v/>
      </c>
    </row>
    <row r="33">
      <c r="A33" s="17" t="n"/>
      <c r="B33" s="18" t="n"/>
      <c r="C33" s="18" t="n"/>
      <c r="D33" s="19" t="n"/>
      <c r="E33" s="19" t="n"/>
      <c r="F33" s="20">
        <f>IF(A33="","",IF(ISBLANK(E33),0,E33/D33*100))</f>
        <v/>
      </c>
    </row>
    <row r="34">
      <c r="A34" s="17" t="n"/>
      <c r="B34" s="18" t="n"/>
      <c r="C34" s="18" t="n"/>
      <c r="D34" s="19" t="n"/>
      <c r="E34" s="19" t="n"/>
      <c r="F34" s="20">
        <f>IF(A34="","",IF(ISBLANK(E34),0,E34/D34*100))</f>
        <v/>
      </c>
    </row>
    <row r="35">
      <c r="A35" s="17" t="n"/>
      <c r="B35" s="18" t="n"/>
      <c r="C35" s="18" t="n"/>
      <c r="D35" s="19" t="n"/>
      <c r="E35" s="19" t="n"/>
      <c r="F35" s="20">
        <f>IF(A35="","",IF(ISBLANK(E35),0,E35/D35*100))</f>
        <v/>
      </c>
    </row>
    <row r="36">
      <c r="A36" s="17" t="n"/>
      <c r="B36" s="18" t="n"/>
      <c r="C36" s="18" t="n"/>
      <c r="D36" s="19" t="n"/>
      <c r="E36" s="19" t="n"/>
      <c r="F36" s="20">
        <f>IF(A36="","",IF(ISBLANK(E36),0,E36/D36*100))</f>
        <v/>
      </c>
    </row>
    <row r="37">
      <c r="A37" s="17" t="n"/>
      <c r="B37" s="18" t="n"/>
      <c r="C37" s="18" t="n"/>
      <c r="D37" s="19" t="n"/>
      <c r="E37" s="19" t="n"/>
      <c r="F37" s="20">
        <f>IF(A37="","",IF(ISBLANK(E37),0,E37/D37*100))</f>
        <v/>
      </c>
    </row>
    <row r="38">
      <c r="A38" s="17" t="n"/>
      <c r="B38" s="18" t="n"/>
      <c r="C38" s="18" t="n"/>
      <c r="D38" s="19" t="n"/>
      <c r="E38" s="19" t="n"/>
      <c r="F38" s="20">
        <f>IF(A38="","",IF(ISBLANK(E38),0,E38/D38*100))</f>
        <v/>
      </c>
    </row>
    <row r="39">
      <c r="A39" s="17" t="n"/>
      <c r="B39" s="18" t="n"/>
      <c r="C39" s="18" t="n"/>
      <c r="D39" s="19" t="n"/>
      <c r="E39" s="19" t="n"/>
      <c r="F39" s="20">
        <f>IF(A39="","",IF(ISBLANK(E39),0,E39/D39*100))</f>
        <v/>
      </c>
    </row>
    <row r="40">
      <c r="A40" s="17" t="n"/>
      <c r="B40" s="18" t="n"/>
      <c r="C40" s="18" t="n"/>
      <c r="D40" s="19" t="n"/>
      <c r="E40" s="19" t="n"/>
      <c r="F40" s="20">
        <f>IF(A40="","",IF(ISBLANK(E40),0,E40/D40*100))</f>
        <v/>
      </c>
    </row>
    <row r="41">
      <c r="A41" s="17" t="n"/>
      <c r="B41" s="18" t="n"/>
      <c r="C41" s="18" t="n"/>
      <c r="D41" s="19" t="n"/>
      <c r="E41" s="19" t="n"/>
      <c r="F41" s="20">
        <f>IF(A41="","",IF(ISBLANK(E41),0,E41/D41*100))</f>
        <v/>
      </c>
    </row>
    <row r="42">
      <c r="A42" s="17" t="n"/>
      <c r="B42" s="18" t="n"/>
      <c r="C42" s="18" t="n"/>
      <c r="D42" s="19" t="n"/>
      <c r="E42" s="19" t="n"/>
      <c r="F42" s="20">
        <f>IF(A42="","",IF(ISBLANK(E42),0,E42/D42*100))</f>
        <v/>
      </c>
    </row>
    <row r="43">
      <c r="A43" s="17" t="n"/>
      <c r="B43" s="18" t="n"/>
      <c r="C43" s="18" t="n"/>
      <c r="D43" s="19" t="n"/>
      <c r="E43" s="19" t="n"/>
      <c r="F43" s="20">
        <f>IF(A43="","",IF(ISBLANK(E43),0,E43/D43*100))</f>
        <v/>
      </c>
    </row>
    <row r="44">
      <c r="A44" s="17" t="n"/>
      <c r="B44" s="18" t="n"/>
      <c r="C44" s="18" t="n"/>
      <c r="D44" s="19" t="n"/>
      <c r="E44" s="19" t="n"/>
      <c r="F44" s="20">
        <f>IF(A44="","",IF(ISBLANK(E44),0,E44/D44*100))</f>
        <v/>
      </c>
    </row>
    <row r="45">
      <c r="A45" s="17" t="n"/>
      <c r="B45" s="18" t="n"/>
      <c r="C45" s="18" t="n"/>
      <c r="D45" s="19" t="n"/>
      <c r="E45" s="19" t="n"/>
      <c r="F45" s="20">
        <f>IF(A45="","",IF(ISBLANK(E45),0,E45/D45*100))</f>
        <v/>
      </c>
    </row>
    <row r="46">
      <c r="A46" s="17" t="n"/>
      <c r="B46" s="18" t="n"/>
      <c r="C46" s="18" t="n"/>
      <c r="D46" s="19" t="n"/>
      <c r="E46" s="19" t="n"/>
      <c r="F46" s="20">
        <f>IF(A46="","",IF(ISBLANK(E46),0,E46/D46*100))</f>
        <v/>
      </c>
    </row>
    <row r="47">
      <c r="A47" s="17" t="n"/>
      <c r="B47" s="18" t="n"/>
      <c r="C47" s="18" t="n"/>
      <c r="D47" s="19" t="n"/>
      <c r="E47" s="19" t="n"/>
      <c r="F47" s="20">
        <f>IF(A47="","",IF(ISBLANK(E47),0,E47/D47*100))</f>
        <v/>
      </c>
    </row>
    <row r="48">
      <c r="A48" s="17" t="n"/>
      <c r="B48" s="18" t="n"/>
      <c r="C48" s="18" t="n"/>
      <c r="D48" s="19" t="n"/>
      <c r="E48" s="19" t="n"/>
      <c r="F48" s="20">
        <f>IF(A48="","",IF(ISBLANK(E48),0,E48/D48*100))</f>
        <v/>
      </c>
    </row>
    <row r="49">
      <c r="A49" s="17" t="n"/>
      <c r="B49" s="18" t="n"/>
      <c r="C49" s="18" t="n"/>
      <c r="D49" s="19" t="n"/>
      <c r="E49" s="19" t="n"/>
      <c r="F49" s="20">
        <f>IF(A49="","",IF(ISBLANK(E49),0,E49/D49*100))</f>
        <v/>
      </c>
    </row>
    <row r="50">
      <c r="A50" s="17" t="n"/>
      <c r="B50" s="18" t="n"/>
      <c r="C50" s="18" t="n"/>
      <c r="D50" s="19" t="n"/>
      <c r="E50" s="19" t="n"/>
      <c r="F50" s="20">
        <f>IF(A50="","",IF(ISBLANK(E50),0,E50/D50*100))</f>
        <v/>
      </c>
    </row>
    <row r="51">
      <c r="A51" s="17" t="n"/>
      <c r="B51" s="18" t="n"/>
      <c r="C51" s="18" t="n"/>
      <c r="D51" s="19" t="n"/>
      <c r="E51" s="19" t="n"/>
      <c r="F51" s="20">
        <f>IF(A51="","",IF(ISBLANK(E51),0,E51/D51*100))</f>
        <v/>
      </c>
    </row>
    <row r="52">
      <c r="A52" s="17" t="n"/>
      <c r="B52" s="18" t="n"/>
      <c r="C52" s="18" t="n"/>
      <c r="D52" s="19" t="n"/>
      <c r="E52" s="19" t="n"/>
      <c r="F52" s="20">
        <f>IF(A52="","",IF(ISBLANK(E52),0,E52/D52*100))</f>
        <v/>
      </c>
    </row>
    <row r="53">
      <c r="A53" s="17" t="n"/>
      <c r="B53" s="18" t="n"/>
      <c r="C53" s="18" t="n"/>
      <c r="D53" s="19" t="n"/>
      <c r="E53" s="19" t="n"/>
      <c r="F53" s="20">
        <f>IF(A53="","",IF(ISBLANK(E53),0,E53/D53*100))</f>
        <v/>
      </c>
    </row>
    <row r="54">
      <c r="A54" s="17" t="n"/>
      <c r="B54" s="18" t="n"/>
      <c r="C54" s="18" t="n"/>
      <c r="D54" s="19" t="n"/>
      <c r="E54" s="19" t="n"/>
      <c r="F54" s="20">
        <f>IF(A54="","",IF(ISBLANK(E54),0,E54/D54*100))</f>
        <v/>
      </c>
    </row>
    <row r="55">
      <c r="A55" s="17" t="n"/>
      <c r="B55" s="18" t="n"/>
      <c r="C55" s="18" t="n"/>
      <c r="D55" s="19" t="n"/>
      <c r="E55" s="19" t="n"/>
      <c r="F55" s="20">
        <f>IF(A55="","",IF(ISBLANK(E55),0,E55/D55*100))</f>
        <v/>
      </c>
    </row>
    <row r="56">
      <c r="A56" s="17" t="n"/>
      <c r="B56" s="18" t="n"/>
      <c r="C56" s="18" t="n"/>
      <c r="D56" s="19" t="n"/>
      <c r="E56" s="19" t="n"/>
      <c r="F56" s="20">
        <f>IF(A56="","",IF(ISBLANK(E56),0,E56/D56*100))</f>
        <v/>
      </c>
    </row>
    <row r="57">
      <c r="A57" s="17" t="n"/>
      <c r="B57" s="18" t="n"/>
      <c r="C57" s="18" t="n"/>
      <c r="D57" s="19" t="n"/>
      <c r="E57" s="19" t="n"/>
      <c r="F57" s="20">
        <f>IF(A57="","",IF(ISBLANK(E57),0,E57/D57*100))</f>
        <v/>
      </c>
    </row>
    <row r="58">
      <c r="A58" s="17" t="n"/>
      <c r="B58" s="18" t="n"/>
      <c r="C58" s="18" t="n"/>
      <c r="D58" s="19" t="n"/>
      <c r="E58" s="19" t="n"/>
      <c r="F58" s="20">
        <f>IF(A58="","",IF(ISBLANK(E58),0,E58/D58*100))</f>
        <v/>
      </c>
    </row>
    <row r="59">
      <c r="A59" s="17" t="n"/>
      <c r="B59" s="18" t="n"/>
      <c r="C59" s="18" t="n"/>
      <c r="D59" s="19" t="n"/>
      <c r="E59" s="19" t="n"/>
      <c r="F59" s="20">
        <f>IF(A59="","",IF(ISBLANK(E59),0,E59/D59*100))</f>
        <v/>
      </c>
    </row>
    <row r="60">
      <c r="A60" s="17" t="n"/>
      <c r="B60" s="18" t="n"/>
      <c r="C60" s="18" t="n"/>
      <c r="D60" s="19" t="n"/>
      <c r="E60" s="19" t="n"/>
      <c r="F60" s="20">
        <f>IF(A60="","",IF(ISBLANK(E60),0,E60/D60*100))</f>
        <v/>
      </c>
    </row>
    <row r="61">
      <c r="A61" s="17" t="n"/>
      <c r="B61" s="18" t="n"/>
      <c r="C61" s="18" t="n"/>
      <c r="D61" s="19" t="n"/>
      <c r="E61" s="19" t="n"/>
      <c r="F61" s="20">
        <f>IF(A61="","",IF(ISBLANK(E61),0,E61/D61*100))</f>
        <v/>
      </c>
    </row>
    <row r="62">
      <c r="A62" s="17" t="n"/>
      <c r="B62" s="18" t="n"/>
      <c r="C62" s="18" t="n"/>
      <c r="D62" s="19" t="n"/>
      <c r="E62" s="19" t="n"/>
      <c r="F62" s="20">
        <f>IF(A62="","",IF(ISBLANK(E62),0,E62/D62*100))</f>
        <v/>
      </c>
    </row>
    <row r="63">
      <c r="A63" s="17" t="n"/>
      <c r="B63" s="18" t="n"/>
      <c r="C63" s="18" t="n"/>
      <c r="D63" s="19" t="n"/>
      <c r="E63" s="19" t="n"/>
      <c r="F63" s="20">
        <f>IF(A63="","",IF(ISBLANK(E63),0,E63/D63*100))</f>
        <v/>
      </c>
    </row>
    <row r="64">
      <c r="A64" s="17" t="n"/>
      <c r="B64" s="18" t="n"/>
      <c r="C64" s="18" t="n"/>
      <c r="D64" s="19" t="n"/>
      <c r="E64" s="19" t="n"/>
      <c r="F64" s="20">
        <f>IF(A64="","",IF(ISBLANK(E64),0,E64/D64*100))</f>
        <v/>
      </c>
    </row>
    <row r="65">
      <c r="A65" s="17" t="n"/>
      <c r="B65" s="18" t="n"/>
      <c r="C65" s="18" t="n"/>
      <c r="D65" s="19" t="n"/>
      <c r="E65" s="19" t="n"/>
      <c r="F65" s="20">
        <f>IF(A65="","",IF(ISBLANK(E65),0,E65/D65*100))</f>
        <v/>
      </c>
    </row>
    <row r="66">
      <c r="A66" s="17" t="n"/>
      <c r="B66" s="18" t="n"/>
      <c r="C66" s="18" t="n"/>
      <c r="D66" s="19" t="n"/>
      <c r="E66" s="19" t="n"/>
      <c r="F66" s="20">
        <f>IF(A66="","",IF(ISBLANK(E66),0,E66/D66*100))</f>
        <v/>
      </c>
    </row>
    <row r="67">
      <c r="A67" s="17" t="n"/>
      <c r="B67" s="18" t="n"/>
      <c r="C67" s="18" t="n"/>
      <c r="D67" s="19" t="n"/>
      <c r="E67" s="19" t="n"/>
      <c r="F67" s="20">
        <f>IF(A67="","",IF(ISBLANK(E67),0,E67/D67*100))</f>
        <v/>
      </c>
    </row>
    <row r="68">
      <c r="A68" s="17" t="n"/>
      <c r="B68" s="18" t="n"/>
      <c r="C68" s="18" t="n"/>
      <c r="D68" s="19" t="n"/>
      <c r="E68" s="19" t="n"/>
      <c r="F68" s="20">
        <f>IF(A68="","",IF(ISBLANK(E68),0,E68/D68*100))</f>
        <v/>
      </c>
    </row>
    <row r="69">
      <c r="A69" s="17" t="n"/>
      <c r="B69" s="18" t="n"/>
      <c r="C69" s="18" t="n"/>
      <c r="D69" s="19" t="n"/>
      <c r="E69" s="19" t="n"/>
      <c r="F69" s="20">
        <f>IF(A69="","",IF(ISBLANK(E69),0,E69/D69*100))</f>
        <v/>
      </c>
    </row>
  </sheetData>
  <conditionalFormatting sqref="F2:F69">
    <cfRule type="dataBar" priority="1">
      <dataBar>
        <cfvo type="num" val="0"/>
        <cfvo type="num" val="1"/>
        <color rgb="005FB38F"/>
      </dataBar>
    </cfRule>
  </conditionalFormatting>
  <dataValidations count="1">
    <dataValidation sqref="C2:C69" showDropDown="0" showInputMessage="0" showErrorMessage="0" allowBlank="1" type="list">
      <formula1>"hoch,mittel,niedrig"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13" customWidth="1" min="5" max="5"/>
    <col width="40" customWidth="1" min="6" max="6"/>
  </cols>
  <sheetData>
    <row r="1" ht="32" customHeight="1">
      <c r="A1" s="16" t="inlineStr">
        <is>
          <t>Datum</t>
        </is>
      </c>
      <c r="B1" s="16" t="inlineStr">
        <is>
          <t>Fach</t>
        </is>
      </c>
      <c r="C1" s="16" t="inlineStr">
        <is>
          <t>Art</t>
        </is>
      </c>
      <c r="D1" s="16" t="inlineStr">
        <is>
          <t>Ort</t>
        </is>
      </c>
      <c r="E1" s="16" t="inlineStr">
        <is>
          <t>Gewichtung</t>
        </is>
      </c>
      <c r="F1" s="16" t="inlineStr">
        <is>
          <t>Tage bis Prüfung</t>
        </is>
      </c>
    </row>
    <row r="2">
      <c r="A2" s="17" t="n">
        <v>46117</v>
      </c>
      <c r="B2" s="18" t="inlineStr">
        <is>
          <t>Statistik</t>
        </is>
      </c>
      <c r="C2" s="18" t="inlineStr">
        <is>
          <t>Klausur</t>
        </is>
      </c>
      <c r="D2" s="18" t="inlineStr">
        <is>
          <t>HS 3</t>
        </is>
      </c>
      <c r="E2" s="21" t="n">
        <v>30</v>
      </c>
      <c r="F2" s="22">
        <f>IF(ISBLANK(A2),0,A2-TODAY())</f>
        <v/>
      </c>
    </row>
    <row r="3">
      <c r="A3" s="17" t="n">
        <v>46124</v>
      </c>
      <c r="B3" s="18" t="inlineStr">
        <is>
          <t>BWL</t>
        </is>
      </c>
      <c r="C3" s="18" t="inlineStr">
        <is>
          <t>mündlich</t>
        </is>
      </c>
      <c r="D3" s="18" t="inlineStr">
        <is>
          <t>Raum 204</t>
        </is>
      </c>
      <c r="E3" s="21" t="n">
        <v>20</v>
      </c>
      <c r="F3" s="22">
        <f>IF(ISBLANK(A3),0,A3-TODAY())</f>
        <v/>
      </c>
    </row>
    <row r="4">
      <c r="A4" s="17" t="n">
        <v>46131</v>
      </c>
      <c r="B4" s="18" t="inlineStr">
        <is>
          <t>VWL</t>
        </is>
      </c>
      <c r="C4" s="18" t="inlineStr">
        <is>
          <t>Hausarbeit</t>
        </is>
      </c>
      <c r="D4" s="18" t="inlineStr">
        <is>
          <t>Einreichung</t>
        </is>
      </c>
      <c r="E4" s="21" t="n">
        <v>25</v>
      </c>
      <c r="F4" s="22">
        <f>IF(ISBLANK(A4),0,A4-TODAY())</f>
        <v/>
      </c>
    </row>
    <row r="5">
      <c r="A5" s="17" t="n">
        <v>46138</v>
      </c>
      <c r="B5" s="18" t="inlineStr">
        <is>
          <t>Englisch</t>
        </is>
      </c>
      <c r="C5" s="18" t="inlineStr">
        <is>
          <t>Test</t>
        </is>
      </c>
      <c r="D5" s="18" t="inlineStr">
        <is>
          <t>Sprachlabor</t>
        </is>
      </c>
      <c r="E5" s="21" t="n">
        <v>15</v>
      </c>
      <c r="F5" s="22">
        <f>IF(ISBLANK(A5),0,A5-TODAY())</f>
        <v/>
      </c>
    </row>
    <row r="6">
      <c r="A6" s="17" t="n">
        <v>46145</v>
      </c>
      <c r="B6" s="18" t="inlineStr">
        <is>
          <t>Mathe</t>
        </is>
      </c>
      <c r="C6" s="18" t="inlineStr">
        <is>
          <t>Klausur</t>
        </is>
      </c>
      <c r="D6" s="18" t="inlineStr">
        <is>
          <t>HS 1</t>
        </is>
      </c>
      <c r="E6" s="21" t="n">
        <v>35</v>
      </c>
      <c r="F6" s="22">
        <f>IF(ISBLANK(A6),0,A6-TODAY())</f>
        <v/>
      </c>
    </row>
    <row r="7">
      <c r="A7" s="17" t="n"/>
      <c r="B7" s="18" t="n"/>
      <c r="C7" s="18" t="n"/>
      <c r="D7" s="18" t="n"/>
      <c r="E7" s="21" t="n"/>
      <c r="F7" s="22">
        <f>IF(A7="","",IF(ISBLANK(A7),0,A7-TODAY()))</f>
        <v/>
      </c>
    </row>
    <row r="8">
      <c r="A8" s="17" t="n"/>
      <c r="B8" s="18" t="n"/>
      <c r="C8" s="18" t="n"/>
      <c r="D8" s="18" t="n"/>
      <c r="E8" s="21" t="n"/>
      <c r="F8" s="22">
        <f>IF(A8="","",IF(ISBLANK(A8),0,A8-TODAY()))</f>
        <v/>
      </c>
    </row>
    <row r="9">
      <c r="A9" s="17" t="n"/>
      <c r="B9" s="18" t="n"/>
      <c r="C9" s="18" t="n"/>
      <c r="D9" s="18" t="n"/>
      <c r="E9" s="21" t="n"/>
      <c r="F9" s="22">
        <f>IF(A9="","",IF(ISBLANK(A9),0,A9-TODAY()))</f>
        <v/>
      </c>
    </row>
    <row r="10">
      <c r="A10" s="17" t="n"/>
      <c r="B10" s="18" t="n"/>
      <c r="C10" s="18" t="n"/>
      <c r="D10" s="18" t="n"/>
      <c r="E10" s="21" t="n"/>
      <c r="F10" s="22">
        <f>IF(A10="","",IF(ISBLANK(A10),0,A10-TODAY()))</f>
        <v/>
      </c>
    </row>
    <row r="11">
      <c r="A11" s="17" t="n"/>
      <c r="B11" s="18" t="n"/>
      <c r="C11" s="18" t="n"/>
      <c r="D11" s="18" t="n"/>
      <c r="E11" s="21" t="n"/>
      <c r="F11" s="22">
        <f>IF(A11="","",IF(ISBLANK(A11),0,A11-TODAY()))</f>
        <v/>
      </c>
    </row>
    <row r="12">
      <c r="A12" s="17" t="n"/>
      <c r="B12" s="18" t="n"/>
      <c r="C12" s="18" t="n"/>
      <c r="D12" s="18" t="n"/>
      <c r="E12" s="21" t="n"/>
      <c r="F12" s="22">
        <f>IF(A12="","",IF(ISBLANK(A12),0,A12-TODAY()))</f>
        <v/>
      </c>
    </row>
    <row r="13">
      <c r="A13" s="17" t="n"/>
      <c r="B13" s="18" t="n"/>
      <c r="C13" s="18" t="n"/>
      <c r="D13" s="18" t="n"/>
      <c r="E13" s="21" t="n"/>
      <c r="F13" s="22">
        <f>IF(A13="","",IF(ISBLANK(A13),0,A13-TODAY()))</f>
        <v/>
      </c>
    </row>
    <row r="14">
      <c r="A14" s="17" t="n"/>
      <c r="B14" s="18" t="n"/>
      <c r="C14" s="18" t="n"/>
      <c r="D14" s="18" t="n"/>
      <c r="E14" s="21" t="n"/>
      <c r="F14" s="22">
        <f>IF(A14="","",IF(ISBLANK(A14),0,A14-TODAY()))</f>
        <v/>
      </c>
    </row>
    <row r="15">
      <c r="A15" s="17" t="n"/>
      <c r="B15" s="18" t="n"/>
      <c r="C15" s="18" t="n"/>
      <c r="D15" s="18" t="n"/>
      <c r="E15" s="21" t="n"/>
      <c r="F15" s="22">
        <f>IF(A15="","",IF(ISBLANK(A15),0,A15-TODAY()))</f>
        <v/>
      </c>
    </row>
    <row r="16">
      <c r="A16" s="17" t="n"/>
      <c r="B16" s="18" t="n"/>
      <c r="C16" s="18" t="n"/>
      <c r="D16" s="18" t="n"/>
      <c r="E16" s="21" t="n"/>
      <c r="F16" s="22">
        <f>IF(A16="","",IF(ISBLANK(A16),0,A16-TODAY()))</f>
        <v/>
      </c>
    </row>
    <row r="17">
      <c r="A17" s="17" t="n"/>
      <c r="B17" s="18" t="n"/>
      <c r="C17" s="18" t="n"/>
      <c r="D17" s="18" t="n"/>
      <c r="E17" s="21" t="n"/>
      <c r="F17" s="22">
        <f>IF(A17="","",IF(ISBLANK(A17),0,A17-TODAY()))</f>
        <v/>
      </c>
    </row>
    <row r="18">
      <c r="A18" s="17" t="n"/>
      <c r="B18" s="18" t="n"/>
      <c r="C18" s="18" t="n"/>
      <c r="D18" s="18" t="n"/>
      <c r="E18" s="21" t="n"/>
      <c r="F18" s="22">
        <f>IF(A18="","",IF(ISBLANK(A18),0,A18-TODAY()))</f>
        <v/>
      </c>
    </row>
    <row r="19">
      <c r="A19" s="17" t="n"/>
      <c r="B19" s="18" t="n"/>
      <c r="C19" s="18" t="n"/>
      <c r="D19" s="18" t="n"/>
      <c r="E19" s="21" t="n"/>
      <c r="F19" s="22">
        <f>IF(A19="","",IF(ISBLANK(A19),0,A19-TODAY()))</f>
        <v/>
      </c>
    </row>
    <row r="20">
      <c r="A20" s="17" t="n"/>
      <c r="B20" s="18" t="n"/>
      <c r="C20" s="18" t="n"/>
      <c r="D20" s="18" t="n"/>
      <c r="E20" s="21" t="n"/>
      <c r="F20" s="22">
        <f>IF(A20="","",IF(ISBLANK(A20),0,A20-TODAY()))</f>
        <v/>
      </c>
    </row>
    <row r="21">
      <c r="A21" s="17" t="n"/>
      <c r="B21" s="18" t="n"/>
      <c r="C21" s="18" t="n"/>
      <c r="D21" s="18" t="n"/>
      <c r="E21" s="21" t="n"/>
      <c r="F21" s="22">
        <f>IF(A21="","",IF(ISBLANK(A21),0,A21-TODAY()))</f>
        <v/>
      </c>
    </row>
    <row r="22">
      <c r="A22" s="17" t="n"/>
      <c r="B22" s="18" t="n"/>
      <c r="C22" s="18" t="n"/>
      <c r="D22" s="18" t="n"/>
      <c r="E22" s="21" t="n"/>
      <c r="F22" s="22">
        <f>IF(A22="","",IF(ISBLANK(A22),0,A22-TODAY()))</f>
        <v/>
      </c>
    </row>
    <row r="23">
      <c r="A23" s="17" t="n"/>
      <c r="B23" s="18" t="n"/>
      <c r="C23" s="18" t="n"/>
      <c r="D23" s="18" t="n"/>
      <c r="E23" s="21" t="n"/>
      <c r="F23" s="22">
        <f>IF(A23="","",IF(ISBLANK(A23),0,A23-TODAY()))</f>
        <v/>
      </c>
    </row>
    <row r="24">
      <c r="A24" s="17" t="n"/>
      <c r="B24" s="18" t="n"/>
      <c r="C24" s="18" t="n"/>
      <c r="D24" s="18" t="n"/>
      <c r="E24" s="21" t="n"/>
      <c r="F24" s="22">
        <f>IF(A24="","",IF(ISBLANK(A24),0,A24-TODAY()))</f>
        <v/>
      </c>
    </row>
    <row r="25">
      <c r="A25" s="17" t="n"/>
      <c r="B25" s="18" t="n"/>
      <c r="C25" s="18" t="n"/>
      <c r="D25" s="18" t="n"/>
      <c r="E25" s="21" t="n"/>
      <c r="F25" s="22">
        <f>IF(A25="","",IF(ISBLANK(A25),0,A25-TODAY()))</f>
        <v/>
      </c>
    </row>
    <row r="26">
      <c r="A26" s="17" t="n"/>
      <c r="B26" s="18" t="n"/>
      <c r="C26" s="18" t="n"/>
      <c r="D26" s="18" t="n"/>
      <c r="E26" s="21" t="n"/>
      <c r="F26" s="22">
        <f>IF(A26="","",IF(ISBLANK(A26),0,A26-TODAY()))</f>
        <v/>
      </c>
    </row>
  </sheetData>
  <conditionalFormatting sqref="E2:E26">
    <cfRule type="dataBar" priority="1">
      <dataBar>
        <cfvo type="num" val="0"/>
        <cfvo type="num" val="1"/>
        <color rgb="005FB38F"/>
      </dataBar>
    </cfRule>
  </conditionalFormatting>
  <dataValidations count="1">
    <dataValidation sqref="C2:C26" showDropDown="0" showInputMessage="0" showErrorMessage="0" allowBlank="1" type="list">
      <formula1>"Klausur,mündlich,Hausarbeit,Test,Projekt"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7" customWidth="1" min="4" max="4"/>
  </cols>
  <sheetData>
    <row r="1" ht="32" customHeight="1">
      <c r="A1" s="16" t="inlineStr">
        <is>
          <t>Datum</t>
        </is>
      </c>
      <c r="B1" s="16" t="inlineStr">
        <is>
          <t>Pausen</t>
        </is>
      </c>
      <c r="C1" s="16" t="inlineStr">
        <is>
          <t>Motivation (1-10)</t>
        </is>
      </c>
      <c r="D1" s="16" t="inlineStr">
        <is>
          <t>Bemerkungen</t>
        </is>
      </c>
    </row>
    <row r="2">
      <c r="A2" s="17" t="n">
        <v>46096</v>
      </c>
      <c r="B2" s="19" t="n">
        <v>0.5</v>
      </c>
      <c r="C2" s="23" t="n">
        <v>8</v>
      </c>
      <c r="D2" s="18" t="inlineStr">
        <is>
          <t>guter Tag</t>
        </is>
      </c>
    </row>
    <row r="3">
      <c r="A3" s="17" t="n">
        <v>46097</v>
      </c>
      <c r="B3" s="19" t="n">
        <v>0.75</v>
      </c>
      <c r="C3" s="23" t="n">
        <v>7</v>
      </c>
      <c r="D3" s="18" t="inlineStr">
        <is>
          <t>konzentriert</t>
        </is>
      </c>
    </row>
    <row r="4">
      <c r="A4" s="17" t="n">
        <v>46098</v>
      </c>
      <c r="B4" s="19" t="n">
        <v>1</v>
      </c>
      <c r="C4" s="23" t="n">
        <v>6</v>
      </c>
      <c r="D4" s="18" t="inlineStr">
        <is>
          <t>etwas müde</t>
        </is>
      </c>
    </row>
    <row r="5">
      <c r="A5" s="17" t="n">
        <v>46099</v>
      </c>
      <c r="B5" s="19" t="n">
        <v>0.5</v>
      </c>
      <c r="C5" s="23" t="n">
        <v>9</v>
      </c>
      <c r="D5" s="18" t="inlineStr">
        <is>
          <t>sehr produktiv</t>
        </is>
      </c>
    </row>
    <row r="6">
      <c r="A6" s="17" t="n"/>
      <c r="B6" s="19" t="n"/>
      <c r="C6" s="23" t="n"/>
      <c r="D6" s="18" t="n"/>
    </row>
    <row r="7">
      <c r="A7" s="17" t="n"/>
      <c r="B7" s="19" t="n"/>
      <c r="C7" s="23" t="n"/>
      <c r="D7" s="18" t="n"/>
    </row>
    <row r="8">
      <c r="A8" s="17" t="n"/>
      <c r="B8" s="19" t="n"/>
      <c r="C8" s="23" t="n"/>
      <c r="D8" s="18" t="n"/>
    </row>
    <row r="9">
      <c r="A9" s="17" t="n"/>
      <c r="B9" s="19" t="n"/>
      <c r="C9" s="23" t="n"/>
      <c r="D9" s="18" t="n"/>
    </row>
    <row r="10">
      <c r="A10" s="17" t="n"/>
      <c r="B10" s="19" t="n"/>
      <c r="C10" s="23" t="n"/>
      <c r="D10" s="18" t="n"/>
    </row>
    <row r="11">
      <c r="A11" s="17" t="n"/>
      <c r="B11" s="19" t="n"/>
      <c r="C11" s="23" t="n"/>
      <c r="D11" s="18" t="n"/>
    </row>
    <row r="12">
      <c r="A12" s="17" t="n"/>
      <c r="B12" s="19" t="n"/>
      <c r="C12" s="23" t="n"/>
      <c r="D12" s="18" t="n"/>
    </row>
    <row r="13">
      <c r="A13" s="17" t="n"/>
      <c r="B13" s="19" t="n"/>
      <c r="C13" s="23" t="n"/>
      <c r="D13" s="18" t="n"/>
    </row>
    <row r="14">
      <c r="A14" s="17" t="n"/>
      <c r="B14" s="19" t="n"/>
      <c r="C14" s="23" t="n"/>
      <c r="D14" s="18" t="n"/>
    </row>
    <row r="15">
      <c r="A15" s="17" t="n"/>
      <c r="B15" s="19" t="n"/>
      <c r="C15" s="23" t="n"/>
      <c r="D15" s="18" t="n"/>
    </row>
    <row r="16">
      <c r="A16" s="17" t="n"/>
      <c r="B16" s="19" t="n"/>
      <c r="C16" s="23" t="n"/>
      <c r="D16" s="18" t="n"/>
    </row>
    <row r="17">
      <c r="A17" s="17" t="n"/>
      <c r="B17" s="19" t="n"/>
      <c r="C17" s="23" t="n"/>
      <c r="D17" s="18" t="n"/>
    </row>
    <row r="18">
      <c r="A18" s="17" t="n"/>
      <c r="B18" s="19" t="n"/>
      <c r="C18" s="23" t="n"/>
      <c r="D18" s="18" t="n"/>
    </row>
    <row r="19">
      <c r="A19" s="17" t="n"/>
      <c r="B19" s="19" t="n"/>
      <c r="C19" s="23" t="n"/>
      <c r="D19" s="18" t="n"/>
    </row>
    <row r="20">
      <c r="A20" s="17" t="n"/>
      <c r="B20" s="19" t="n"/>
      <c r="C20" s="23" t="n"/>
      <c r="D20" s="18" t="n"/>
    </row>
    <row r="21">
      <c r="A21" s="17" t="n"/>
      <c r="B21" s="19" t="n"/>
      <c r="C21" s="23" t="n"/>
      <c r="D21" s="18" t="n"/>
    </row>
    <row r="22">
      <c r="A22" s="17" t="n"/>
      <c r="B22" s="19" t="n"/>
      <c r="C22" s="23" t="n"/>
      <c r="D22" s="18" t="n"/>
    </row>
    <row r="23">
      <c r="A23" s="17" t="n"/>
      <c r="B23" s="19" t="n"/>
      <c r="C23" s="23" t="n"/>
      <c r="D23" s="18" t="n"/>
    </row>
    <row r="24">
      <c r="A24" s="17" t="n"/>
      <c r="B24" s="19" t="n"/>
      <c r="C24" s="23" t="n"/>
      <c r="D24" s="18" t="n"/>
    </row>
    <row r="25">
      <c r="A25" s="17" t="n"/>
      <c r="B25" s="19" t="n"/>
      <c r="C25" s="23" t="n"/>
      <c r="D25" s="18" t="n"/>
    </row>
    <row r="26">
      <c r="A26" s="17" t="n"/>
      <c r="B26" s="19" t="n"/>
      <c r="C26" s="23" t="n"/>
      <c r="D26" s="18" t="n"/>
    </row>
    <row r="27">
      <c r="A27" s="17" t="n"/>
      <c r="B27" s="19" t="n"/>
      <c r="C27" s="23" t="n"/>
      <c r="D27" s="18" t="n"/>
    </row>
    <row r="28">
      <c r="A28" s="17" t="n"/>
      <c r="B28" s="19" t="n"/>
      <c r="C28" s="23" t="n"/>
      <c r="D28" s="18" t="n"/>
    </row>
    <row r="29">
      <c r="A29" s="17" t="n"/>
      <c r="B29" s="19" t="n"/>
      <c r="C29" s="23" t="n"/>
      <c r="D29" s="18" t="n"/>
    </row>
    <row r="30">
      <c r="A30" s="17" t="n"/>
      <c r="B30" s="19" t="n"/>
      <c r="C30" s="23" t="n"/>
      <c r="D30" s="18" t="n"/>
    </row>
    <row r="31">
      <c r="A31" s="17" t="n"/>
      <c r="B31" s="19" t="n"/>
      <c r="C31" s="23" t="n"/>
      <c r="D31" s="18" t="n"/>
    </row>
    <row r="32">
      <c r="A32" s="17" t="n"/>
      <c r="B32" s="19" t="n"/>
      <c r="C32" s="23" t="n"/>
      <c r="D32" s="18" t="n"/>
    </row>
    <row r="33">
      <c r="A33" s="17" t="n"/>
      <c r="B33" s="19" t="n"/>
      <c r="C33" s="23" t="n"/>
      <c r="D33" s="18" t="n"/>
    </row>
    <row r="34">
      <c r="A34" s="17" t="n"/>
      <c r="B34" s="19" t="n"/>
      <c r="C34" s="23" t="n"/>
      <c r="D34" s="18" t="n"/>
    </row>
    <row r="35">
      <c r="A35" s="17" t="n"/>
      <c r="B35" s="19" t="n"/>
      <c r="C35" s="23" t="n"/>
      <c r="D35" s="18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Prüfungsvorbereitungs-Tracker für Studierende</dc:title>
  <dcterms:created xsi:type="dcterms:W3CDTF">2026-09-30T12:43:54Z</dcterms:created>
  <dcterms:modified xsi:type="dcterms:W3CDTF">2026-09-30T12:43:54Z</dcterms:modified>
</cp:coreProperties>
</file>