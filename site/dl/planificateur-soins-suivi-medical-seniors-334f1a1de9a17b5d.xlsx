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1" sheetId="2" state="visible" r:id="rId2"/>
    <sheet name="Suivi Medical" sheetId="3" state="visible" r:id="rId3"/>
    <sheet name="Planning Soins" sheetId="4" state="visible" r:id="rId4"/>
    <sheet name="Tableau de B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" fontId="3" fillId="3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médicaments pris/oubliés</a:t>
            </a:r>
          </a:p>
        </rich>
      </tx>
    </title>
    <plotArea>
      <pieChart>
        <varyColors val="1"/>
        <ser>
          <idx val="0"/>
          <order val="0"/>
          <tx>
            <strRef>
              <f>'Suivi Medical'!E1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'Suivi Medical'!$B$2:$B$9</f>
            </numRef>
          </cat>
          <val>
            <numRef>
              <f>'Suivi Medical'!$E$2:$E$9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uivi_Medical" displayName="T_Suivi_Medical" ref="A1:E69" headerRowCount="1">
  <autoFilter ref="A1:E69"/>
  <tableColumns count="5">
    <tableColumn id="1" name="Date"/>
    <tableColumn id="2" name="Médicament"/>
    <tableColumn id="3" name="Dosage"/>
    <tableColumn id="4" name="Heure"/>
    <tableColumn id="5" name="Pris (Oui/Non)"/>
  </tableColumns>
  <tableStyleInfo name="TableStyleMedium7" showRowStripes="1"/>
</table>
</file>

<file path=xl/tables/table2.xml><?xml version="1.0" encoding="utf-8"?>
<table xmlns="http://schemas.openxmlformats.org/spreadsheetml/2006/main" id="2" name="T_Planning_Soins" displayName="T_Planning_Soins" ref="A1:E69" headerRowCount="1">
  <autoFilter ref="A1:E69"/>
  <tableColumns count="5">
    <tableColumn id="1" name="Date"/>
    <tableColumn id="2" name="Type de soin"/>
    <tableColumn id="3" name="Heure"/>
    <tableColumn id="4" name="Effectué par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Tableau_de_Bord" displayName="T_Tableau_de_Bord" ref="A1:B31" headerRowCount="1">
  <autoFilter ref="A1:B31"/>
  <tableColumns count="2">
    <tableColumn id="1" name="KPIs"/>
    <tableColumn id="2" name="Valeur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Suivi Medical'!A1" TargetMode="External" Id="rId2" /><Relationship Type="http://schemas.openxmlformats.org/officeDocument/2006/relationships/hyperlink" Target="#'Planning Soins'!A1" TargetMode="External" Id="rId3" /><Relationship Type="http://schemas.openxmlformats.org/officeDocument/2006/relationships/hyperlink" Target="#'Tableau de Bo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Soins et Suivi Médical pour Personnes Âgées</t>
        </is>
      </c>
    </row>
    <row r="3" ht="45" customHeight="1">
      <c r="C3" s="2" t="inlineStr">
        <is>
          <t>Un outil complet pour organiser les soins, suivre les médicaments et planifier les rendez-vous médicaux. Gagnez du temps et réduisez le stress dans la gestion des soins aux seniors.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Renseignez les informations médicales de base</t>
        </is>
      </c>
    </row>
    <row r="7" ht="18" customHeight="1">
      <c r="B7" s="4" t="inlineStr">
        <is>
          <t>2.</t>
        </is>
      </c>
      <c r="C7" s="5" t="inlineStr">
        <is>
          <t>Planifiez les prises de médicaments avec rappel</t>
        </is>
      </c>
    </row>
    <row r="8" ht="18" customHeight="1">
      <c r="B8" s="4" t="inlineStr">
        <is>
          <t>3.</t>
        </is>
      </c>
      <c r="C8" s="5" t="inlineStr">
        <is>
          <t>Organisez les rendez-vous médicaux</t>
        </is>
      </c>
    </row>
    <row r="9" ht="18" customHeight="1">
      <c r="B9" s="4" t="inlineStr">
        <is>
          <t>4.</t>
        </is>
      </c>
      <c r="C9" s="5" t="inlineStr">
        <is>
          <t>Suivez les activités quotidiennes</t>
        </is>
      </c>
    </row>
    <row r="10" ht="18" customHeight="1">
      <c r="B10" s="4" t="inlineStr">
        <is>
          <t>5.</t>
        </is>
      </c>
      <c r="C10" s="5" t="inlineStr">
        <is>
          <t>Consultez le tableau de bord pour une vue d'ensemble</t>
        </is>
      </c>
    </row>
    <row r="11" ht="18" customHeight="1">
      <c r="B11" s="4" t="inlineStr">
        <is>
          <t>6.</t>
        </is>
      </c>
      <c r="C11" s="5" t="inlineStr">
        <is>
          <t>Exportez les données si nécessaire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Suivi Medical</t>
        </is>
      </c>
    </row>
    <row r="18">
      <c r="C18" s="7" t="inlineStr">
        <is>
          <t>→ Planning Soins</t>
        </is>
      </c>
    </row>
    <row r="19">
      <c r="C19" s="7" t="inlineStr">
        <is>
          <t>→ Tableau de Bord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Soins et Suivi Médical pour Personnes Âgées</t>
        </is>
      </c>
    </row>
    <row r="4">
      <c r="B4" s="10" t="inlineStr">
        <is>
          <t>Indicateurs</t>
        </is>
      </c>
    </row>
    <row r="5" ht="24" customHeight="1">
      <c r="B5" s="11" t="inlineStr">
        <is>
          <t>Médicaments pris ce mois</t>
        </is>
      </c>
      <c r="C5" s="12">
        <f>COUNTIF('Suivi Medical'!E2:E300, "Oui")</f>
        <v/>
      </c>
    </row>
    <row r="6" ht="24" customHeight="1">
      <c r="B6" s="11" t="inlineStr">
        <is>
          <t>Médicaments oubliés</t>
        </is>
      </c>
      <c r="C6" s="12">
        <f>COUNTIF('Suivi Medical'!E2:E300, "Non")</f>
        <v/>
      </c>
    </row>
    <row r="7" ht="24" customHeight="1">
      <c r="B7" s="11" t="inlineStr">
        <is>
          <t>Prochain rendez-vous</t>
        </is>
      </c>
      <c r="C7" s="13">
        <f>MIN('Suivi Medical'!A2:A300)</f>
        <v/>
      </c>
    </row>
    <row r="8" ht="24" customHeight="1">
      <c r="B8" s="11" t="inlineStr">
        <is>
          <t>Soins effectués (7j)</t>
        </is>
      </c>
      <c r="C8" s="12">
        <f>COUNTIF('Planning Soins'!A2:A300, "&gt;="&amp;TODAY()-7)</f>
        <v/>
      </c>
    </row>
    <row r="9" ht="24" customHeight="1">
      <c r="B9" s="11" t="inlineStr">
        <is>
          <t>Intervenants différents</t>
        </is>
      </c>
      <c r="C9" s="12">
        <f>COUNTA(UNIQUE('Planning Soins'!D2:D300))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12" customWidth="1" min="4" max="4"/>
    <col width="17" customWidth="1" min="5" max="5"/>
  </cols>
  <sheetData>
    <row r="1" ht="32" customHeight="1">
      <c r="A1" s="14" t="inlineStr">
        <is>
          <t>Date</t>
        </is>
      </c>
      <c r="B1" s="14" t="inlineStr">
        <is>
          <t>Médicament</t>
        </is>
      </c>
      <c r="C1" s="14" t="inlineStr">
        <is>
          <t>Dosage</t>
        </is>
      </c>
      <c r="D1" s="14" t="inlineStr">
        <is>
          <t>Heure</t>
        </is>
      </c>
      <c r="E1" s="14" t="inlineStr">
        <is>
          <t>Pris (Oui/Non)</t>
        </is>
      </c>
    </row>
    <row r="2">
      <c r="A2" s="15" t="n">
        <v>46037</v>
      </c>
      <c r="B2" s="16" t="inlineStr">
        <is>
          <t>Paracétamol</t>
        </is>
      </c>
      <c r="C2" s="16" t="inlineStr">
        <is>
          <t>500mg</t>
        </is>
      </c>
      <c r="D2" s="16" t="inlineStr">
        <is>
          <t>08:00</t>
        </is>
      </c>
      <c r="E2" s="16" t="inlineStr">
        <is>
          <t>Oui</t>
        </is>
      </c>
    </row>
    <row r="3">
      <c r="A3" s="15" t="n">
        <v>46037</v>
      </c>
      <c r="B3" s="16" t="inlineStr">
        <is>
          <t>Antihypertenseur</t>
        </is>
      </c>
      <c r="C3" s="16" t="inlineStr">
        <is>
          <t>1 comprimé</t>
        </is>
      </c>
      <c r="D3" s="16" t="inlineStr">
        <is>
          <t>12:00</t>
        </is>
      </c>
      <c r="E3" s="16" t="inlineStr">
        <is>
          <t>Non</t>
        </is>
      </c>
    </row>
    <row r="4">
      <c r="A4" s="15" t="n">
        <v>46037</v>
      </c>
      <c r="B4" s="16" t="inlineStr">
        <is>
          <t>Vitamine D</t>
        </is>
      </c>
      <c r="C4" s="16" t="inlineStr">
        <is>
          <t>800UI</t>
        </is>
      </c>
      <c r="D4" s="16" t="inlineStr">
        <is>
          <t>18:00</t>
        </is>
      </c>
      <c r="E4" s="16" t="inlineStr"/>
    </row>
    <row r="5">
      <c r="A5" s="15" t="n">
        <v>46038</v>
      </c>
      <c r="B5" s="16" t="inlineStr">
        <is>
          <t>Paracétamol</t>
        </is>
      </c>
      <c r="C5" s="16" t="inlineStr">
        <is>
          <t>500mg</t>
        </is>
      </c>
      <c r="D5" s="16" t="inlineStr">
        <is>
          <t>08:00</t>
        </is>
      </c>
      <c r="E5" s="16" t="inlineStr"/>
    </row>
    <row r="6">
      <c r="A6" s="15" t="n">
        <v>46038</v>
      </c>
      <c r="B6" s="16" t="inlineStr">
        <is>
          <t>Antihypertenseur</t>
        </is>
      </c>
      <c r="C6" s="16" t="inlineStr">
        <is>
          <t>1 comprimé</t>
        </is>
      </c>
      <c r="D6" s="16" t="inlineStr">
        <is>
          <t>12:00</t>
        </is>
      </c>
      <c r="E6" s="16" t="inlineStr"/>
    </row>
    <row r="7">
      <c r="A7" s="15" t="n">
        <v>46038</v>
      </c>
      <c r="B7" s="16" t="inlineStr">
        <is>
          <t>Vitamine D</t>
        </is>
      </c>
      <c r="C7" s="16" t="inlineStr">
        <is>
          <t>800UI</t>
        </is>
      </c>
      <c r="D7" s="16" t="inlineStr">
        <is>
          <t>18:00</t>
        </is>
      </c>
      <c r="E7" s="16" t="inlineStr"/>
    </row>
    <row r="8">
      <c r="A8" s="15" t="n">
        <v>46039</v>
      </c>
      <c r="B8" s="16" t="inlineStr">
        <is>
          <t>Consultation cardiologue</t>
        </is>
      </c>
      <c r="C8" s="16" t="inlineStr"/>
      <c r="D8" s="16" t="inlineStr">
        <is>
          <t>14:30</t>
        </is>
      </c>
      <c r="E8" s="16" t="inlineStr"/>
    </row>
    <row r="9">
      <c r="A9" s="15" t="n">
        <v>46040</v>
      </c>
      <c r="B9" s="16" t="inlineStr">
        <is>
          <t>Prise de sang</t>
        </is>
      </c>
      <c r="C9" s="16" t="inlineStr"/>
      <c r="D9" s="16" t="inlineStr">
        <is>
          <t>09:00</t>
        </is>
      </c>
      <c r="E9" s="16" t="inlineStr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  <row r="66">
      <c r="A66" s="15" t="n"/>
      <c r="B66" s="16" t="n"/>
      <c r="C66" s="16" t="n"/>
      <c r="D66" s="16" t="n"/>
      <c r="E66" s="16" t="n"/>
    </row>
    <row r="67">
      <c r="A67" s="15" t="n"/>
      <c r="B67" s="16" t="n"/>
      <c r="C67" s="16" t="n"/>
      <c r="D67" s="16" t="n"/>
      <c r="E67" s="16" t="n"/>
    </row>
    <row r="68">
      <c r="A68" s="15" t="n"/>
      <c r="B68" s="16" t="n"/>
      <c r="C68" s="16" t="n"/>
      <c r="D68" s="16" t="n"/>
      <c r="E68" s="16" t="n"/>
    </row>
    <row r="69">
      <c r="A69" s="15" t="n"/>
      <c r="B69" s="16" t="n"/>
      <c r="C69" s="16" t="n"/>
      <c r="D69" s="16" t="n"/>
      <c r="E69" s="16" t="n"/>
    </row>
  </sheetData>
  <dataValidations count="1">
    <dataValidation sqref="E2:E69" showDropDown="0" showInputMessage="0" showErrorMessage="0" allowBlank="1" type="list">
      <formula1>"Oui,Non,"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5" customWidth="1" min="4" max="4"/>
    <col width="23" customWidth="1" min="5" max="5"/>
  </cols>
  <sheetData>
    <row r="1" ht="32" customHeight="1">
      <c r="A1" s="14" t="inlineStr">
        <is>
          <t>Date</t>
        </is>
      </c>
      <c r="B1" s="14" t="inlineStr">
        <is>
          <t>Type de soin</t>
        </is>
      </c>
      <c r="C1" s="14" t="inlineStr">
        <is>
          <t>Heure</t>
        </is>
      </c>
      <c r="D1" s="14" t="inlineStr">
        <is>
          <t>Effectué par</t>
        </is>
      </c>
      <c r="E1" s="14" t="inlineStr">
        <is>
          <t>Notes</t>
        </is>
      </c>
    </row>
    <row r="2">
      <c r="A2" s="15" t="n">
        <v>46037</v>
      </c>
      <c r="B2" s="16" t="inlineStr">
        <is>
          <t>Toilette</t>
        </is>
      </c>
      <c r="C2" s="16" t="inlineStr">
        <is>
          <t>08:30</t>
        </is>
      </c>
      <c r="D2" s="16" t="inlineStr">
        <is>
          <t>Marie</t>
        </is>
      </c>
      <c r="E2" s="16" t="inlineStr">
        <is>
          <t>RAS</t>
        </is>
      </c>
    </row>
    <row r="3">
      <c r="A3" s="15" t="n">
        <v>46037</v>
      </c>
      <c r="B3" s="16" t="inlineStr">
        <is>
          <t>Repas</t>
        </is>
      </c>
      <c r="C3" s="16" t="inlineStr">
        <is>
          <t>12:30</t>
        </is>
      </c>
      <c r="D3" s="16" t="inlineStr">
        <is>
          <t>Marie</t>
        </is>
      </c>
      <c r="E3" s="16" t="inlineStr">
        <is>
          <t>Bon appétit</t>
        </is>
      </c>
    </row>
    <row r="4">
      <c r="A4" s="15" t="n">
        <v>46037</v>
      </c>
      <c r="B4" s="16" t="inlineStr">
        <is>
          <t>Promenade</t>
        </is>
      </c>
      <c r="C4" s="16" t="inlineStr">
        <is>
          <t>15:00</t>
        </is>
      </c>
      <c r="D4" s="16" t="inlineStr">
        <is>
          <t>Jean</t>
        </is>
      </c>
      <c r="E4" s="16" t="inlineStr">
        <is>
          <t>15min dans le jardin</t>
        </is>
      </c>
    </row>
    <row r="5">
      <c r="A5" s="15" t="n">
        <v>46038</v>
      </c>
      <c r="B5" s="16" t="inlineStr">
        <is>
          <t>Toilette</t>
        </is>
      </c>
      <c r="C5" s="16" t="inlineStr">
        <is>
          <t>08:30</t>
        </is>
      </c>
      <c r="D5" s="16" t="inlineStr">
        <is>
          <t>Sophie</t>
        </is>
      </c>
      <c r="E5" s="16" t="inlineStr"/>
    </row>
    <row r="6">
      <c r="A6" s="15" t="n">
        <v>46038</v>
      </c>
      <c r="B6" s="16" t="inlineStr">
        <is>
          <t>Repas</t>
        </is>
      </c>
      <c r="C6" s="16" t="inlineStr">
        <is>
          <t>12:30</t>
        </is>
      </c>
      <c r="D6" s="16" t="inlineStr">
        <is>
          <t>Sophie</t>
        </is>
      </c>
      <c r="E6" s="16" t="inlineStr"/>
    </row>
    <row r="7">
      <c r="A7" s="15" t="n">
        <v>46038</v>
      </c>
      <c r="B7" s="16" t="inlineStr">
        <is>
          <t>Kinésithérapie</t>
        </is>
      </c>
      <c r="C7" s="16" t="inlineStr">
        <is>
          <t>16:00</t>
        </is>
      </c>
      <c r="D7" s="16" t="inlineStr">
        <is>
          <t>Prof. Martin</t>
        </is>
      </c>
      <c r="E7" s="16" t="inlineStr">
        <is>
          <t>Séance à domicile</t>
        </is>
      </c>
    </row>
    <row r="8">
      <c r="A8" s="15" t="n">
        <v>46039</v>
      </c>
      <c r="B8" s="16" t="inlineStr">
        <is>
          <t>Toilette</t>
        </is>
      </c>
      <c r="C8" s="16" t="inlineStr">
        <is>
          <t>08:30</t>
        </is>
      </c>
      <c r="D8" s="16" t="inlineStr">
        <is>
          <t>Marie</t>
        </is>
      </c>
      <c r="E8" s="16" t="inlineStr"/>
    </row>
    <row r="9">
      <c r="A9" s="15" t="n">
        <v>46039</v>
      </c>
      <c r="B9" s="16" t="inlineStr">
        <is>
          <t>Visite famille</t>
        </is>
      </c>
      <c r="C9" s="16" t="inlineStr">
        <is>
          <t>14:00</t>
        </is>
      </c>
      <c r="D9" s="16" t="inlineStr">
        <is>
          <t>Fils Paul</t>
        </is>
      </c>
      <c r="E9" s="16" t="inlineStr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  <row r="66">
      <c r="A66" s="15" t="n"/>
      <c r="B66" s="16" t="n"/>
      <c r="C66" s="16" t="n"/>
      <c r="D66" s="16" t="n"/>
      <c r="E66" s="16" t="n"/>
    </row>
    <row r="67">
      <c r="A67" s="15" t="n"/>
      <c r="B67" s="16" t="n"/>
      <c r="C67" s="16" t="n"/>
      <c r="D67" s="16" t="n"/>
      <c r="E67" s="16" t="n"/>
    </row>
    <row r="68">
      <c r="A68" s="15" t="n"/>
      <c r="B68" s="16" t="n"/>
      <c r="C68" s="16" t="n"/>
      <c r="D68" s="16" t="n"/>
      <c r="E68" s="16" t="n"/>
    </row>
    <row r="69">
      <c r="A69" s="15" t="n"/>
      <c r="B69" s="16" t="n"/>
      <c r="C69" s="16" t="n"/>
      <c r="D69" s="16" t="n"/>
      <c r="E69" s="16" t="n"/>
    </row>
  </sheetData>
  <dataValidations count="1">
    <dataValidation sqref="B2:B69" showDropDown="0" showInputMessage="0" showErrorMessage="0" allowBlank="1" type="list">
      <formula1>"Toilette,Repas,Promenade,Kinésithérapie,Visite famille,Autre"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KPIs</t>
        </is>
      </c>
      <c r="B1" s="14" t="inlineStr">
        <is>
          <t>Valeurs</t>
        </is>
      </c>
    </row>
    <row r="2">
      <c r="A2" s="16" t="n"/>
      <c r="B2" s="16" t="n"/>
    </row>
    <row r="3">
      <c r="A3" s="16" t="n"/>
      <c r="B3" s="16" t="n"/>
    </row>
    <row r="4">
      <c r="A4" s="16" t="n"/>
      <c r="B4" s="16" t="n"/>
    </row>
    <row r="5">
      <c r="A5" s="16" t="n"/>
      <c r="B5" s="16" t="n"/>
    </row>
    <row r="6">
      <c r="A6" s="16" t="n"/>
      <c r="B6" s="16" t="n"/>
    </row>
    <row r="7">
      <c r="A7" s="16" t="n"/>
      <c r="B7" s="16" t="n"/>
    </row>
    <row r="8">
      <c r="A8" s="16" t="n"/>
      <c r="B8" s="16" t="n"/>
    </row>
    <row r="9">
      <c r="A9" s="16" t="n"/>
      <c r="B9" s="16" t="n"/>
    </row>
    <row r="10">
      <c r="A10" s="16" t="n"/>
      <c r="B10" s="16" t="n"/>
    </row>
    <row r="11">
      <c r="A11" s="16" t="n"/>
      <c r="B11" s="16" t="n"/>
    </row>
    <row r="12">
      <c r="A12" s="16" t="n"/>
      <c r="B12" s="16" t="n"/>
    </row>
    <row r="13">
      <c r="A13" s="16" t="n"/>
      <c r="B13" s="16" t="n"/>
    </row>
    <row r="14">
      <c r="A14" s="16" t="n"/>
      <c r="B14" s="16" t="n"/>
    </row>
    <row r="15">
      <c r="A15" s="16" t="n"/>
      <c r="B15" s="16" t="n"/>
    </row>
    <row r="16">
      <c r="A16" s="16" t="n"/>
      <c r="B16" s="16" t="n"/>
    </row>
    <row r="17">
      <c r="A17" s="16" t="n"/>
      <c r="B17" s="16" t="n"/>
    </row>
    <row r="18">
      <c r="A18" s="16" t="n"/>
      <c r="B18" s="16" t="n"/>
    </row>
    <row r="19">
      <c r="A19" s="16" t="n"/>
      <c r="B19" s="16" t="n"/>
    </row>
    <row r="20">
      <c r="A20" s="16" t="n"/>
      <c r="B20" s="16" t="n"/>
    </row>
    <row r="21">
      <c r="A21" s="16" t="n"/>
      <c r="B21" s="16" t="n"/>
    </row>
    <row r="22">
      <c r="A22" s="16" t="n"/>
      <c r="B22" s="16" t="n"/>
    </row>
    <row r="23">
      <c r="A23" s="16" t="n"/>
      <c r="B23" s="16" t="n"/>
    </row>
    <row r="24">
      <c r="A24" s="16" t="n"/>
      <c r="B24" s="16" t="n"/>
    </row>
    <row r="25">
      <c r="A25" s="16" t="n"/>
      <c r="B25" s="16" t="n"/>
    </row>
    <row r="26">
      <c r="A26" s="16" t="n"/>
      <c r="B26" s="16" t="n"/>
    </row>
    <row r="27">
      <c r="A27" s="16" t="n"/>
      <c r="B27" s="16" t="n"/>
    </row>
    <row r="28">
      <c r="A28" s="16" t="n"/>
      <c r="B28" s="16" t="n"/>
    </row>
    <row r="29">
      <c r="A29" s="16" t="n"/>
      <c r="B29" s="16" t="n"/>
    </row>
    <row r="30">
      <c r="A30" s="16" t="n"/>
      <c r="B30" s="16" t="n"/>
    </row>
    <row r="31">
      <c r="A31" s="16" t="n"/>
      <c r="B31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Soins et Suivi Médical pour Personnes Âgées</dc:title>
  <dcterms:created xsi:type="dcterms:W3CDTF">2026-09-28T08:50:29Z</dcterms:created>
  <dcterms:modified xsi:type="dcterms:W3CDTF">2026-09-28T08:50:29Z</dcterms:modified>
</cp:coreProperties>
</file>