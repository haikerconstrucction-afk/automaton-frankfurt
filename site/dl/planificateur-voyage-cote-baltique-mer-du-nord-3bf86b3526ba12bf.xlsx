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758" displayName="T_Budget_2758" ref="A1:E105" headerRowCount="1">
  <autoFilter ref="A1:E105"/>
  <tableColumns count="5">
    <tableColumn id="1" name="Date"/>
    <tableColumn id="2" name="Catégorie"/>
    <tableColumn id="3" name="Description"/>
    <tableColumn id="4" name="Montant"/>
    <tableColumn id="5" name="Type"/>
  </tableColumns>
  <tableStyleInfo name="TableStyleMedium7" showRowStripes="1"/>
</table>
</file>

<file path=xl/tables/table2.xml><?xml version="1.0" encoding="utf-8"?>
<table xmlns="http://schemas.openxmlformats.org/spreadsheetml/2006/main" id="2" name="T_Itineraire_3312" displayName="T_Itineraire_3312" ref="A1:E65" headerRowCount="1">
  <autoFilter ref="A1:E65"/>
  <tableColumns count="5">
    <tableColumn id="1" name="Date"/>
    <tableColumn id="2" name="Ville"/>
    <tableColumn id="3" name="Activité"/>
    <tableColumn id="4" name="Notes"/>
    <tableColumn id="5" name="Statut"/>
  </tableColumns>
  <tableStyleInfo name="TableStyleMedium7" showRowStripes="1"/>
</table>
</file>

<file path=xl/tables/table3.xml><?xml version="1.0" encoding="utf-8"?>
<table xmlns="http://schemas.openxmlformats.org/spreadsheetml/2006/main" id="3" name="T_Checkliste_4236" displayName="T_Checkliste_4236" ref="A1:D55" headerRowCount="1">
  <autoFilter ref="A1:D55"/>
  <tableColumns count="4">
    <tableColumn id="1" name="Item"/>
    <tableColumn id="2" name="Catégorie"/>
    <tableColumn id="3" name="Statut"/>
    <tableColumn id="4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Côte Baltique &amp; Mer du Nord : Budget, Itinéraire &amp; Checkliste</t>
        </is>
      </c>
    </row>
    <row r="3" ht="45" customHeight="1">
      <c r="C3" s="2" t="inlineStr">
        <is>
          <t>Le compagnon ultime pour organiser votre voyage le long des côtes allemandes. Gardez le contrôle de votre budget, itinéraire et préparatifs en un seul endroit.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prévisionnelles dans l'onglet Budget</t>
        </is>
      </c>
    </row>
    <row r="7" ht="18" customHeight="1">
      <c r="B7" s="4" t="inlineStr">
        <is>
          <t>2.</t>
        </is>
      </c>
      <c r="C7" s="5" t="inlineStr">
        <is>
          <t>Planifiez votre itinéraire jour par jour avec les attractions clés</t>
        </is>
      </c>
    </row>
    <row r="8" ht="18" customHeight="1">
      <c r="B8" s="4" t="inlineStr">
        <is>
          <t>3.</t>
        </is>
      </c>
      <c r="C8" s="5" t="inlineStr">
        <is>
          <t>Suivez vos dépenses réelles pendant le voyage</t>
        </is>
      </c>
    </row>
    <row r="9" ht="18" customHeight="1">
      <c r="B9" s="4" t="inlineStr">
        <is>
          <t>4.</t>
        </is>
      </c>
      <c r="C9" s="5" t="inlineStr">
        <is>
          <t>Utilisez la checkliste pour ne rien oublier</t>
        </is>
      </c>
    </row>
    <row r="10" ht="18" customHeight="1">
      <c r="B10" s="4" t="inlineStr">
        <is>
          <t>5.</t>
        </is>
      </c>
      <c r="C10" s="5" t="inlineStr">
        <is>
          <t>Consultez le dashboard pour voir votre situation financière</t>
        </is>
      </c>
    </row>
    <row r="11" ht="18" customHeight="1">
      <c r="B11" s="4" t="inlineStr">
        <is>
          <t>6.</t>
        </is>
      </c>
      <c r="C11" s="5" t="inlineStr">
        <is>
          <t>Ajustez votre budget si nécessaire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Itineraire</t>
        </is>
      </c>
    </row>
    <row r="19">
      <c r="C19" s="7" t="inlineStr">
        <is>
          <t>→ Checkliste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Côte Baltique &amp; Mer du Nord : Budget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SUMIFS(Budget!D2:D300,Budget!E2:E300,"Prévision")</f>
        <v/>
      </c>
    </row>
    <row r="6" ht="24" customHeight="1">
      <c r="B6" s="11" t="inlineStr">
        <is>
          <t>Dépenses réelles</t>
        </is>
      </c>
      <c r="C6" s="12">
        <f>SUMIFS(Budget!D2:D300,Budget!E2:E300,"Journalier")</f>
        <v/>
      </c>
    </row>
    <row r="7" ht="24" customHeight="1">
      <c r="B7" s="11" t="inlineStr">
        <is>
          <t>Écart budget/réel</t>
        </is>
      </c>
      <c r="C7" s="12">
        <f>SUM(Budget!D2:D300)-SUMIFS(Budget!D2:D300,Budget!E2:E300,"Prévision")</f>
        <v/>
      </c>
    </row>
    <row r="8" ht="24" customHeight="1">
      <c r="B8" s="11" t="inlineStr">
        <is>
          <t>Activités planifiées</t>
        </is>
      </c>
      <c r="C8" s="13">
        <f>COUNTIFS(Itineraire!E2:E300,"Confirmé")</f>
        <v/>
      </c>
    </row>
    <row r="9" ht="24" customHeight="1">
      <c r="B9" s="11" t="inlineStr">
        <is>
          <t>Jours avant départ</t>
        </is>
      </c>
      <c r="C9" s="13">
        <f>MIN(Itineraire!A2:A300)-TODAY()</f>
        <v/>
      </c>
    </row>
    <row r="10" ht="24" customHeight="1">
      <c r="B10" s="11" t="inlineStr">
        <is>
          <t>Items à préparer</t>
        </is>
      </c>
      <c r="C10" s="13">
        <f>COUNTIFS(Checkliste!C2:C300,"&lt;&gt;Fait")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2" customWidth="1" min="4" max="4"/>
    <col width="13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Type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Billets de train Paris-Hambourg</t>
        </is>
      </c>
      <c r="D2" s="17" t="n">
        <v>120</v>
      </c>
      <c r="E2" s="16" t="inlineStr">
        <is>
          <t>Prévision</t>
        </is>
      </c>
    </row>
    <row r="3">
      <c r="A3" s="15" t="n">
        <v>46218</v>
      </c>
      <c r="B3" s="16" t="inlineStr">
        <is>
          <t>Hébergement</t>
        </is>
      </c>
      <c r="C3" s="16" t="inlineStr">
        <is>
          <t>Hôtel à Kiel - 3 nuits</t>
        </is>
      </c>
      <c r="D3" s="17" t="n">
        <v>240</v>
      </c>
      <c r="E3" s="16" t="inlineStr">
        <is>
          <t>Prévision</t>
        </is>
      </c>
    </row>
    <row r="4">
      <c r="A4" s="15" t="n">
        <v>46219</v>
      </c>
      <c r="B4" s="16" t="inlineStr">
        <is>
          <t>Nourriture</t>
        </is>
      </c>
      <c r="C4" s="16" t="inlineStr">
        <is>
          <t>Restaurants</t>
        </is>
      </c>
      <c r="D4" s="17" t="n">
        <v>25</v>
      </c>
      <c r="E4" s="16" t="inlineStr">
        <is>
          <t>Journalier</t>
        </is>
      </c>
    </row>
    <row r="5">
      <c r="A5" s="15" t="n">
        <v>46220</v>
      </c>
      <c r="B5" s="16" t="inlineStr">
        <is>
          <t>Activités</t>
        </is>
      </c>
      <c r="C5" s="16" t="inlineStr">
        <is>
          <t>Visite maritime</t>
        </is>
      </c>
      <c r="D5" s="17" t="n">
        <v>35.5</v>
      </c>
      <c r="E5" s="16" t="inlineStr">
        <is>
          <t>Journalier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  <row r="104">
      <c r="A104" s="15" t="n"/>
      <c r="B104" s="16" t="n"/>
      <c r="C104" s="16" t="n"/>
      <c r="D104" s="17" t="n"/>
      <c r="E104" s="16" t="n"/>
    </row>
    <row r="105">
      <c r="A105" s="15" t="n"/>
      <c r="B105" s="16" t="n"/>
      <c r="C105" s="16" t="n"/>
      <c r="D105" s="17" t="n"/>
      <c r="E105" s="16" t="n"/>
    </row>
  </sheetData>
  <conditionalFormatting sqref="D2:D105">
    <cfRule type="cellIs" priority="1" operator="lessThan" dxfId="0">
      <formula>0</formula>
    </cfRule>
  </conditionalFormatting>
  <dataValidations count="2">
    <dataValidation sqref="B2:B105" showDropDown="0" showInputMessage="0" showErrorMessage="0" allowBlank="1" type="list">
      <formula1>"Transport,Hébergement,Nourriture,Activités,Souvenirs,Autres"</formula1>
    </dataValidation>
    <dataValidation sqref="E2:E105" showDropDown="0" showInputMessage="0" showErrorMessage="0" allowBlank="1" type="list">
      <formula1>"Prévision,Journalier"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4" customWidth="1" min="4" max="4"/>
    <col width="14" customWidth="1" min="5" max="5"/>
  </cols>
  <sheetData>
    <row r="1" ht="32" customHeight="1">
      <c r="A1" s="14" t="inlineStr">
        <is>
          <t>Date</t>
        </is>
      </c>
      <c r="B1" s="14" t="inlineStr">
        <is>
          <t>Ville</t>
        </is>
      </c>
      <c r="C1" s="14" t="inlineStr">
        <is>
          <t>Activité</t>
        </is>
      </c>
      <c r="D1" s="14" t="inlineStr">
        <is>
          <t>Notes</t>
        </is>
      </c>
      <c r="E1" s="14" t="inlineStr">
        <is>
          <t>Statut</t>
        </is>
      </c>
    </row>
    <row r="2">
      <c r="A2" s="15" t="n">
        <v>46218</v>
      </c>
      <c r="B2" s="16" t="inlineStr">
        <is>
          <t>Hambourg</t>
        </is>
      </c>
      <c r="C2" s="16" t="inlineStr">
        <is>
          <t>Arrivée, visite du port</t>
        </is>
      </c>
      <c r="D2" s="16" t="inlineStr">
        <is>
          <t>Hôtel près de la gare</t>
        </is>
      </c>
      <c r="E2" s="16" t="inlineStr">
        <is>
          <t>Confirmé</t>
        </is>
      </c>
    </row>
    <row r="3">
      <c r="A3" s="15" t="n">
        <v>46219</v>
      </c>
      <c r="B3" s="16" t="inlineStr">
        <is>
          <t>Kiel</t>
        </is>
      </c>
      <c r="C3" s="16" t="inlineStr">
        <is>
          <t>Croisière sur le canal</t>
        </is>
      </c>
      <c r="D3" s="16" t="inlineStr">
        <is>
          <t>Départ 10h</t>
        </is>
      </c>
      <c r="E3" s="16" t="inlineStr">
        <is>
          <t>Confirmé</t>
        </is>
      </c>
    </row>
    <row r="4">
      <c r="A4" s="15" t="n">
        <v>46220</v>
      </c>
      <c r="B4" s="16" t="inlineStr">
        <is>
          <t>Rügen</t>
        </is>
      </c>
      <c r="C4" s="16" t="inlineStr">
        <is>
          <t>Parc national</t>
        </is>
      </c>
      <c r="D4" s="16" t="inlineStr">
        <is>
          <t>Prévoir pique-nique</t>
        </is>
      </c>
      <c r="E4" s="16" t="inlineStr">
        <is>
          <t>À planifier</t>
        </is>
      </c>
    </row>
    <row r="5">
      <c r="A5" s="15" t="n">
        <v>46221</v>
      </c>
      <c r="B5" s="16" t="inlineStr">
        <is>
          <t>Rostock</t>
        </is>
      </c>
      <c r="C5" s="16" t="inlineStr">
        <is>
          <t>Aquarium marin</t>
        </is>
      </c>
      <c r="D5" s="16" t="inlineStr">
        <is>
          <t>Billetterie en ligne</t>
        </is>
      </c>
      <c r="E5" s="16" t="inlineStr">
        <is>
          <t>À confirmer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</sheetData>
  <dataValidations count="1">
    <dataValidation sqref="E2:E65" showDropDown="0" showInputMessage="0" showErrorMessage="0" allowBlank="1" type="list">
      <formula1>"Confirmé,À confirmer,À planifier,Annulé"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</cols>
  <sheetData>
    <row r="1" ht="32" customHeight="1">
      <c r="A1" s="14" t="inlineStr">
        <is>
          <t>Item</t>
        </is>
      </c>
      <c r="B1" s="14" t="inlineStr">
        <is>
          <t>Catégorie</t>
        </is>
      </c>
      <c r="C1" s="14" t="inlineStr">
        <is>
          <t>Statut</t>
        </is>
      </c>
      <c r="D1" s="14" t="inlineStr">
        <is>
          <t>Notes</t>
        </is>
      </c>
    </row>
    <row r="2">
      <c r="A2" s="16" t="inlineStr">
        <is>
          <t>Passeport</t>
        </is>
      </c>
      <c r="B2" s="16" t="inlineStr">
        <is>
          <t>Documents</t>
        </is>
      </c>
      <c r="C2" s="16" t="inlineStr">
        <is>
          <t>Fait</t>
        </is>
      </c>
      <c r="D2" s="16" t="inlineStr">
        <is>
          <t>Vérifié</t>
        </is>
      </c>
    </row>
    <row r="3">
      <c r="A3" s="16" t="inlineStr">
        <is>
          <t>Adaptateur allemand</t>
        </is>
      </c>
      <c r="B3" s="16" t="inlineStr">
        <is>
          <t>Electronique</t>
        </is>
      </c>
      <c r="C3" s="16" t="inlineStr">
        <is>
          <t>À acheter</t>
        </is>
      </c>
      <c r="D3" s="16" t="inlineStr"/>
    </row>
    <row r="4">
      <c r="A4" s="16" t="inlineStr">
        <is>
          <t>Maillot de bain</t>
        </is>
      </c>
      <c r="B4" s="16" t="inlineStr">
        <is>
          <t>Vêtements</t>
        </is>
      </c>
      <c r="C4" s="16" t="inlineStr"/>
      <c r="D4" s="16" t="inlineStr"/>
    </row>
    <row r="5">
      <c r="A5" s="16" t="inlineStr">
        <is>
          <t>Crème solaire</t>
        </is>
      </c>
      <c r="B5" s="16" t="inlineStr">
        <is>
          <t>Santé</t>
        </is>
      </c>
      <c r="C5" s="16" t="inlineStr">
        <is>
          <t>À acheter</t>
        </is>
      </c>
      <c r="D5" s="16" t="inlineStr">
        <is>
          <t>SPF 50+</t>
        </is>
      </c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  <row r="26">
      <c r="A26" s="16" t="n"/>
      <c r="B26" s="16" t="n"/>
      <c r="C26" s="16" t="n"/>
      <c r="D26" s="16" t="n"/>
    </row>
    <row r="27">
      <c r="A27" s="16" t="n"/>
      <c r="B27" s="16" t="n"/>
      <c r="C27" s="16" t="n"/>
      <c r="D27" s="16" t="n"/>
    </row>
    <row r="28">
      <c r="A28" s="16" t="n"/>
      <c r="B28" s="16" t="n"/>
      <c r="C28" s="16" t="n"/>
      <c r="D28" s="16" t="n"/>
    </row>
    <row r="29">
      <c r="A29" s="16" t="n"/>
      <c r="B29" s="16" t="n"/>
      <c r="C29" s="16" t="n"/>
      <c r="D29" s="16" t="n"/>
    </row>
    <row r="30">
      <c r="A30" s="16" t="n"/>
      <c r="B30" s="16" t="n"/>
      <c r="C30" s="16" t="n"/>
      <c r="D30" s="16" t="n"/>
    </row>
    <row r="31">
      <c r="A31" s="16" t="n"/>
      <c r="B31" s="16" t="n"/>
      <c r="C31" s="16" t="n"/>
      <c r="D31" s="16" t="n"/>
    </row>
    <row r="32">
      <c r="A32" s="16" t="n"/>
      <c r="B32" s="16" t="n"/>
      <c r="C32" s="16" t="n"/>
      <c r="D32" s="16" t="n"/>
    </row>
    <row r="33">
      <c r="A33" s="16" t="n"/>
      <c r="B33" s="16" t="n"/>
      <c r="C33" s="16" t="n"/>
      <c r="D33" s="16" t="n"/>
    </row>
    <row r="34">
      <c r="A34" s="16" t="n"/>
      <c r="B34" s="16" t="n"/>
      <c r="C34" s="16" t="n"/>
      <c r="D34" s="16" t="n"/>
    </row>
    <row r="35">
      <c r="A35" s="16" t="n"/>
      <c r="B35" s="16" t="n"/>
      <c r="C35" s="16" t="n"/>
      <c r="D35" s="16" t="n"/>
    </row>
    <row r="36">
      <c r="A36" s="16" t="n"/>
      <c r="B36" s="16" t="n"/>
      <c r="C36" s="16" t="n"/>
      <c r="D36" s="16" t="n"/>
    </row>
    <row r="37">
      <c r="A37" s="16" t="n"/>
      <c r="B37" s="16" t="n"/>
      <c r="C37" s="16" t="n"/>
      <c r="D37" s="16" t="n"/>
    </row>
    <row r="38">
      <c r="A38" s="16" t="n"/>
      <c r="B38" s="16" t="n"/>
      <c r="C38" s="16" t="n"/>
      <c r="D38" s="16" t="n"/>
    </row>
    <row r="39">
      <c r="A39" s="16" t="n"/>
      <c r="B39" s="16" t="n"/>
      <c r="C39" s="16" t="n"/>
      <c r="D39" s="16" t="n"/>
    </row>
    <row r="40">
      <c r="A40" s="16" t="n"/>
      <c r="B40" s="16" t="n"/>
      <c r="C40" s="16" t="n"/>
      <c r="D40" s="16" t="n"/>
    </row>
    <row r="41">
      <c r="A41" s="16" t="n"/>
      <c r="B41" s="16" t="n"/>
      <c r="C41" s="16" t="n"/>
      <c r="D41" s="16" t="n"/>
    </row>
    <row r="42">
      <c r="A42" s="16" t="n"/>
      <c r="B42" s="16" t="n"/>
      <c r="C42" s="16" t="n"/>
      <c r="D42" s="16" t="n"/>
    </row>
    <row r="43">
      <c r="A43" s="16" t="n"/>
      <c r="B43" s="16" t="n"/>
      <c r="C43" s="16" t="n"/>
      <c r="D43" s="16" t="n"/>
    </row>
    <row r="44">
      <c r="A44" s="16" t="n"/>
      <c r="B44" s="16" t="n"/>
      <c r="C44" s="16" t="n"/>
      <c r="D44" s="16" t="n"/>
    </row>
    <row r="45">
      <c r="A45" s="16" t="n"/>
      <c r="B45" s="16" t="n"/>
      <c r="C45" s="16" t="n"/>
      <c r="D45" s="16" t="n"/>
    </row>
    <row r="46">
      <c r="A46" s="16" t="n"/>
      <c r="B46" s="16" t="n"/>
      <c r="C46" s="16" t="n"/>
      <c r="D46" s="16" t="n"/>
    </row>
    <row r="47">
      <c r="A47" s="16" t="n"/>
      <c r="B47" s="16" t="n"/>
      <c r="C47" s="16" t="n"/>
      <c r="D47" s="16" t="n"/>
    </row>
    <row r="48">
      <c r="A48" s="16" t="n"/>
      <c r="B48" s="16" t="n"/>
      <c r="C48" s="16" t="n"/>
      <c r="D48" s="16" t="n"/>
    </row>
    <row r="49">
      <c r="A49" s="16" t="n"/>
      <c r="B49" s="16" t="n"/>
      <c r="C49" s="16" t="n"/>
      <c r="D49" s="16" t="n"/>
    </row>
    <row r="50">
      <c r="A50" s="16" t="n"/>
      <c r="B50" s="16" t="n"/>
      <c r="C50" s="16" t="n"/>
      <c r="D50" s="16" t="n"/>
    </row>
    <row r="51">
      <c r="A51" s="16" t="n"/>
      <c r="B51" s="16" t="n"/>
      <c r="C51" s="16" t="n"/>
      <c r="D51" s="16" t="n"/>
    </row>
    <row r="52">
      <c r="A52" s="16" t="n"/>
      <c r="B52" s="16" t="n"/>
      <c r="C52" s="16" t="n"/>
      <c r="D52" s="16" t="n"/>
    </row>
    <row r="53">
      <c r="A53" s="16" t="n"/>
      <c r="B53" s="16" t="n"/>
      <c r="C53" s="16" t="n"/>
      <c r="D53" s="16" t="n"/>
    </row>
    <row r="54">
      <c r="A54" s="16" t="n"/>
      <c r="B54" s="16" t="n"/>
      <c r="C54" s="16" t="n"/>
      <c r="D54" s="16" t="n"/>
    </row>
    <row r="55">
      <c r="A55" s="16" t="n"/>
      <c r="B55" s="16" t="n"/>
      <c r="C55" s="16" t="n"/>
      <c r="D55" s="16" t="n"/>
    </row>
  </sheetData>
  <dataValidations count="2">
    <dataValidation sqref="B2:B55" showDropDown="0" showInputMessage="0" showErrorMessage="0" allowBlank="1" type="list">
      <formula1>"Documents,Vêtements,Electronique,Santé,Autres"</formula1>
    </dataValidation>
    <dataValidation sqref="C2:C55" showDropDown="0" showInputMessage="0" showErrorMessage="0" allowBlank="1" type="list">
      <formula1>"Fait,À faire,À acheter"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Côte Baltique &amp; Mer du Nord : Budget, Itinéraire &amp; Checkliste</dc:title>
  <dcterms:created xsi:type="dcterms:W3CDTF">2026-10-07T08:49:01Z</dcterms:created>
  <dcterms:modified xsi:type="dcterms:W3CDTF">2026-10-07T08:49:01Z</dcterms:modified>
</cp:coreProperties>
</file>