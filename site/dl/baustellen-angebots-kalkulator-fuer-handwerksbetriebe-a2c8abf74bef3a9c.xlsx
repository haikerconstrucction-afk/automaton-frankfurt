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Materialkosten" sheetId="2" state="visible" r:id="rId2"/>
    <sheet name="Arbeitskosten" sheetId="3" state="visible" r:id="rId3"/>
    <sheet name="Angebotsübersich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6E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Baustellen-Angebots-Kalkulator für Handwerksbetriebe</t>
        </is>
      </c>
    </row>
    <row r="2">
      <c r="A2" t="inlineStr">
        <is>
          <t>1. Schritt 1: Materialliste mit Einzelpreisen und Mengen eintragen</t>
        </is>
      </c>
    </row>
    <row r="3">
      <c r="A3" t="inlineStr">
        <is>
          <t>2. Schritt 2: Arbeitsstunden und Stundensätze pro Gewerk anpassen</t>
        </is>
      </c>
    </row>
    <row r="4">
      <c r="A4" t="inlineStr">
        <is>
          <t>3. Schritt 3: Prozentuale Aufschläge für Nebenkosten und Gewinn festlegen</t>
        </is>
      </c>
    </row>
    <row r="5">
      <c r="A5" t="inlineStr">
        <is>
          <t>4. Schritt 4: Umsatzsteuersatz auswählen (7% oder 19%)</t>
        </is>
      </c>
    </row>
    <row r="6">
      <c r="A6" t="inlineStr">
        <is>
          <t>5. Schritt 5: Fertiges Angebot als PDF exportieren oder drucken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2" t="inlineStr">
        <is>
          <t>Material</t>
        </is>
      </c>
      <c r="B1" s="2" t="inlineStr">
        <is>
          <t>Einheit</t>
        </is>
      </c>
      <c r="C1" s="2" t="inlineStr">
        <is>
          <t>Menge</t>
        </is>
      </c>
      <c r="D1" s="2" t="inlineStr">
        <is>
          <t>Einzelpreis (EUR)</t>
        </is>
      </c>
      <c r="E1" s="2" t="inlineStr">
        <is>
          <t>Rabatt %</t>
        </is>
      </c>
      <c r="F1" s="2" t="inlineStr">
        <is>
          <t>Gesamtpreis (EUR)</t>
        </is>
      </c>
    </row>
    <row r="2">
      <c r="A2" t="inlineStr">
        <is>
          <t>Zement</t>
        </is>
      </c>
      <c r="B2" t="inlineStr">
        <is>
          <t>Sack</t>
        </is>
      </c>
      <c r="C2" t="n">
        <v>10</v>
      </c>
      <c r="D2" t="n">
        <v>8.5</v>
      </c>
      <c r="E2" t="n">
        <v>5</v>
      </c>
      <c r="F2">
        <f>D2*C2*(1-E2/100)</f>
        <v/>
      </c>
    </row>
    <row r="3">
      <c r="A3" t="inlineStr">
        <is>
          <t>Dachziegel</t>
        </is>
      </c>
      <c r="B3" t="inlineStr">
        <is>
          <t>Stück</t>
        </is>
      </c>
      <c r="C3" t="n">
        <v>300</v>
      </c>
      <c r="D3" t="n">
        <v>2.2</v>
      </c>
      <c r="E3" t="n">
        <v>0</v>
      </c>
      <c r="F3">
        <f>D3*C3*(1-E3/100)</f>
        <v/>
      </c>
    </row>
    <row r="4">
      <c r="A4" t="inlineStr">
        <is>
          <t>Isolierung</t>
        </is>
      </c>
      <c r="B4" t="inlineStr">
        <is>
          <t>m²</t>
        </is>
      </c>
      <c r="C4" t="n">
        <v>45</v>
      </c>
      <c r="D4" t="n">
        <v>14.9</v>
      </c>
      <c r="E4" t="n">
        <v>10</v>
      </c>
      <c r="F4">
        <f>D4*C4*(1-E4/100)</f>
        <v/>
      </c>
    </row>
    <row r="5">
      <c r="A5" t="inlineStr">
        <is>
          <t>Farbe</t>
        </is>
      </c>
      <c r="B5" t="inlineStr">
        <is>
          <t>Liter</t>
        </is>
      </c>
      <c r="C5" t="n">
        <v>15</v>
      </c>
      <c r="D5" t="n">
        <v>9.800000000000001</v>
      </c>
      <c r="E5" t="n">
        <v>0</v>
      </c>
      <c r="F5">
        <f>D5*C5*(1-E5/100)</f>
        <v/>
      </c>
    </row>
    <row r="6">
      <c r="A6" t="inlineStr">
        <is>
          <t>Schrauben</t>
        </is>
      </c>
      <c r="B6" t="inlineStr">
        <is>
          <t>Packung</t>
        </is>
      </c>
      <c r="C6" t="n">
        <v>8</v>
      </c>
      <c r="D6" t="n">
        <v>5.3</v>
      </c>
      <c r="E6" t="n">
        <v>15</v>
      </c>
      <c r="F6">
        <f>D6*C6*(1-E6/100)</f>
        <v/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>
      <c r="A37" s="3" t="inlineStr">
        <is>
          <t>Summe Materialkosten</t>
        </is>
      </c>
      <c r="B37" s="3" t="inlineStr"/>
      <c r="C37" s="3" t="inlineStr"/>
      <c r="D37" s="3" t="inlineStr"/>
      <c r="E37" s="3" t="inlineStr"/>
      <c r="F37" s="3">
        <f>SUM(F2:F40)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Gewerk</t>
        </is>
      </c>
      <c r="B1" s="2" t="inlineStr">
        <is>
          <t>Stundensatz (EUR)</t>
        </is>
      </c>
      <c r="C1" s="2" t="inlineStr">
        <is>
          <t>Stunden</t>
        </is>
      </c>
      <c r="D1" s="2" t="inlineStr">
        <is>
          <t>Gesamt (EUR)</t>
        </is>
      </c>
    </row>
    <row r="2">
      <c r="A2" t="inlineStr">
        <is>
          <t>Maurerarbeiten</t>
        </is>
      </c>
      <c r="B2" t="n">
        <v>45</v>
      </c>
      <c r="C2" t="n">
        <v>30</v>
      </c>
      <c r="D2">
        <f>B2*C2</f>
        <v/>
      </c>
    </row>
    <row r="3">
      <c r="A3" t="inlineStr">
        <is>
          <t>Dacharbeiten</t>
        </is>
      </c>
      <c r="B3" t="n">
        <v>52</v>
      </c>
      <c r="C3" t="n">
        <v>25</v>
      </c>
      <c r="D3">
        <f>B3*C3</f>
        <v/>
      </c>
    </row>
    <row r="4">
      <c r="A4" t="inlineStr">
        <is>
          <t>Malearbeiten</t>
        </is>
      </c>
      <c r="B4" t="n">
        <v>38</v>
      </c>
      <c r="C4" t="n">
        <v>15</v>
      </c>
      <c r="D4">
        <f>B4*C4</f>
        <v/>
      </c>
    </row>
    <row r="5">
      <c r="A5" t="inlineStr">
        <is>
          <t>Elektroarbeiten</t>
        </is>
      </c>
      <c r="B5" t="n">
        <v>55</v>
      </c>
      <c r="C5" t="n">
        <v>8</v>
      </c>
      <c r="D5">
        <f>B5*C5</f>
        <v/>
      </c>
    </row>
    <row r="6">
      <c r="A6" t="inlineStr">
        <is>
          <t>Montage</t>
        </is>
      </c>
      <c r="B6" t="n">
        <v>42</v>
      </c>
      <c r="C6" t="n">
        <v>12</v>
      </c>
      <c r="D6">
        <f>B6*C6</f>
        <v/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>
      <c r="A27" s="3" t="inlineStr">
        <is>
          <t>Summe Arbeitskosten</t>
        </is>
      </c>
      <c r="B27" s="3" t="inlineStr"/>
      <c r="C27" s="3" t="inlineStr"/>
      <c r="D27" s="3">
        <f>SUM(D2:D40)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2" t="inlineStr">
        <is>
          <t>Position</t>
        </is>
      </c>
      <c r="B1" s="2" t="inlineStr">
        <is>
          <t>Betrag (EUR)</t>
        </is>
      </c>
    </row>
    <row r="2">
      <c r="A2" t="inlineStr">
        <is>
          <t>Materialkosten</t>
        </is>
      </c>
      <c r="B2">
        <f>'Materialkosten'!F41</f>
        <v/>
      </c>
    </row>
    <row r="3">
      <c r="A3" t="inlineStr">
        <is>
          <t>Arbeitskosten</t>
        </is>
      </c>
      <c r="B3">
        <f>'Arbeitskosten'!D41</f>
        <v/>
      </c>
    </row>
    <row r="4">
      <c r="A4" t="inlineStr">
        <is>
          <t>Nebenkosten (8%)</t>
        </is>
      </c>
      <c r="B4">
        <f>(B2+B3)*0.08</f>
        <v/>
      </c>
    </row>
    <row r="5">
      <c r="A5" t="inlineStr">
        <is>
          <t>Gewinnmarge (12%)</t>
        </is>
      </c>
      <c r="B5">
        <f>(SUM(B2:B4))*0.12</f>
        <v/>
      </c>
    </row>
    <row r="6">
      <c r="A6" t="inlineStr">
        <is>
          <t>Netto-Gesamt</t>
        </is>
      </c>
      <c r="B6">
        <f>SUM(B2:B5)</f>
        <v/>
      </c>
    </row>
    <row r="7">
      <c r="A7" t="inlineStr">
        <is>
          <t>Umsatzsteuer (19%)</t>
        </is>
      </c>
      <c r="B7">
        <f>B6*0.19</f>
        <v/>
      </c>
    </row>
    <row r="8">
      <c r="A8" t="inlineStr">
        <is>
          <t>Angebotssumme brutto</t>
        </is>
      </c>
      <c r="B8">
        <f>B6+B7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2026-09-27T09:16:10Z</dcterms:created>
  <dcterms:modified xsi:type="dcterms:W3CDTF">2026-09-27T09:16:10Z</dcterms:modified>
</cp:coreProperties>
</file>