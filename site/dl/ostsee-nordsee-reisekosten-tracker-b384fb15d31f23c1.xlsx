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iseplan" sheetId="3" state="visible" r:id="rId3"/>
    <sheet name="Budget" sheetId="4" state="visible" r:id="rId4"/>
    <sheet name="Tagesausgab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'Tagesausgaben'!D1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'Tagesausgaben'!$C$2:$C$4</f>
            </numRef>
          </cat>
          <val>
            <numRef>
              <f>'Tagesausgaben'!$D$2:$D$4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iseplan_2681" displayName="T_Reiseplan_2681" ref="A1:G34" headerRowCount="1">
  <autoFilter ref="A1:G34"/>
  <tableColumns count="7">
    <tableColumn id="1" name="Datum"/>
    <tableColumn id="2" name="Ort"/>
    <tableColumn id="3" name="Uebernachtung"/>
    <tableColumn id="4" name="Verpflegung"/>
    <tableColumn id="5" name="Aktivitaeten"/>
    <tableColumn id="6" name="Transport"/>
    <tableColumn id="7" name="Notizen"/>
  </tableColumns>
  <tableStyleInfo name="TableStyleMedium7" showRowStripes="1"/>
</table>
</file>

<file path=xl/tables/table2.xml><?xml version="1.0" encoding="utf-8"?>
<table xmlns="http://schemas.openxmlformats.org/spreadsheetml/2006/main" id="2" name="T_Budget_3269" displayName="T_Budget_3269" ref="A1:D20" headerRowCount="1">
  <autoFilter ref="A1:D20"/>
  <tableColumns count="4">
    <tableColumn id="1" name="Kategorie"/>
    <tableColumn id="2" name="Geplant"/>
    <tableColumn id="3" name="Tatsaechlich"/>
    <tableColumn id="4" name="Differenz"/>
  </tableColumns>
  <tableStyleInfo name="TableStyleMedium7" showRowStripes="1"/>
</table>
</file>

<file path=xl/tables/table3.xml><?xml version="1.0" encoding="utf-8"?>
<table xmlns="http://schemas.openxmlformats.org/spreadsheetml/2006/main" id="3" name="T_Tagesausgaben_4781" displayName="T_Tagesausgaben_4781" ref="A1:E44" headerRowCount="1">
  <autoFilter ref="A1:E44"/>
  <tableColumns count="5">
    <tableColumn id="1" name="Datum"/>
    <tableColumn id="2" name="Beschreibung"/>
    <tableColumn id="3" name="Kategorie"/>
    <tableColumn id="4" name="Betrag"/>
    <tableColumn id="5" name="Bezahlmethod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isepla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Tagesausgab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Ostsee &amp; Nordsee Reisekosten-Tracker &amp; Budgetplaner</t>
        </is>
      </c>
    </row>
    <row r="3" ht="45" customHeight="1">
      <c r="C3" s="2" t="inlineStr">
        <is>
          <t>Professionelle Budgetplanung für Ihre Küstenreisen - behalten Sie alle Ausgaben im Blick und optimieren Sie Ihre Reisekosten.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Grunddaten Ihrer Reise eingeben</t>
        </is>
      </c>
    </row>
    <row r="7" ht="18" customHeight="1">
      <c r="B7" s="4" t="inlineStr">
        <is>
          <t>2.</t>
        </is>
      </c>
      <c r="C7" s="5" t="inlineStr">
        <is>
          <t>Budget für verschiedene Kategorien festlegen</t>
        </is>
      </c>
    </row>
    <row r="8" ht="18" customHeight="1">
      <c r="B8" s="4" t="inlineStr">
        <is>
          <t>3.</t>
        </is>
      </c>
      <c r="C8" s="5" t="inlineStr">
        <is>
          <t>Tägliche Ausgaben erfassen</t>
        </is>
      </c>
    </row>
    <row r="9" ht="18" customHeight="1">
      <c r="B9" s="4" t="inlineStr">
        <is>
          <t>4.</t>
        </is>
      </c>
      <c r="C9" s="5" t="inlineStr">
        <is>
          <t>Fortschritt live verfolgen</t>
        </is>
      </c>
    </row>
    <row r="10" ht="18" customHeight="1">
      <c r="B10" s="4" t="inlineStr">
        <is>
          <t>5.</t>
        </is>
      </c>
      <c r="C10" s="5" t="inlineStr">
        <is>
          <t>Auswertungen für zukünftige Reisen nutzen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Reiseplan</t>
        </is>
      </c>
    </row>
    <row r="17">
      <c r="C17" s="7" t="inlineStr">
        <is>
          <t>→ Budget</t>
        </is>
      </c>
    </row>
    <row r="18">
      <c r="C18" s="7" t="inlineStr">
        <is>
          <t>→ Tagesausgaben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Ostsee &amp; Nordsee Reisekosten-Tracker &amp; Budgetplaner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SUM('Tagesausgaben'!D2:D300)</f>
        <v/>
      </c>
    </row>
    <row r="6" ht="24" customHeight="1">
      <c r="B6" s="11" t="inlineStr">
        <is>
          <t>Ausgaben pro Tag</t>
        </is>
      </c>
      <c r="C6" s="12">
        <f>AVERAGE('Tagesausgaben'!D2:D300)</f>
        <v/>
      </c>
    </row>
    <row r="7" ht="24" customHeight="1">
      <c r="B7" s="11" t="inlineStr">
        <is>
          <t>Anzahl Einträge</t>
        </is>
      </c>
      <c r="C7" s="13">
        <f>COUNTA('Tagesausgaben'!A2:A300)</f>
        <v/>
      </c>
    </row>
    <row r="8" ht="24" customHeight="1">
      <c r="B8" s="11" t="inlineStr">
        <is>
          <t>Noch verfügbares Budget</t>
        </is>
      </c>
      <c r="C8" s="12">
        <f>SUM('Budget'!B2:B5)-SUM('Tagesausgaben'!D2:D300)</f>
        <v/>
      </c>
    </row>
    <row r="9" ht="24" customHeight="1">
      <c r="B9" s="11" t="inlineStr">
        <is>
          <t>Tage bis Reiseende</t>
        </is>
      </c>
      <c r="C9" s="13">
        <f>MAX('Reiseplan'!A2:A30)-TODAY()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4" customWidth="1" min="4" max="4"/>
    <col width="15" customWidth="1" min="5" max="5"/>
    <col width="12" customWidth="1" min="6" max="6"/>
    <col width="20" customWidth="1" min="7" max="7"/>
  </cols>
  <sheetData>
    <row r="1" ht="32" customHeight="1">
      <c r="A1" s="14" t="inlineStr">
        <is>
          <t>Datum</t>
        </is>
      </c>
      <c r="B1" s="14" t="inlineStr">
        <is>
          <t>Ort</t>
        </is>
      </c>
      <c r="C1" s="14" t="inlineStr">
        <is>
          <t>Uebernachtung</t>
        </is>
      </c>
      <c r="D1" s="14" t="inlineStr">
        <is>
          <t>Verpflegung</t>
        </is>
      </c>
      <c r="E1" s="14" t="inlineStr">
        <is>
          <t>Aktivitaeten</t>
        </is>
      </c>
      <c r="F1" s="14" t="inlineStr">
        <is>
          <t>Transport</t>
        </is>
      </c>
      <c r="G1" s="14" t="inlineStr">
        <is>
          <t>Notizen</t>
        </is>
      </c>
    </row>
    <row r="2">
      <c r="A2" s="15" t="n">
        <v>46174</v>
      </c>
      <c r="B2" s="16" t="inlineStr">
        <is>
          <t>Sylt</t>
        </is>
      </c>
      <c r="C2" s="17" t="n">
        <v>150</v>
      </c>
      <c r="D2" s="17" t="n">
        <v>45</v>
      </c>
      <c r="E2" s="17" t="n">
        <v>25</v>
      </c>
      <c r="F2" s="17" t="n">
        <v>32.5</v>
      </c>
      <c r="G2" s="16" t="inlineStr">
        <is>
          <t>Ferienwohnung</t>
        </is>
      </c>
    </row>
    <row r="3">
      <c r="A3" s="15" t="n">
        <v>46175</v>
      </c>
      <c r="B3" s="16" t="inlineStr">
        <is>
          <t>Sylt</t>
        </is>
      </c>
      <c r="C3" s="17" t="n">
        <v>150</v>
      </c>
      <c r="D3" s="17" t="n">
        <v>38</v>
      </c>
      <c r="E3" s="17" t="n">
        <v>15</v>
      </c>
      <c r="F3" s="17" t="n">
        <v>12</v>
      </c>
      <c r="G3" s="16" t="inlineStr">
        <is>
          <t>Fahrradtour</t>
        </is>
      </c>
    </row>
    <row r="4">
      <c r="A4" s="15" t="n">
        <v>46176</v>
      </c>
      <c r="B4" s="16" t="inlineStr">
        <is>
          <t>List</t>
        </is>
      </c>
      <c r="C4" s="17" t="n">
        <v>120</v>
      </c>
      <c r="D4" s="17" t="n">
        <v>28.5</v>
      </c>
      <c r="E4" s="17" t="n">
        <v>0</v>
      </c>
      <c r="F4" s="17" t="n">
        <v>18.5</v>
      </c>
      <c r="G4" s="16" t="inlineStr">
        <is>
          <t>Wanderung am Watt</t>
        </is>
      </c>
    </row>
    <row r="5">
      <c r="A5" s="15" t="n"/>
      <c r="B5" s="16" t="n"/>
      <c r="C5" s="17" t="n"/>
      <c r="D5" s="17" t="n"/>
      <c r="E5" s="17" t="n"/>
      <c r="F5" s="17" t="n"/>
      <c r="G5" s="16" t="n"/>
    </row>
    <row r="6">
      <c r="A6" s="15" t="n"/>
      <c r="B6" s="16" t="n"/>
      <c r="C6" s="17" t="n"/>
      <c r="D6" s="17" t="n"/>
      <c r="E6" s="17" t="n"/>
      <c r="F6" s="17" t="n"/>
      <c r="G6" s="16" t="n"/>
    </row>
    <row r="7">
      <c r="A7" s="15" t="n"/>
      <c r="B7" s="16" t="n"/>
      <c r="C7" s="17" t="n"/>
      <c r="D7" s="17" t="n"/>
      <c r="E7" s="17" t="n"/>
      <c r="F7" s="17" t="n"/>
      <c r="G7" s="16" t="n"/>
    </row>
    <row r="8">
      <c r="A8" s="15" t="n"/>
      <c r="B8" s="16" t="n"/>
      <c r="C8" s="17" t="n"/>
      <c r="D8" s="17" t="n"/>
      <c r="E8" s="17" t="n"/>
      <c r="F8" s="17" t="n"/>
      <c r="G8" s="16" t="n"/>
    </row>
    <row r="9">
      <c r="A9" s="15" t="n"/>
      <c r="B9" s="16" t="n"/>
      <c r="C9" s="17" t="n"/>
      <c r="D9" s="17" t="n"/>
      <c r="E9" s="17" t="n"/>
      <c r="F9" s="17" t="n"/>
      <c r="G9" s="16" t="n"/>
    </row>
    <row r="10">
      <c r="A10" s="15" t="n"/>
      <c r="B10" s="16" t="n"/>
      <c r="C10" s="17" t="n"/>
      <c r="D10" s="17" t="n"/>
      <c r="E10" s="17" t="n"/>
      <c r="F10" s="17" t="n"/>
      <c r="G10" s="16" t="n"/>
    </row>
    <row r="11">
      <c r="A11" s="15" t="n"/>
      <c r="B11" s="16" t="n"/>
      <c r="C11" s="17" t="n"/>
      <c r="D11" s="17" t="n"/>
      <c r="E11" s="17" t="n"/>
      <c r="F11" s="17" t="n"/>
      <c r="G11" s="16" t="n"/>
    </row>
    <row r="12">
      <c r="A12" s="15" t="n"/>
      <c r="B12" s="16" t="n"/>
      <c r="C12" s="17" t="n"/>
      <c r="D12" s="17" t="n"/>
      <c r="E12" s="17" t="n"/>
      <c r="F12" s="17" t="n"/>
      <c r="G12" s="16" t="n"/>
    </row>
    <row r="13">
      <c r="A13" s="15" t="n"/>
      <c r="B13" s="16" t="n"/>
      <c r="C13" s="17" t="n"/>
      <c r="D13" s="17" t="n"/>
      <c r="E13" s="17" t="n"/>
      <c r="F13" s="17" t="n"/>
      <c r="G13" s="16" t="n"/>
    </row>
    <row r="14">
      <c r="A14" s="15" t="n"/>
      <c r="B14" s="16" t="n"/>
      <c r="C14" s="17" t="n"/>
      <c r="D14" s="17" t="n"/>
      <c r="E14" s="17" t="n"/>
      <c r="F14" s="17" t="n"/>
      <c r="G14" s="16" t="n"/>
    </row>
    <row r="15">
      <c r="A15" s="15" t="n"/>
      <c r="B15" s="16" t="n"/>
      <c r="C15" s="17" t="n"/>
      <c r="D15" s="17" t="n"/>
      <c r="E15" s="17" t="n"/>
      <c r="F15" s="17" t="n"/>
      <c r="G15" s="16" t="n"/>
    </row>
    <row r="16">
      <c r="A16" s="15" t="n"/>
      <c r="B16" s="16" t="n"/>
      <c r="C16" s="17" t="n"/>
      <c r="D16" s="17" t="n"/>
      <c r="E16" s="17" t="n"/>
      <c r="F16" s="17" t="n"/>
      <c r="G16" s="16" t="n"/>
    </row>
    <row r="17">
      <c r="A17" s="15" t="n"/>
      <c r="B17" s="16" t="n"/>
      <c r="C17" s="17" t="n"/>
      <c r="D17" s="17" t="n"/>
      <c r="E17" s="17" t="n"/>
      <c r="F17" s="17" t="n"/>
      <c r="G17" s="16" t="n"/>
    </row>
    <row r="18">
      <c r="A18" s="15" t="n"/>
      <c r="B18" s="16" t="n"/>
      <c r="C18" s="17" t="n"/>
      <c r="D18" s="17" t="n"/>
      <c r="E18" s="17" t="n"/>
      <c r="F18" s="17" t="n"/>
      <c r="G18" s="16" t="n"/>
    </row>
    <row r="19">
      <c r="A19" s="15" t="n"/>
      <c r="B19" s="16" t="n"/>
      <c r="C19" s="17" t="n"/>
      <c r="D19" s="17" t="n"/>
      <c r="E19" s="17" t="n"/>
      <c r="F19" s="17" t="n"/>
      <c r="G19" s="16" t="n"/>
    </row>
    <row r="20">
      <c r="A20" s="15" t="n"/>
      <c r="B20" s="16" t="n"/>
      <c r="C20" s="17" t="n"/>
      <c r="D20" s="17" t="n"/>
      <c r="E20" s="17" t="n"/>
      <c r="F20" s="17" t="n"/>
      <c r="G20" s="16" t="n"/>
    </row>
    <row r="21">
      <c r="A21" s="15" t="n"/>
      <c r="B21" s="16" t="n"/>
      <c r="C21" s="17" t="n"/>
      <c r="D21" s="17" t="n"/>
      <c r="E21" s="17" t="n"/>
      <c r="F21" s="17" t="n"/>
      <c r="G21" s="16" t="n"/>
    </row>
    <row r="22">
      <c r="A22" s="15" t="n"/>
      <c r="B22" s="16" t="n"/>
      <c r="C22" s="17" t="n"/>
      <c r="D22" s="17" t="n"/>
      <c r="E22" s="17" t="n"/>
      <c r="F22" s="17" t="n"/>
      <c r="G22" s="16" t="n"/>
    </row>
    <row r="23">
      <c r="A23" s="15" t="n"/>
      <c r="B23" s="16" t="n"/>
      <c r="C23" s="17" t="n"/>
      <c r="D23" s="17" t="n"/>
      <c r="E23" s="17" t="n"/>
      <c r="F23" s="17" t="n"/>
      <c r="G23" s="16" t="n"/>
    </row>
    <row r="24">
      <c r="A24" s="15" t="n"/>
      <c r="B24" s="16" t="n"/>
      <c r="C24" s="17" t="n"/>
      <c r="D24" s="17" t="n"/>
      <c r="E24" s="17" t="n"/>
      <c r="F24" s="17" t="n"/>
      <c r="G24" s="16" t="n"/>
    </row>
    <row r="25">
      <c r="A25" s="15" t="n"/>
      <c r="B25" s="16" t="n"/>
      <c r="C25" s="17" t="n"/>
      <c r="D25" s="17" t="n"/>
      <c r="E25" s="17" t="n"/>
      <c r="F25" s="17" t="n"/>
      <c r="G25" s="16" t="n"/>
    </row>
    <row r="26">
      <c r="A26" s="15" t="n"/>
      <c r="B26" s="16" t="n"/>
      <c r="C26" s="17" t="n"/>
      <c r="D26" s="17" t="n"/>
      <c r="E26" s="17" t="n"/>
      <c r="F26" s="17" t="n"/>
      <c r="G26" s="16" t="n"/>
    </row>
    <row r="27">
      <c r="A27" s="15" t="n"/>
      <c r="B27" s="16" t="n"/>
      <c r="C27" s="17" t="n"/>
      <c r="D27" s="17" t="n"/>
      <c r="E27" s="17" t="n"/>
      <c r="F27" s="17" t="n"/>
      <c r="G27" s="16" t="n"/>
    </row>
    <row r="28">
      <c r="A28" s="15" t="n"/>
      <c r="B28" s="16" t="n"/>
      <c r="C28" s="17" t="n"/>
      <c r="D28" s="17" t="n"/>
      <c r="E28" s="17" t="n"/>
      <c r="F28" s="17" t="n"/>
      <c r="G28" s="16" t="n"/>
    </row>
    <row r="29">
      <c r="A29" s="15" t="n"/>
      <c r="B29" s="16" t="n"/>
      <c r="C29" s="17" t="n"/>
      <c r="D29" s="17" t="n"/>
      <c r="E29" s="17" t="n"/>
      <c r="F29" s="17" t="n"/>
      <c r="G29" s="16" t="n"/>
    </row>
    <row r="30">
      <c r="A30" s="15" t="n"/>
      <c r="B30" s="16" t="n"/>
      <c r="C30" s="17" t="n"/>
      <c r="D30" s="17" t="n"/>
      <c r="E30" s="17" t="n"/>
      <c r="F30" s="17" t="n"/>
      <c r="G30" s="16" t="n"/>
    </row>
    <row r="31">
      <c r="A31" s="15" t="n"/>
      <c r="B31" s="16" t="n"/>
      <c r="C31" s="17" t="n"/>
      <c r="D31" s="17" t="n"/>
      <c r="E31" s="17" t="n"/>
      <c r="F31" s="17" t="n"/>
      <c r="G31" s="16" t="n"/>
    </row>
    <row r="32">
      <c r="A32" s="15" t="n"/>
      <c r="B32" s="16" t="n"/>
      <c r="C32" s="17" t="n"/>
      <c r="D32" s="17" t="n"/>
      <c r="E32" s="17" t="n"/>
      <c r="F32" s="17" t="n"/>
      <c r="G32" s="16" t="n"/>
    </row>
    <row r="33">
      <c r="A33" s="15" t="n"/>
      <c r="B33" s="16" t="n"/>
      <c r="C33" s="17" t="n"/>
      <c r="D33" s="17" t="n"/>
      <c r="E33" s="17" t="n"/>
      <c r="F33" s="17" t="n"/>
      <c r="G33" s="16" t="n"/>
    </row>
    <row r="34">
      <c r="A34" s="15" t="n"/>
      <c r="B34" s="16" t="n"/>
      <c r="C34" s="17" t="n"/>
      <c r="D34" s="17" t="n"/>
      <c r="E34" s="17" t="n"/>
      <c r="F34" s="17" t="n"/>
      <c r="G34" s="16" t="n"/>
    </row>
  </sheetData>
  <conditionalFormatting sqref="C2:C34">
    <cfRule type="cellIs" priority="1" operator="lessThan" dxfId="0">
      <formula>0</formula>
    </cfRule>
  </conditionalFormatting>
  <conditionalFormatting sqref="D2:D34">
    <cfRule type="cellIs" priority="2" operator="lessThan" dxfId="0">
      <formula>0</formula>
    </cfRule>
  </conditionalFormatting>
  <conditionalFormatting sqref="E2:E34">
    <cfRule type="cellIs" priority="3" operator="lessThan" dxfId="0">
      <formula>0</formula>
    </cfRule>
  </conditionalFormatting>
  <conditionalFormatting sqref="F2:F34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Geplant</t>
        </is>
      </c>
      <c r="C1" s="14" t="inlineStr">
        <is>
          <t>Tatsaechlich</t>
        </is>
      </c>
      <c r="D1" s="14" t="inlineStr">
        <is>
          <t>Differenz</t>
        </is>
      </c>
    </row>
    <row r="2">
      <c r="A2" s="16" t="inlineStr">
        <is>
          <t>Uebernachtung</t>
        </is>
      </c>
      <c r="B2" s="17" t="n">
        <v>800</v>
      </c>
      <c r="C2" s="17" t="n">
        <v>600</v>
      </c>
      <c r="D2" s="18">
        <f>C2-B2</f>
        <v/>
      </c>
    </row>
    <row r="3">
      <c r="A3" s="16" t="inlineStr">
        <is>
          <t>Verpflegung</t>
        </is>
      </c>
      <c r="B3" s="17" t="n">
        <v>350</v>
      </c>
      <c r="C3" s="17" t="n">
        <v>320</v>
      </c>
      <c r="D3" s="18">
        <f>C3-B3</f>
        <v/>
      </c>
    </row>
    <row r="4">
      <c r="A4" s="16" t="inlineStr">
        <is>
          <t>Aktivitaeten</t>
        </is>
      </c>
      <c r="B4" s="17" t="n">
        <v>200</v>
      </c>
      <c r="C4" s="17" t="n">
        <v>180</v>
      </c>
      <c r="D4" s="18">
        <f>C4-B4</f>
        <v/>
      </c>
    </row>
    <row r="5">
      <c r="A5" s="16" t="inlineStr">
        <is>
          <t>Transport</t>
        </is>
      </c>
      <c r="B5" s="17" t="n">
        <v>150</v>
      </c>
      <c r="C5" s="17" t="n">
        <v>125</v>
      </c>
      <c r="D5" s="18">
        <f>C5-B5</f>
        <v/>
      </c>
    </row>
    <row r="6">
      <c r="A6" s="16" t="n"/>
      <c r="B6" s="17" t="n"/>
      <c r="C6" s="17" t="n"/>
      <c r="D6" s="18">
        <f>IF(A6="","",C6-B6)</f>
        <v/>
      </c>
    </row>
    <row r="7">
      <c r="A7" s="16" t="n"/>
      <c r="B7" s="17" t="n"/>
      <c r="C7" s="17" t="n"/>
      <c r="D7" s="18">
        <f>IF(A7="","",C7-B7)</f>
        <v/>
      </c>
    </row>
    <row r="8">
      <c r="A8" s="16" t="n"/>
      <c r="B8" s="17" t="n"/>
      <c r="C8" s="17" t="n"/>
      <c r="D8" s="18">
        <f>IF(A8="","",C8-B8)</f>
        <v/>
      </c>
    </row>
    <row r="9">
      <c r="A9" s="16" t="n"/>
      <c r="B9" s="17" t="n"/>
      <c r="C9" s="17" t="n"/>
      <c r="D9" s="18">
        <f>IF(A9="","",C9-B9)</f>
        <v/>
      </c>
    </row>
    <row r="10">
      <c r="A10" s="16" t="n"/>
      <c r="B10" s="17" t="n"/>
      <c r="C10" s="17" t="n"/>
      <c r="D10" s="18">
        <f>IF(A10="","",C10-B10)</f>
        <v/>
      </c>
    </row>
    <row r="11">
      <c r="A11" s="16" t="n"/>
      <c r="B11" s="17" t="n"/>
      <c r="C11" s="17" t="n"/>
      <c r="D11" s="18">
        <f>IF(A11="","",C11-B11)</f>
        <v/>
      </c>
    </row>
    <row r="12">
      <c r="A12" s="16" t="n"/>
      <c r="B12" s="17" t="n"/>
      <c r="C12" s="17" t="n"/>
      <c r="D12" s="18">
        <f>IF(A12="","",C12-B12)</f>
        <v/>
      </c>
    </row>
    <row r="13">
      <c r="A13" s="16" t="n"/>
      <c r="B13" s="17" t="n"/>
      <c r="C13" s="17" t="n"/>
      <c r="D13" s="18">
        <f>IF(A13="","",C13-B13)</f>
        <v/>
      </c>
    </row>
    <row r="14">
      <c r="A14" s="16" t="n"/>
      <c r="B14" s="17" t="n"/>
      <c r="C14" s="17" t="n"/>
      <c r="D14" s="18">
        <f>IF(A14="","",C14-B14)</f>
        <v/>
      </c>
    </row>
    <row r="15">
      <c r="A15" s="16" t="n"/>
      <c r="B15" s="17" t="n"/>
      <c r="C15" s="17" t="n"/>
      <c r="D15" s="18">
        <f>IF(A15="","",C15-B15)</f>
        <v/>
      </c>
    </row>
    <row r="16">
      <c r="A16" s="16" t="n"/>
      <c r="B16" s="17" t="n"/>
      <c r="C16" s="17" t="n"/>
      <c r="D16" s="18">
        <f>IF(A16="","",C16-B16)</f>
        <v/>
      </c>
    </row>
    <row r="17">
      <c r="A17" s="16" t="n"/>
      <c r="B17" s="17" t="n"/>
      <c r="C17" s="17" t="n"/>
      <c r="D17" s="18">
        <f>IF(A17="","",C17-B17)</f>
        <v/>
      </c>
    </row>
    <row r="18">
      <c r="A18" s="16" t="n"/>
      <c r="B18" s="17" t="n"/>
      <c r="C18" s="17" t="n"/>
      <c r="D18" s="18">
        <f>IF(A18="","",C18-B18)</f>
        <v/>
      </c>
    </row>
    <row r="19">
      <c r="A19" s="16" t="n"/>
      <c r="B19" s="17" t="n"/>
      <c r="C19" s="17" t="n"/>
      <c r="D19" s="18">
        <f>IF(A19="","",C19-B19)</f>
        <v/>
      </c>
    </row>
    <row r="20">
      <c r="A20" s="16" t="n"/>
      <c r="B20" s="17" t="n"/>
      <c r="C20" s="17" t="n"/>
      <c r="D20" s="18">
        <f>IF(A20="","",C20-B20)</f>
        <v/>
      </c>
    </row>
  </sheetData>
  <conditionalFormatting sqref="B2:B20">
    <cfRule type="cellIs" priority="1" operator="lessThan" dxfId="0">
      <formula>0</formula>
    </cfRule>
  </conditionalFormatting>
  <conditionalFormatting sqref="C2:C20">
    <cfRule type="cellIs" priority="2" operator="lessThan" dxfId="0">
      <formula>0</formula>
    </cfRule>
  </conditionalFormatting>
  <conditionalFormatting sqref="D2:D20">
    <cfRule type="cellIs" priority="3" operator="lessThan" dxfId="0">
      <formula>0</formula>
    </cfRule>
  </conditionalFormatting>
  <dataValidations count="1">
    <dataValidation sqref="A2:A20" showDropDown="0" showInputMessage="0" showErrorMessage="0" allowBlank="1" type="list">
      <formula1>"Uebernachtung,Verpflegung,Aktivitaeten,Transport,Sonstiges"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2" customWidth="1" min="4" max="4"/>
    <col width="16" customWidth="1" min="5" max="5"/>
  </cols>
  <sheetData>
    <row r="1" ht="32" customHeight="1">
      <c r="A1" s="14" t="inlineStr">
        <is>
          <t>Datum</t>
        </is>
      </c>
      <c r="B1" s="14" t="inlineStr">
        <is>
          <t>Beschreibung</t>
        </is>
      </c>
      <c r="C1" s="14" t="inlineStr">
        <is>
          <t>Kategorie</t>
        </is>
      </c>
      <c r="D1" s="14" t="inlineStr">
        <is>
          <t>Betrag</t>
        </is>
      </c>
      <c r="E1" s="14" t="inlineStr">
        <is>
          <t>Bezahlmethode</t>
        </is>
      </c>
    </row>
    <row r="2">
      <c r="A2" s="15" t="n">
        <v>46174</v>
      </c>
      <c r="B2" s="16" t="inlineStr">
        <is>
          <t>Zugticket</t>
        </is>
      </c>
      <c r="C2" s="16" t="inlineStr">
        <is>
          <t>Transport</t>
        </is>
      </c>
      <c r="D2" s="17" t="n">
        <v>89.90000000000001</v>
      </c>
      <c r="E2" s="16" t="inlineStr">
        <is>
          <t>Kreditkarte</t>
        </is>
      </c>
    </row>
    <row r="3">
      <c r="A3" s="15" t="n">
        <v>46174</v>
      </c>
      <c r="B3" s="16" t="inlineStr">
        <is>
          <t>Abendessen</t>
        </is>
      </c>
      <c r="C3" s="16" t="inlineStr">
        <is>
          <t>Verpflegung</t>
        </is>
      </c>
      <c r="D3" s="17" t="n">
        <v>32.5</v>
      </c>
      <c r="E3" s="16" t="inlineStr">
        <is>
          <t>Bar</t>
        </is>
      </c>
    </row>
    <row r="4">
      <c r="A4" s="15" t="n">
        <v>46175</v>
      </c>
      <c r="B4" s="16" t="inlineStr">
        <is>
          <t>Fahrradverleih</t>
        </is>
      </c>
      <c r="C4" s="16" t="inlineStr">
        <is>
          <t>Aktivitaeten</t>
        </is>
      </c>
      <c r="D4" s="17" t="n">
        <v>25</v>
      </c>
      <c r="E4" s="16" t="inlineStr">
        <is>
          <t>EC-Karte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</sheetData>
  <conditionalFormatting sqref="D2:D44">
    <cfRule type="cellIs" priority="1" operator="lessThan" dxfId="0">
      <formula>0</formula>
    </cfRule>
  </conditionalFormatting>
  <dataValidations count="2">
    <dataValidation sqref="C2:C44" showDropDown="0" showInputMessage="0" showErrorMessage="0" allowBlank="1" type="list">
      <formula1>"Uebernachtung,Verpflegung,Aktivitaeten,Transport,Einkauf,Sonstiges"</formula1>
    </dataValidation>
    <dataValidation sqref="E2:E44" showDropDown="0" showInputMessage="0" showErrorMessage="0" allowBlank="1" type="list">
      <formula1>"Bar,EC-Karte,Kreditkarte,PayPal,Sonstige"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Ostsee &amp; Nordsee Reisekosten-Tracker &amp; Budgetplaner</dc:title>
  <dcterms:created xsi:type="dcterms:W3CDTF">2026-10-25T16:32:55Z</dcterms:created>
  <dcterms:modified xsi:type="dcterms:W3CDTF">2026-10-25T16:32:55Z</dcterms:modified>
</cp:coreProperties>
</file>