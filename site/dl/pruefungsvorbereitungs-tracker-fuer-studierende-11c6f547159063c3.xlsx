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Lernplan" sheetId="3" state="visible" r:id="rId3"/>
    <sheet name="Fortschri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7" fillId="3" borderId="1" pivotButton="0" quotePrefix="0" xfId="0"/>
    <xf numFmtId="2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Fachfortschritt in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'Fortschritt'!F1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'Fortschritt'!$B$2:$B$9</f>
            </numRef>
          </cat>
          <val>
            <numRef>
              <f>'Fortschritt'!$F$2:$F$9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Lernplan_2973" displayName="T_Lernplan_2973" ref="A1:G109" headerRowCount="1">
  <autoFilter ref="A1:G109"/>
  <tableColumns count="7">
    <tableColumn id="1" name="Datum"/>
    <tableColumn id="2" name="Fach"/>
    <tableColumn id="3" name="Thema"/>
    <tableColumn id="4" name="Priorität"/>
    <tableColumn id="5" name="Geplante Dauer"/>
    <tableColumn id="6" name="Tatsächliche Dauer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Fortschritt_3497" displayName="T_Fortschritt_3497" ref="A1:F61" headerRowCount="1">
  <autoFilter ref="A1:F61"/>
  <tableColumns count="6">
    <tableColumn id="1" name="Woche"/>
    <tableColumn id="2" name="Fach"/>
    <tableColumn id="3" name="Geplante Zeit"/>
    <tableColumn id="4" name="Tatsächliche Zeit"/>
    <tableColumn id="5" name="Abweichung"/>
    <tableColumn id="6" name="Fortschritt %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Lernplan'!A1" TargetMode="External" Id="rId2" /><Relationship Type="http://schemas.openxmlformats.org/officeDocument/2006/relationships/hyperlink" Target="#'Fortschrit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Prüfungsvorbereitungs-Tracker für Studierende: Lernplan, Fortschritt &amp; Zeitmanagement</t>
        </is>
      </c>
    </row>
    <row r="3" ht="45" customHeight="1">
      <c r="C3" s="2" t="inlineStr">
        <is>
          <t>Professionelle Excel-Vorlage für strukturierte Prüfungsvorbereitung mit Lernplan, Fortschrittskontrolle und Zeitmanagement. Spart Zeit und erhöht den Lernerfolg.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Lernfächer und -themen eintragen</t>
        </is>
      </c>
    </row>
    <row r="7" ht="18" customHeight="1">
      <c r="B7" s="4" t="inlineStr">
        <is>
          <t>2.</t>
        </is>
      </c>
      <c r="C7" s="5" t="inlineStr">
        <is>
          <t>Prioritäten und Gewichtung festlegen</t>
        </is>
      </c>
    </row>
    <row r="8" ht="18" customHeight="1">
      <c r="B8" s="4" t="inlineStr">
        <is>
          <t>3.</t>
        </is>
      </c>
      <c r="C8" s="5" t="inlineStr">
        <is>
          <t>Individuellen Lernplan erstellen</t>
        </is>
      </c>
    </row>
    <row r="9" ht="18" customHeight="1">
      <c r="B9" s="4" t="inlineStr">
        <is>
          <t>4.</t>
        </is>
      </c>
      <c r="C9" s="5" t="inlineStr">
        <is>
          <t>Tägliche Lernzeiten protokollieren</t>
        </is>
      </c>
    </row>
    <row r="10" ht="18" customHeight="1">
      <c r="B10" s="4" t="inlineStr">
        <is>
          <t>5.</t>
        </is>
      </c>
      <c r="C10" s="5" t="inlineStr">
        <is>
          <t>Fortschritt kontinuierlich dokumentieren</t>
        </is>
      </c>
    </row>
    <row r="11" ht="18" customHeight="1">
      <c r="B11" s="4" t="inlineStr">
        <is>
          <t>6.</t>
        </is>
      </c>
      <c r="C11" s="5" t="inlineStr">
        <is>
          <t>KPIs und Auswertungen nutzen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Lernplan</t>
        </is>
      </c>
    </row>
    <row r="18">
      <c r="C18" s="7" t="inlineStr">
        <is>
          <t>→ Fortschritt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Prüfungsvorbereitungs-Tracker für Studierende: Lernplan, For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 Lernzeit</t>
        </is>
      </c>
      <c r="C5" s="12">
        <f>SUM('Lernplan'!E2:E300)</f>
        <v/>
      </c>
    </row>
    <row r="6" ht="24" customHeight="1">
      <c r="B6" s="11" t="inlineStr">
        <is>
          <t>Verbleibende Lernzeit</t>
        </is>
      </c>
      <c r="C6" s="12">
        <f>SUM('Lernplan'!E2:E300)-SUM('Lernplan'!F2:F300)</f>
        <v/>
      </c>
    </row>
    <row r="7" ht="24" customHeight="1">
      <c r="B7" s="11" t="inlineStr">
        <is>
          <t>Durchschnitt Abweichung</t>
        </is>
      </c>
      <c r="C7" s="12">
        <f>AVERAGE('Fortschritt'!E2:E52)</f>
        <v/>
      </c>
    </row>
    <row r="8" ht="24" customHeight="1">
      <c r="B8" s="11" t="inlineStr">
        <is>
          <t>Top Priorität Fach</t>
        </is>
      </c>
      <c r="C8" s="13">
        <f>INDEX('Lernplan'!B2:B300,MATCH(MAX('Lernplan'!D2:D300),'Lernplan'!D2:D300,0))</f>
        <v/>
      </c>
    </row>
    <row r="9" ht="24" customHeight="1">
      <c r="B9" s="11" t="inlineStr">
        <is>
          <t>Fortschritt gesamt</t>
        </is>
      </c>
      <c r="C9" s="14">
        <f>AVERAGE('Fortschritt'!F2:F52)</f>
        <v/>
      </c>
    </row>
    <row r="10" ht="24" customHeight="1">
      <c r="B10" s="11" t="inlineStr">
        <is>
          <t>Tage bis Prüfung</t>
        </is>
      </c>
      <c r="C10" s="15">
        <f>DATE(2026,4,30)-TODAY()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7" customWidth="1" min="5" max="5"/>
    <col width="21" customWidth="1" min="6" max="6"/>
    <col width="40" customWidth="1" min="7" max="7"/>
  </cols>
  <sheetData>
    <row r="1" ht="32" customHeight="1">
      <c r="A1" s="16" t="inlineStr">
        <is>
          <t>Datum</t>
        </is>
      </c>
      <c r="B1" s="16" t="inlineStr">
        <is>
          <t>Fach</t>
        </is>
      </c>
      <c r="C1" s="16" t="inlineStr">
        <is>
          <t>Thema</t>
        </is>
      </c>
      <c r="D1" s="16" t="inlineStr">
        <is>
          <t>Priorität</t>
        </is>
      </c>
      <c r="E1" s="16" t="inlineStr">
        <is>
          <t>Geplante Dauer</t>
        </is>
      </c>
      <c r="F1" s="16" t="inlineStr">
        <is>
          <t>Tatsächliche Dauer</t>
        </is>
      </c>
      <c r="G1" s="16" t="inlineStr">
        <is>
          <t>Status</t>
        </is>
      </c>
    </row>
    <row r="2">
      <c r="A2" s="17" t="n">
        <v>46096</v>
      </c>
      <c r="B2" s="18" t="inlineStr">
        <is>
          <t>BWL</t>
        </is>
      </c>
      <c r="C2" s="18" t="inlineStr">
        <is>
          <t>Kostenrechnung</t>
        </is>
      </c>
      <c r="D2" s="18" t="inlineStr">
        <is>
          <t>Hoch</t>
        </is>
      </c>
      <c r="E2" s="19" t="n">
        <v>2</v>
      </c>
      <c r="F2" s="19" t="inlineStr"/>
      <c r="G2" s="20">
        <f>IF(F2&gt;0,"Erledigt","Offen")</f>
        <v/>
      </c>
    </row>
    <row r="3">
      <c r="A3" s="17" t="n">
        <v>46097</v>
      </c>
      <c r="B3" s="18" t="inlineStr">
        <is>
          <t>VWL</t>
        </is>
      </c>
      <c r="C3" s="18" t="inlineStr">
        <is>
          <t>Marktformen</t>
        </is>
      </c>
      <c r="D3" s="18" t="inlineStr">
        <is>
          <t>Mittel</t>
        </is>
      </c>
      <c r="E3" s="19" t="n">
        <v>1.5</v>
      </c>
      <c r="F3" s="19" t="n">
        <v>1.75</v>
      </c>
      <c r="G3" s="20">
        <f>IF(F3&gt;0,"Erledigt","Offen")</f>
        <v/>
      </c>
    </row>
    <row r="4">
      <c r="A4" s="17" t="n">
        <v>46098</v>
      </c>
      <c r="B4" s="18" t="inlineStr">
        <is>
          <t>Recht</t>
        </is>
      </c>
      <c r="C4" s="18" t="inlineStr">
        <is>
          <t>Vertragsrecht</t>
        </is>
      </c>
      <c r="D4" s="18" t="inlineStr">
        <is>
          <t>Hoch</t>
        </is>
      </c>
      <c r="E4" s="19" t="n">
        <v>3</v>
      </c>
      <c r="F4" s="19" t="inlineStr"/>
      <c r="G4" s="20">
        <f>IF(F4&gt;0,"Erledigt","Offen")</f>
        <v/>
      </c>
    </row>
    <row r="5">
      <c r="A5" s="17" t="n">
        <v>46099</v>
      </c>
      <c r="B5" s="18" t="inlineStr">
        <is>
          <t>Statistik</t>
        </is>
      </c>
      <c r="C5" s="18" t="inlineStr">
        <is>
          <t>Hypothesentests</t>
        </is>
      </c>
      <c r="D5" s="18" t="inlineStr">
        <is>
          <t>Hoch</t>
        </is>
      </c>
      <c r="E5" s="19" t="n">
        <v>2.5</v>
      </c>
      <c r="F5" s="19" t="inlineStr"/>
      <c r="G5" s="20">
        <f>IF(F5&gt;0,"Erledigt","Offen")</f>
        <v/>
      </c>
    </row>
    <row r="6">
      <c r="A6" s="17" t="n">
        <v>46100</v>
      </c>
      <c r="B6" s="18" t="inlineStr">
        <is>
          <t>BWL</t>
        </is>
      </c>
      <c r="C6" s="18" t="inlineStr">
        <is>
          <t>Finanzierung</t>
        </is>
      </c>
      <c r="D6" s="18" t="inlineStr">
        <is>
          <t>Mittel</t>
        </is>
      </c>
      <c r="E6" s="19" t="n">
        <v>2</v>
      </c>
      <c r="F6" s="19" t="n">
        <v>2.25</v>
      </c>
      <c r="G6" s="20">
        <f>IF(F6&gt;0,"Erledigt","Offen")</f>
        <v/>
      </c>
    </row>
    <row r="7">
      <c r="A7" s="17" t="n">
        <v>46101</v>
      </c>
      <c r="B7" s="18" t="inlineStr">
        <is>
          <t>VWL</t>
        </is>
      </c>
      <c r="C7" s="18" t="inlineStr">
        <is>
          <t>Geldpolitik</t>
        </is>
      </c>
      <c r="D7" s="18" t="inlineStr">
        <is>
          <t>Mittel</t>
        </is>
      </c>
      <c r="E7" s="19" t="n">
        <v>1.5</v>
      </c>
      <c r="F7" s="19" t="inlineStr"/>
      <c r="G7" s="20">
        <f>IF(F7&gt;0,"Erledigt","Offen")</f>
        <v/>
      </c>
    </row>
    <row r="8">
      <c r="A8" s="17" t="n">
        <v>46102</v>
      </c>
      <c r="B8" s="18" t="inlineStr">
        <is>
          <t>Recht</t>
        </is>
      </c>
      <c r="C8" s="18" t="inlineStr">
        <is>
          <t>Handelsrecht</t>
        </is>
      </c>
      <c r="D8" s="18" t="inlineStr">
        <is>
          <t>Niedrig</t>
        </is>
      </c>
      <c r="E8" s="19" t="n">
        <v>1</v>
      </c>
      <c r="F8" s="19" t="n">
        <v>1</v>
      </c>
      <c r="G8" s="20">
        <f>IF(F8&gt;0,"Erledigt","Offen")</f>
        <v/>
      </c>
    </row>
    <row r="9">
      <c r="A9" s="17" t="n">
        <v>46103</v>
      </c>
      <c r="B9" s="18" t="inlineStr">
        <is>
          <t>Statistik</t>
        </is>
      </c>
      <c r="C9" s="18" t="inlineStr">
        <is>
          <t>Regression</t>
        </is>
      </c>
      <c r="D9" s="18" t="inlineStr">
        <is>
          <t>Hoch</t>
        </is>
      </c>
      <c r="E9" s="19" t="n">
        <v>3</v>
      </c>
      <c r="F9" s="19" t="inlineStr"/>
      <c r="G9" s="20">
        <f>IF(F9&gt;0,"Erledigt","Offen")</f>
        <v/>
      </c>
    </row>
    <row r="10">
      <c r="A10" s="17" t="n"/>
      <c r="B10" s="18" t="n"/>
      <c r="C10" s="18" t="n"/>
      <c r="D10" s="18" t="n"/>
      <c r="E10" s="19" t="n"/>
      <c r="F10" s="19" t="n"/>
      <c r="G10" s="20">
        <f>IF(A10="","",IF(F10&gt;0,"Erledigt","Offen"))</f>
        <v/>
      </c>
    </row>
    <row r="11">
      <c r="A11" s="17" t="n"/>
      <c r="B11" s="18" t="n"/>
      <c r="C11" s="18" t="n"/>
      <c r="D11" s="18" t="n"/>
      <c r="E11" s="19" t="n"/>
      <c r="F11" s="19" t="n"/>
      <c r="G11" s="20">
        <f>IF(A11="","",IF(F11&gt;0,"Erledigt","Offen"))</f>
        <v/>
      </c>
    </row>
    <row r="12">
      <c r="A12" s="17" t="n"/>
      <c r="B12" s="18" t="n"/>
      <c r="C12" s="18" t="n"/>
      <c r="D12" s="18" t="n"/>
      <c r="E12" s="19" t="n"/>
      <c r="F12" s="19" t="n"/>
      <c r="G12" s="20">
        <f>IF(A12="","",IF(F12&gt;0,"Erledigt","Offen"))</f>
        <v/>
      </c>
    </row>
    <row r="13">
      <c r="A13" s="17" t="n"/>
      <c r="B13" s="18" t="n"/>
      <c r="C13" s="18" t="n"/>
      <c r="D13" s="18" t="n"/>
      <c r="E13" s="19" t="n"/>
      <c r="F13" s="19" t="n"/>
      <c r="G13" s="20">
        <f>IF(A13="","",IF(F13&gt;0,"Erledigt","Offen"))</f>
        <v/>
      </c>
    </row>
    <row r="14">
      <c r="A14" s="17" t="n"/>
      <c r="B14" s="18" t="n"/>
      <c r="C14" s="18" t="n"/>
      <c r="D14" s="18" t="n"/>
      <c r="E14" s="19" t="n"/>
      <c r="F14" s="19" t="n"/>
      <c r="G14" s="20">
        <f>IF(A14="","",IF(F14&gt;0,"Erledigt","Offen"))</f>
        <v/>
      </c>
    </row>
    <row r="15">
      <c r="A15" s="17" t="n"/>
      <c r="B15" s="18" t="n"/>
      <c r="C15" s="18" t="n"/>
      <c r="D15" s="18" t="n"/>
      <c r="E15" s="19" t="n"/>
      <c r="F15" s="19" t="n"/>
      <c r="G15" s="20">
        <f>IF(A15="","",IF(F15&gt;0,"Erledigt","Offen"))</f>
        <v/>
      </c>
    </row>
    <row r="16">
      <c r="A16" s="17" t="n"/>
      <c r="B16" s="18" t="n"/>
      <c r="C16" s="18" t="n"/>
      <c r="D16" s="18" t="n"/>
      <c r="E16" s="19" t="n"/>
      <c r="F16" s="19" t="n"/>
      <c r="G16" s="20">
        <f>IF(A16="","",IF(F16&gt;0,"Erledigt","Offen"))</f>
        <v/>
      </c>
    </row>
    <row r="17">
      <c r="A17" s="17" t="n"/>
      <c r="B17" s="18" t="n"/>
      <c r="C17" s="18" t="n"/>
      <c r="D17" s="18" t="n"/>
      <c r="E17" s="19" t="n"/>
      <c r="F17" s="19" t="n"/>
      <c r="G17" s="20">
        <f>IF(A17="","",IF(F17&gt;0,"Erledigt","Offen"))</f>
        <v/>
      </c>
    </row>
    <row r="18">
      <c r="A18" s="17" t="n"/>
      <c r="B18" s="18" t="n"/>
      <c r="C18" s="18" t="n"/>
      <c r="D18" s="18" t="n"/>
      <c r="E18" s="19" t="n"/>
      <c r="F18" s="19" t="n"/>
      <c r="G18" s="20">
        <f>IF(A18="","",IF(F18&gt;0,"Erledigt","Offen"))</f>
        <v/>
      </c>
    </row>
    <row r="19">
      <c r="A19" s="17" t="n"/>
      <c r="B19" s="18" t="n"/>
      <c r="C19" s="18" t="n"/>
      <c r="D19" s="18" t="n"/>
      <c r="E19" s="19" t="n"/>
      <c r="F19" s="19" t="n"/>
      <c r="G19" s="20">
        <f>IF(A19="","",IF(F19&gt;0,"Erledigt","Offen"))</f>
        <v/>
      </c>
    </row>
    <row r="20">
      <c r="A20" s="17" t="n"/>
      <c r="B20" s="18" t="n"/>
      <c r="C20" s="18" t="n"/>
      <c r="D20" s="18" t="n"/>
      <c r="E20" s="19" t="n"/>
      <c r="F20" s="19" t="n"/>
      <c r="G20" s="20">
        <f>IF(A20="","",IF(F20&gt;0,"Erledigt","Offen"))</f>
        <v/>
      </c>
    </row>
    <row r="21">
      <c r="A21" s="17" t="n"/>
      <c r="B21" s="18" t="n"/>
      <c r="C21" s="18" t="n"/>
      <c r="D21" s="18" t="n"/>
      <c r="E21" s="19" t="n"/>
      <c r="F21" s="19" t="n"/>
      <c r="G21" s="20">
        <f>IF(A21="","",IF(F21&gt;0,"Erledigt","Offen"))</f>
        <v/>
      </c>
    </row>
    <row r="22">
      <c r="A22" s="17" t="n"/>
      <c r="B22" s="18" t="n"/>
      <c r="C22" s="18" t="n"/>
      <c r="D22" s="18" t="n"/>
      <c r="E22" s="19" t="n"/>
      <c r="F22" s="19" t="n"/>
      <c r="G22" s="20">
        <f>IF(A22="","",IF(F22&gt;0,"Erledigt","Offen"))</f>
        <v/>
      </c>
    </row>
    <row r="23">
      <c r="A23" s="17" t="n"/>
      <c r="B23" s="18" t="n"/>
      <c r="C23" s="18" t="n"/>
      <c r="D23" s="18" t="n"/>
      <c r="E23" s="19" t="n"/>
      <c r="F23" s="19" t="n"/>
      <c r="G23" s="20">
        <f>IF(A23="","",IF(F23&gt;0,"Erledigt","Offen"))</f>
        <v/>
      </c>
    </row>
    <row r="24">
      <c r="A24" s="17" t="n"/>
      <c r="B24" s="18" t="n"/>
      <c r="C24" s="18" t="n"/>
      <c r="D24" s="18" t="n"/>
      <c r="E24" s="19" t="n"/>
      <c r="F24" s="19" t="n"/>
      <c r="G24" s="20">
        <f>IF(A24="","",IF(F24&gt;0,"Erledigt","Offen"))</f>
        <v/>
      </c>
    </row>
    <row r="25">
      <c r="A25" s="17" t="n"/>
      <c r="B25" s="18" t="n"/>
      <c r="C25" s="18" t="n"/>
      <c r="D25" s="18" t="n"/>
      <c r="E25" s="19" t="n"/>
      <c r="F25" s="19" t="n"/>
      <c r="G25" s="20">
        <f>IF(A25="","",IF(F25&gt;0,"Erledigt","Offen"))</f>
        <v/>
      </c>
    </row>
    <row r="26">
      <c r="A26" s="17" t="n"/>
      <c r="B26" s="18" t="n"/>
      <c r="C26" s="18" t="n"/>
      <c r="D26" s="18" t="n"/>
      <c r="E26" s="19" t="n"/>
      <c r="F26" s="19" t="n"/>
      <c r="G26" s="20">
        <f>IF(A26="","",IF(F26&gt;0,"Erledigt","Offen"))</f>
        <v/>
      </c>
    </row>
    <row r="27">
      <c r="A27" s="17" t="n"/>
      <c r="B27" s="18" t="n"/>
      <c r="C27" s="18" t="n"/>
      <c r="D27" s="18" t="n"/>
      <c r="E27" s="19" t="n"/>
      <c r="F27" s="19" t="n"/>
      <c r="G27" s="20">
        <f>IF(A27="","",IF(F27&gt;0,"Erledigt","Offen"))</f>
        <v/>
      </c>
    </row>
    <row r="28">
      <c r="A28" s="17" t="n"/>
      <c r="B28" s="18" t="n"/>
      <c r="C28" s="18" t="n"/>
      <c r="D28" s="18" t="n"/>
      <c r="E28" s="19" t="n"/>
      <c r="F28" s="19" t="n"/>
      <c r="G28" s="20">
        <f>IF(A28="","",IF(F28&gt;0,"Erledigt","Offen"))</f>
        <v/>
      </c>
    </row>
    <row r="29">
      <c r="A29" s="17" t="n"/>
      <c r="B29" s="18" t="n"/>
      <c r="C29" s="18" t="n"/>
      <c r="D29" s="18" t="n"/>
      <c r="E29" s="19" t="n"/>
      <c r="F29" s="19" t="n"/>
      <c r="G29" s="20">
        <f>IF(A29="","",IF(F29&gt;0,"Erledigt","Offen"))</f>
        <v/>
      </c>
    </row>
    <row r="30">
      <c r="A30" s="17" t="n"/>
      <c r="B30" s="18" t="n"/>
      <c r="C30" s="18" t="n"/>
      <c r="D30" s="18" t="n"/>
      <c r="E30" s="19" t="n"/>
      <c r="F30" s="19" t="n"/>
      <c r="G30" s="20">
        <f>IF(A30="","",IF(F30&gt;0,"Erledigt","Offen"))</f>
        <v/>
      </c>
    </row>
    <row r="31">
      <c r="A31" s="17" t="n"/>
      <c r="B31" s="18" t="n"/>
      <c r="C31" s="18" t="n"/>
      <c r="D31" s="18" t="n"/>
      <c r="E31" s="19" t="n"/>
      <c r="F31" s="19" t="n"/>
      <c r="G31" s="20">
        <f>IF(A31="","",IF(F31&gt;0,"Erledigt","Offen"))</f>
        <v/>
      </c>
    </row>
    <row r="32">
      <c r="A32" s="17" t="n"/>
      <c r="B32" s="18" t="n"/>
      <c r="C32" s="18" t="n"/>
      <c r="D32" s="18" t="n"/>
      <c r="E32" s="19" t="n"/>
      <c r="F32" s="19" t="n"/>
      <c r="G32" s="20">
        <f>IF(A32="","",IF(F32&gt;0,"Erledigt","Offen"))</f>
        <v/>
      </c>
    </row>
    <row r="33">
      <c r="A33" s="17" t="n"/>
      <c r="B33" s="18" t="n"/>
      <c r="C33" s="18" t="n"/>
      <c r="D33" s="18" t="n"/>
      <c r="E33" s="19" t="n"/>
      <c r="F33" s="19" t="n"/>
      <c r="G33" s="20">
        <f>IF(A33="","",IF(F33&gt;0,"Erledigt","Offen"))</f>
        <v/>
      </c>
    </row>
    <row r="34">
      <c r="A34" s="17" t="n"/>
      <c r="B34" s="18" t="n"/>
      <c r="C34" s="18" t="n"/>
      <c r="D34" s="18" t="n"/>
      <c r="E34" s="19" t="n"/>
      <c r="F34" s="19" t="n"/>
      <c r="G34" s="20">
        <f>IF(A34="","",IF(F34&gt;0,"Erledigt","Offen"))</f>
        <v/>
      </c>
    </row>
    <row r="35">
      <c r="A35" s="17" t="n"/>
      <c r="B35" s="18" t="n"/>
      <c r="C35" s="18" t="n"/>
      <c r="D35" s="18" t="n"/>
      <c r="E35" s="19" t="n"/>
      <c r="F35" s="19" t="n"/>
      <c r="G35" s="20">
        <f>IF(A35="","",IF(F35&gt;0,"Erledigt","Offen"))</f>
        <v/>
      </c>
    </row>
    <row r="36">
      <c r="A36" s="17" t="n"/>
      <c r="B36" s="18" t="n"/>
      <c r="C36" s="18" t="n"/>
      <c r="D36" s="18" t="n"/>
      <c r="E36" s="19" t="n"/>
      <c r="F36" s="19" t="n"/>
      <c r="G36" s="20">
        <f>IF(A36="","",IF(F36&gt;0,"Erledigt","Offen"))</f>
        <v/>
      </c>
    </row>
    <row r="37">
      <c r="A37" s="17" t="n"/>
      <c r="B37" s="18" t="n"/>
      <c r="C37" s="18" t="n"/>
      <c r="D37" s="18" t="n"/>
      <c r="E37" s="19" t="n"/>
      <c r="F37" s="19" t="n"/>
      <c r="G37" s="20">
        <f>IF(A37="","",IF(F37&gt;0,"Erledigt","Offen"))</f>
        <v/>
      </c>
    </row>
    <row r="38">
      <c r="A38" s="17" t="n"/>
      <c r="B38" s="18" t="n"/>
      <c r="C38" s="18" t="n"/>
      <c r="D38" s="18" t="n"/>
      <c r="E38" s="19" t="n"/>
      <c r="F38" s="19" t="n"/>
      <c r="G38" s="20">
        <f>IF(A38="","",IF(F38&gt;0,"Erledigt","Offen"))</f>
        <v/>
      </c>
    </row>
    <row r="39">
      <c r="A39" s="17" t="n"/>
      <c r="B39" s="18" t="n"/>
      <c r="C39" s="18" t="n"/>
      <c r="D39" s="18" t="n"/>
      <c r="E39" s="19" t="n"/>
      <c r="F39" s="19" t="n"/>
      <c r="G39" s="20">
        <f>IF(A39="","",IF(F39&gt;0,"Erledigt","Offen"))</f>
        <v/>
      </c>
    </row>
    <row r="40">
      <c r="A40" s="17" t="n"/>
      <c r="B40" s="18" t="n"/>
      <c r="C40" s="18" t="n"/>
      <c r="D40" s="18" t="n"/>
      <c r="E40" s="19" t="n"/>
      <c r="F40" s="19" t="n"/>
      <c r="G40" s="20">
        <f>IF(A40="","",IF(F40&gt;0,"Erledigt","Offen"))</f>
        <v/>
      </c>
    </row>
    <row r="41">
      <c r="A41" s="17" t="n"/>
      <c r="B41" s="18" t="n"/>
      <c r="C41" s="18" t="n"/>
      <c r="D41" s="18" t="n"/>
      <c r="E41" s="19" t="n"/>
      <c r="F41" s="19" t="n"/>
      <c r="G41" s="20">
        <f>IF(A41="","",IF(F41&gt;0,"Erledigt","Offen"))</f>
        <v/>
      </c>
    </row>
    <row r="42">
      <c r="A42" s="17" t="n"/>
      <c r="B42" s="18" t="n"/>
      <c r="C42" s="18" t="n"/>
      <c r="D42" s="18" t="n"/>
      <c r="E42" s="19" t="n"/>
      <c r="F42" s="19" t="n"/>
      <c r="G42" s="20">
        <f>IF(A42="","",IF(F42&gt;0,"Erledigt","Offen"))</f>
        <v/>
      </c>
    </row>
    <row r="43">
      <c r="A43" s="17" t="n"/>
      <c r="B43" s="18" t="n"/>
      <c r="C43" s="18" t="n"/>
      <c r="D43" s="18" t="n"/>
      <c r="E43" s="19" t="n"/>
      <c r="F43" s="19" t="n"/>
      <c r="G43" s="20">
        <f>IF(A43="","",IF(F43&gt;0,"Erledigt","Offen"))</f>
        <v/>
      </c>
    </row>
    <row r="44">
      <c r="A44" s="17" t="n"/>
      <c r="B44" s="18" t="n"/>
      <c r="C44" s="18" t="n"/>
      <c r="D44" s="18" t="n"/>
      <c r="E44" s="19" t="n"/>
      <c r="F44" s="19" t="n"/>
      <c r="G44" s="20">
        <f>IF(A44="","",IF(F44&gt;0,"Erledigt","Offen"))</f>
        <v/>
      </c>
    </row>
    <row r="45">
      <c r="A45" s="17" t="n"/>
      <c r="B45" s="18" t="n"/>
      <c r="C45" s="18" t="n"/>
      <c r="D45" s="18" t="n"/>
      <c r="E45" s="19" t="n"/>
      <c r="F45" s="19" t="n"/>
      <c r="G45" s="20">
        <f>IF(A45="","",IF(F45&gt;0,"Erledigt","Offen"))</f>
        <v/>
      </c>
    </row>
    <row r="46">
      <c r="A46" s="17" t="n"/>
      <c r="B46" s="18" t="n"/>
      <c r="C46" s="18" t="n"/>
      <c r="D46" s="18" t="n"/>
      <c r="E46" s="19" t="n"/>
      <c r="F46" s="19" t="n"/>
      <c r="G46" s="20">
        <f>IF(A46="","",IF(F46&gt;0,"Erledigt","Offen"))</f>
        <v/>
      </c>
    </row>
    <row r="47">
      <c r="A47" s="17" t="n"/>
      <c r="B47" s="18" t="n"/>
      <c r="C47" s="18" t="n"/>
      <c r="D47" s="18" t="n"/>
      <c r="E47" s="19" t="n"/>
      <c r="F47" s="19" t="n"/>
      <c r="G47" s="20">
        <f>IF(A47="","",IF(F47&gt;0,"Erledigt","Offen"))</f>
        <v/>
      </c>
    </row>
    <row r="48">
      <c r="A48" s="17" t="n"/>
      <c r="B48" s="18" t="n"/>
      <c r="C48" s="18" t="n"/>
      <c r="D48" s="18" t="n"/>
      <c r="E48" s="19" t="n"/>
      <c r="F48" s="19" t="n"/>
      <c r="G48" s="20">
        <f>IF(A48="","",IF(F48&gt;0,"Erledigt","Offen"))</f>
        <v/>
      </c>
    </row>
    <row r="49">
      <c r="A49" s="17" t="n"/>
      <c r="B49" s="18" t="n"/>
      <c r="C49" s="18" t="n"/>
      <c r="D49" s="18" t="n"/>
      <c r="E49" s="19" t="n"/>
      <c r="F49" s="19" t="n"/>
      <c r="G49" s="20">
        <f>IF(A49="","",IF(F49&gt;0,"Erledigt","Offen"))</f>
        <v/>
      </c>
    </row>
    <row r="50">
      <c r="A50" s="17" t="n"/>
      <c r="B50" s="18" t="n"/>
      <c r="C50" s="18" t="n"/>
      <c r="D50" s="18" t="n"/>
      <c r="E50" s="19" t="n"/>
      <c r="F50" s="19" t="n"/>
      <c r="G50" s="20">
        <f>IF(A50="","",IF(F50&gt;0,"Erledigt","Offen"))</f>
        <v/>
      </c>
    </row>
    <row r="51">
      <c r="A51" s="17" t="n"/>
      <c r="B51" s="18" t="n"/>
      <c r="C51" s="18" t="n"/>
      <c r="D51" s="18" t="n"/>
      <c r="E51" s="19" t="n"/>
      <c r="F51" s="19" t="n"/>
      <c r="G51" s="20">
        <f>IF(A51="","",IF(F51&gt;0,"Erledigt","Offen"))</f>
        <v/>
      </c>
    </row>
    <row r="52">
      <c r="A52" s="17" t="n"/>
      <c r="B52" s="18" t="n"/>
      <c r="C52" s="18" t="n"/>
      <c r="D52" s="18" t="n"/>
      <c r="E52" s="19" t="n"/>
      <c r="F52" s="19" t="n"/>
      <c r="G52" s="20">
        <f>IF(A52="","",IF(F52&gt;0,"Erledigt","Offen"))</f>
        <v/>
      </c>
    </row>
    <row r="53">
      <c r="A53" s="17" t="n"/>
      <c r="B53" s="18" t="n"/>
      <c r="C53" s="18" t="n"/>
      <c r="D53" s="18" t="n"/>
      <c r="E53" s="19" t="n"/>
      <c r="F53" s="19" t="n"/>
      <c r="G53" s="20">
        <f>IF(A53="","",IF(F53&gt;0,"Erledigt","Offen"))</f>
        <v/>
      </c>
    </row>
    <row r="54">
      <c r="A54" s="17" t="n"/>
      <c r="B54" s="18" t="n"/>
      <c r="C54" s="18" t="n"/>
      <c r="D54" s="18" t="n"/>
      <c r="E54" s="19" t="n"/>
      <c r="F54" s="19" t="n"/>
      <c r="G54" s="20">
        <f>IF(A54="","",IF(F54&gt;0,"Erledigt","Offen"))</f>
        <v/>
      </c>
    </row>
    <row r="55">
      <c r="A55" s="17" t="n"/>
      <c r="B55" s="18" t="n"/>
      <c r="C55" s="18" t="n"/>
      <c r="D55" s="18" t="n"/>
      <c r="E55" s="19" t="n"/>
      <c r="F55" s="19" t="n"/>
      <c r="G55" s="20">
        <f>IF(A55="","",IF(F55&gt;0,"Erledigt","Offen"))</f>
        <v/>
      </c>
    </row>
    <row r="56">
      <c r="A56" s="17" t="n"/>
      <c r="B56" s="18" t="n"/>
      <c r="C56" s="18" t="n"/>
      <c r="D56" s="18" t="n"/>
      <c r="E56" s="19" t="n"/>
      <c r="F56" s="19" t="n"/>
      <c r="G56" s="20">
        <f>IF(A56="","",IF(F56&gt;0,"Erledigt","Offen"))</f>
        <v/>
      </c>
    </row>
    <row r="57">
      <c r="A57" s="17" t="n"/>
      <c r="B57" s="18" t="n"/>
      <c r="C57" s="18" t="n"/>
      <c r="D57" s="18" t="n"/>
      <c r="E57" s="19" t="n"/>
      <c r="F57" s="19" t="n"/>
      <c r="G57" s="20">
        <f>IF(A57="","",IF(F57&gt;0,"Erledigt","Offen"))</f>
        <v/>
      </c>
    </row>
    <row r="58">
      <c r="A58" s="17" t="n"/>
      <c r="B58" s="18" t="n"/>
      <c r="C58" s="18" t="n"/>
      <c r="D58" s="18" t="n"/>
      <c r="E58" s="19" t="n"/>
      <c r="F58" s="19" t="n"/>
      <c r="G58" s="20">
        <f>IF(A58="","",IF(F58&gt;0,"Erledigt","Offen"))</f>
        <v/>
      </c>
    </row>
    <row r="59">
      <c r="A59" s="17" t="n"/>
      <c r="B59" s="18" t="n"/>
      <c r="C59" s="18" t="n"/>
      <c r="D59" s="18" t="n"/>
      <c r="E59" s="19" t="n"/>
      <c r="F59" s="19" t="n"/>
      <c r="G59" s="20">
        <f>IF(A59="","",IF(F59&gt;0,"Erledigt","Offen"))</f>
        <v/>
      </c>
    </row>
    <row r="60">
      <c r="A60" s="17" t="n"/>
      <c r="B60" s="18" t="n"/>
      <c r="C60" s="18" t="n"/>
      <c r="D60" s="18" t="n"/>
      <c r="E60" s="19" t="n"/>
      <c r="F60" s="19" t="n"/>
      <c r="G60" s="20">
        <f>IF(A60="","",IF(F60&gt;0,"Erledigt","Offen"))</f>
        <v/>
      </c>
    </row>
    <row r="61">
      <c r="A61" s="17" t="n"/>
      <c r="B61" s="18" t="n"/>
      <c r="C61" s="18" t="n"/>
      <c r="D61" s="18" t="n"/>
      <c r="E61" s="19" t="n"/>
      <c r="F61" s="19" t="n"/>
      <c r="G61" s="20">
        <f>IF(A61="","",IF(F61&gt;0,"Erledigt","Offen"))</f>
        <v/>
      </c>
    </row>
    <row r="62">
      <c r="A62" s="17" t="n"/>
      <c r="B62" s="18" t="n"/>
      <c r="C62" s="18" t="n"/>
      <c r="D62" s="18" t="n"/>
      <c r="E62" s="19" t="n"/>
      <c r="F62" s="19" t="n"/>
      <c r="G62" s="20">
        <f>IF(A62="","",IF(F62&gt;0,"Erledigt","Offen"))</f>
        <v/>
      </c>
    </row>
    <row r="63">
      <c r="A63" s="17" t="n"/>
      <c r="B63" s="18" t="n"/>
      <c r="C63" s="18" t="n"/>
      <c r="D63" s="18" t="n"/>
      <c r="E63" s="19" t="n"/>
      <c r="F63" s="19" t="n"/>
      <c r="G63" s="20">
        <f>IF(A63="","",IF(F63&gt;0,"Erledigt","Offen"))</f>
        <v/>
      </c>
    </row>
    <row r="64">
      <c r="A64" s="17" t="n"/>
      <c r="B64" s="18" t="n"/>
      <c r="C64" s="18" t="n"/>
      <c r="D64" s="18" t="n"/>
      <c r="E64" s="19" t="n"/>
      <c r="F64" s="19" t="n"/>
      <c r="G64" s="20">
        <f>IF(A64="","",IF(F64&gt;0,"Erledigt","Offen"))</f>
        <v/>
      </c>
    </row>
    <row r="65">
      <c r="A65" s="17" t="n"/>
      <c r="B65" s="18" t="n"/>
      <c r="C65" s="18" t="n"/>
      <c r="D65" s="18" t="n"/>
      <c r="E65" s="19" t="n"/>
      <c r="F65" s="19" t="n"/>
      <c r="G65" s="20">
        <f>IF(A65="","",IF(F65&gt;0,"Erledigt","Offen"))</f>
        <v/>
      </c>
    </row>
    <row r="66">
      <c r="A66" s="17" t="n"/>
      <c r="B66" s="18" t="n"/>
      <c r="C66" s="18" t="n"/>
      <c r="D66" s="18" t="n"/>
      <c r="E66" s="19" t="n"/>
      <c r="F66" s="19" t="n"/>
      <c r="G66" s="20">
        <f>IF(A66="","",IF(F66&gt;0,"Erledigt","Offen"))</f>
        <v/>
      </c>
    </row>
    <row r="67">
      <c r="A67" s="17" t="n"/>
      <c r="B67" s="18" t="n"/>
      <c r="C67" s="18" t="n"/>
      <c r="D67" s="18" t="n"/>
      <c r="E67" s="19" t="n"/>
      <c r="F67" s="19" t="n"/>
      <c r="G67" s="20">
        <f>IF(A67="","",IF(F67&gt;0,"Erledigt","Offen"))</f>
        <v/>
      </c>
    </row>
    <row r="68">
      <c r="A68" s="17" t="n"/>
      <c r="B68" s="18" t="n"/>
      <c r="C68" s="18" t="n"/>
      <c r="D68" s="18" t="n"/>
      <c r="E68" s="19" t="n"/>
      <c r="F68" s="19" t="n"/>
      <c r="G68" s="20">
        <f>IF(A68="","",IF(F68&gt;0,"Erledigt","Offen"))</f>
        <v/>
      </c>
    </row>
    <row r="69">
      <c r="A69" s="17" t="n"/>
      <c r="B69" s="18" t="n"/>
      <c r="C69" s="18" t="n"/>
      <c r="D69" s="18" t="n"/>
      <c r="E69" s="19" t="n"/>
      <c r="F69" s="19" t="n"/>
      <c r="G69" s="20">
        <f>IF(A69="","",IF(F69&gt;0,"Erledigt","Offen"))</f>
        <v/>
      </c>
    </row>
    <row r="70">
      <c r="A70" s="17" t="n"/>
      <c r="B70" s="18" t="n"/>
      <c r="C70" s="18" t="n"/>
      <c r="D70" s="18" t="n"/>
      <c r="E70" s="19" t="n"/>
      <c r="F70" s="19" t="n"/>
      <c r="G70" s="20">
        <f>IF(A70="","",IF(F70&gt;0,"Erledigt","Offen"))</f>
        <v/>
      </c>
    </row>
    <row r="71">
      <c r="A71" s="17" t="n"/>
      <c r="B71" s="18" t="n"/>
      <c r="C71" s="18" t="n"/>
      <c r="D71" s="18" t="n"/>
      <c r="E71" s="19" t="n"/>
      <c r="F71" s="19" t="n"/>
      <c r="G71" s="20">
        <f>IF(A71="","",IF(F71&gt;0,"Erledigt","Offen"))</f>
        <v/>
      </c>
    </row>
    <row r="72">
      <c r="A72" s="17" t="n"/>
      <c r="B72" s="18" t="n"/>
      <c r="C72" s="18" t="n"/>
      <c r="D72" s="18" t="n"/>
      <c r="E72" s="19" t="n"/>
      <c r="F72" s="19" t="n"/>
      <c r="G72" s="20">
        <f>IF(A72="","",IF(F72&gt;0,"Erledigt","Offen"))</f>
        <v/>
      </c>
    </row>
    <row r="73">
      <c r="A73" s="17" t="n"/>
      <c r="B73" s="18" t="n"/>
      <c r="C73" s="18" t="n"/>
      <c r="D73" s="18" t="n"/>
      <c r="E73" s="19" t="n"/>
      <c r="F73" s="19" t="n"/>
      <c r="G73" s="20">
        <f>IF(A73="","",IF(F73&gt;0,"Erledigt","Offen"))</f>
        <v/>
      </c>
    </row>
    <row r="74">
      <c r="A74" s="17" t="n"/>
      <c r="B74" s="18" t="n"/>
      <c r="C74" s="18" t="n"/>
      <c r="D74" s="18" t="n"/>
      <c r="E74" s="19" t="n"/>
      <c r="F74" s="19" t="n"/>
      <c r="G74" s="20">
        <f>IF(A74="","",IF(F74&gt;0,"Erledigt","Offen"))</f>
        <v/>
      </c>
    </row>
    <row r="75">
      <c r="A75" s="17" t="n"/>
      <c r="B75" s="18" t="n"/>
      <c r="C75" s="18" t="n"/>
      <c r="D75" s="18" t="n"/>
      <c r="E75" s="19" t="n"/>
      <c r="F75" s="19" t="n"/>
      <c r="G75" s="20">
        <f>IF(A75="","",IF(F75&gt;0,"Erledigt","Offen"))</f>
        <v/>
      </c>
    </row>
    <row r="76">
      <c r="A76" s="17" t="n"/>
      <c r="B76" s="18" t="n"/>
      <c r="C76" s="18" t="n"/>
      <c r="D76" s="18" t="n"/>
      <c r="E76" s="19" t="n"/>
      <c r="F76" s="19" t="n"/>
      <c r="G76" s="20">
        <f>IF(A76="","",IF(F76&gt;0,"Erledigt","Offen"))</f>
        <v/>
      </c>
    </row>
    <row r="77">
      <c r="A77" s="17" t="n"/>
      <c r="B77" s="18" t="n"/>
      <c r="C77" s="18" t="n"/>
      <c r="D77" s="18" t="n"/>
      <c r="E77" s="19" t="n"/>
      <c r="F77" s="19" t="n"/>
      <c r="G77" s="20">
        <f>IF(A77="","",IF(F77&gt;0,"Erledigt","Offen"))</f>
        <v/>
      </c>
    </row>
    <row r="78">
      <c r="A78" s="17" t="n"/>
      <c r="B78" s="18" t="n"/>
      <c r="C78" s="18" t="n"/>
      <c r="D78" s="18" t="n"/>
      <c r="E78" s="19" t="n"/>
      <c r="F78" s="19" t="n"/>
      <c r="G78" s="20">
        <f>IF(A78="","",IF(F78&gt;0,"Erledigt","Offen"))</f>
        <v/>
      </c>
    </row>
    <row r="79">
      <c r="A79" s="17" t="n"/>
      <c r="B79" s="18" t="n"/>
      <c r="C79" s="18" t="n"/>
      <c r="D79" s="18" t="n"/>
      <c r="E79" s="19" t="n"/>
      <c r="F79" s="19" t="n"/>
      <c r="G79" s="20">
        <f>IF(A79="","",IF(F79&gt;0,"Erledigt","Offen"))</f>
        <v/>
      </c>
    </row>
    <row r="80">
      <c r="A80" s="17" t="n"/>
      <c r="B80" s="18" t="n"/>
      <c r="C80" s="18" t="n"/>
      <c r="D80" s="18" t="n"/>
      <c r="E80" s="19" t="n"/>
      <c r="F80" s="19" t="n"/>
      <c r="G80" s="20">
        <f>IF(A80="","",IF(F80&gt;0,"Erledigt","Offen"))</f>
        <v/>
      </c>
    </row>
    <row r="81">
      <c r="A81" s="17" t="n"/>
      <c r="B81" s="18" t="n"/>
      <c r="C81" s="18" t="n"/>
      <c r="D81" s="18" t="n"/>
      <c r="E81" s="19" t="n"/>
      <c r="F81" s="19" t="n"/>
      <c r="G81" s="20">
        <f>IF(A81="","",IF(F81&gt;0,"Erledigt","Offen"))</f>
        <v/>
      </c>
    </row>
    <row r="82">
      <c r="A82" s="17" t="n"/>
      <c r="B82" s="18" t="n"/>
      <c r="C82" s="18" t="n"/>
      <c r="D82" s="18" t="n"/>
      <c r="E82" s="19" t="n"/>
      <c r="F82" s="19" t="n"/>
      <c r="G82" s="20">
        <f>IF(A82="","",IF(F82&gt;0,"Erledigt","Offen"))</f>
        <v/>
      </c>
    </row>
    <row r="83">
      <c r="A83" s="17" t="n"/>
      <c r="B83" s="18" t="n"/>
      <c r="C83" s="18" t="n"/>
      <c r="D83" s="18" t="n"/>
      <c r="E83" s="19" t="n"/>
      <c r="F83" s="19" t="n"/>
      <c r="G83" s="20">
        <f>IF(A83="","",IF(F83&gt;0,"Erledigt","Offen"))</f>
        <v/>
      </c>
    </row>
    <row r="84">
      <c r="A84" s="17" t="n"/>
      <c r="B84" s="18" t="n"/>
      <c r="C84" s="18" t="n"/>
      <c r="D84" s="18" t="n"/>
      <c r="E84" s="19" t="n"/>
      <c r="F84" s="19" t="n"/>
      <c r="G84" s="20">
        <f>IF(A84="","",IF(F84&gt;0,"Erledigt","Offen"))</f>
        <v/>
      </c>
    </row>
    <row r="85">
      <c r="A85" s="17" t="n"/>
      <c r="B85" s="18" t="n"/>
      <c r="C85" s="18" t="n"/>
      <c r="D85" s="18" t="n"/>
      <c r="E85" s="19" t="n"/>
      <c r="F85" s="19" t="n"/>
      <c r="G85" s="20">
        <f>IF(A85="","",IF(F85&gt;0,"Erledigt","Offen"))</f>
        <v/>
      </c>
    </row>
    <row r="86">
      <c r="A86" s="17" t="n"/>
      <c r="B86" s="18" t="n"/>
      <c r="C86" s="18" t="n"/>
      <c r="D86" s="18" t="n"/>
      <c r="E86" s="19" t="n"/>
      <c r="F86" s="19" t="n"/>
      <c r="G86" s="20">
        <f>IF(A86="","",IF(F86&gt;0,"Erledigt","Offen"))</f>
        <v/>
      </c>
    </row>
    <row r="87">
      <c r="A87" s="17" t="n"/>
      <c r="B87" s="18" t="n"/>
      <c r="C87" s="18" t="n"/>
      <c r="D87" s="18" t="n"/>
      <c r="E87" s="19" t="n"/>
      <c r="F87" s="19" t="n"/>
      <c r="G87" s="20">
        <f>IF(A87="","",IF(F87&gt;0,"Erledigt","Offen"))</f>
        <v/>
      </c>
    </row>
    <row r="88">
      <c r="A88" s="17" t="n"/>
      <c r="B88" s="18" t="n"/>
      <c r="C88" s="18" t="n"/>
      <c r="D88" s="18" t="n"/>
      <c r="E88" s="19" t="n"/>
      <c r="F88" s="19" t="n"/>
      <c r="G88" s="20">
        <f>IF(A88="","",IF(F88&gt;0,"Erledigt","Offen"))</f>
        <v/>
      </c>
    </row>
    <row r="89">
      <c r="A89" s="17" t="n"/>
      <c r="B89" s="18" t="n"/>
      <c r="C89" s="18" t="n"/>
      <c r="D89" s="18" t="n"/>
      <c r="E89" s="19" t="n"/>
      <c r="F89" s="19" t="n"/>
      <c r="G89" s="20">
        <f>IF(A89="","",IF(F89&gt;0,"Erledigt","Offen"))</f>
        <v/>
      </c>
    </row>
    <row r="90">
      <c r="A90" s="17" t="n"/>
      <c r="B90" s="18" t="n"/>
      <c r="C90" s="18" t="n"/>
      <c r="D90" s="18" t="n"/>
      <c r="E90" s="19" t="n"/>
      <c r="F90" s="19" t="n"/>
      <c r="G90" s="20">
        <f>IF(A90="","",IF(F90&gt;0,"Erledigt","Offen"))</f>
        <v/>
      </c>
    </row>
    <row r="91">
      <c r="A91" s="17" t="n"/>
      <c r="B91" s="18" t="n"/>
      <c r="C91" s="18" t="n"/>
      <c r="D91" s="18" t="n"/>
      <c r="E91" s="19" t="n"/>
      <c r="F91" s="19" t="n"/>
      <c r="G91" s="20">
        <f>IF(A91="","",IF(F91&gt;0,"Erledigt","Offen"))</f>
        <v/>
      </c>
    </row>
    <row r="92">
      <c r="A92" s="17" t="n"/>
      <c r="B92" s="18" t="n"/>
      <c r="C92" s="18" t="n"/>
      <c r="D92" s="18" t="n"/>
      <c r="E92" s="19" t="n"/>
      <c r="F92" s="19" t="n"/>
      <c r="G92" s="20">
        <f>IF(A92="","",IF(F92&gt;0,"Erledigt","Offen"))</f>
        <v/>
      </c>
    </row>
    <row r="93">
      <c r="A93" s="17" t="n"/>
      <c r="B93" s="18" t="n"/>
      <c r="C93" s="18" t="n"/>
      <c r="D93" s="18" t="n"/>
      <c r="E93" s="19" t="n"/>
      <c r="F93" s="19" t="n"/>
      <c r="G93" s="20">
        <f>IF(A93="","",IF(F93&gt;0,"Erledigt","Offen"))</f>
        <v/>
      </c>
    </row>
    <row r="94">
      <c r="A94" s="17" t="n"/>
      <c r="B94" s="18" t="n"/>
      <c r="C94" s="18" t="n"/>
      <c r="D94" s="18" t="n"/>
      <c r="E94" s="19" t="n"/>
      <c r="F94" s="19" t="n"/>
      <c r="G94" s="20">
        <f>IF(A94="","",IF(F94&gt;0,"Erledigt","Offen"))</f>
        <v/>
      </c>
    </row>
    <row r="95">
      <c r="A95" s="17" t="n"/>
      <c r="B95" s="18" t="n"/>
      <c r="C95" s="18" t="n"/>
      <c r="D95" s="18" t="n"/>
      <c r="E95" s="19" t="n"/>
      <c r="F95" s="19" t="n"/>
      <c r="G95" s="20">
        <f>IF(A95="","",IF(F95&gt;0,"Erledigt","Offen"))</f>
        <v/>
      </c>
    </row>
    <row r="96">
      <c r="A96" s="17" t="n"/>
      <c r="B96" s="18" t="n"/>
      <c r="C96" s="18" t="n"/>
      <c r="D96" s="18" t="n"/>
      <c r="E96" s="19" t="n"/>
      <c r="F96" s="19" t="n"/>
      <c r="G96" s="20">
        <f>IF(A96="","",IF(F96&gt;0,"Erledigt","Offen"))</f>
        <v/>
      </c>
    </row>
    <row r="97">
      <c r="A97" s="17" t="n"/>
      <c r="B97" s="18" t="n"/>
      <c r="C97" s="18" t="n"/>
      <c r="D97" s="18" t="n"/>
      <c r="E97" s="19" t="n"/>
      <c r="F97" s="19" t="n"/>
      <c r="G97" s="20">
        <f>IF(A97="","",IF(F97&gt;0,"Erledigt","Offen"))</f>
        <v/>
      </c>
    </row>
    <row r="98">
      <c r="A98" s="17" t="n"/>
      <c r="B98" s="18" t="n"/>
      <c r="C98" s="18" t="n"/>
      <c r="D98" s="18" t="n"/>
      <c r="E98" s="19" t="n"/>
      <c r="F98" s="19" t="n"/>
      <c r="G98" s="20">
        <f>IF(A98="","",IF(F98&gt;0,"Erledigt","Offen"))</f>
        <v/>
      </c>
    </row>
    <row r="99">
      <c r="A99" s="17" t="n"/>
      <c r="B99" s="18" t="n"/>
      <c r="C99" s="18" t="n"/>
      <c r="D99" s="18" t="n"/>
      <c r="E99" s="19" t="n"/>
      <c r="F99" s="19" t="n"/>
      <c r="G99" s="20">
        <f>IF(A99="","",IF(F99&gt;0,"Erledigt","Offen"))</f>
        <v/>
      </c>
    </row>
    <row r="100">
      <c r="A100" s="17" t="n"/>
      <c r="B100" s="18" t="n"/>
      <c r="C100" s="18" t="n"/>
      <c r="D100" s="18" t="n"/>
      <c r="E100" s="19" t="n"/>
      <c r="F100" s="19" t="n"/>
      <c r="G100" s="20">
        <f>IF(A100="","",IF(F100&gt;0,"Erledigt","Offen"))</f>
        <v/>
      </c>
    </row>
    <row r="101">
      <c r="A101" s="17" t="n"/>
      <c r="B101" s="18" t="n"/>
      <c r="C101" s="18" t="n"/>
      <c r="D101" s="18" t="n"/>
      <c r="E101" s="19" t="n"/>
      <c r="F101" s="19" t="n"/>
      <c r="G101" s="20">
        <f>IF(A101="","",IF(F101&gt;0,"Erledigt","Offen"))</f>
        <v/>
      </c>
    </row>
    <row r="102">
      <c r="A102" s="17" t="n"/>
      <c r="B102" s="18" t="n"/>
      <c r="C102" s="18" t="n"/>
      <c r="D102" s="18" t="n"/>
      <c r="E102" s="19" t="n"/>
      <c r="F102" s="19" t="n"/>
      <c r="G102" s="20">
        <f>IF(A102="","",IF(F102&gt;0,"Erledigt","Offen"))</f>
        <v/>
      </c>
    </row>
    <row r="103">
      <c r="A103" s="17" t="n"/>
      <c r="B103" s="18" t="n"/>
      <c r="C103" s="18" t="n"/>
      <c r="D103" s="18" t="n"/>
      <c r="E103" s="19" t="n"/>
      <c r="F103" s="19" t="n"/>
      <c r="G103" s="20">
        <f>IF(A103="","",IF(F103&gt;0,"Erledigt","Offen"))</f>
        <v/>
      </c>
    </row>
    <row r="104">
      <c r="A104" s="17" t="n"/>
      <c r="B104" s="18" t="n"/>
      <c r="C104" s="18" t="n"/>
      <c r="D104" s="18" t="n"/>
      <c r="E104" s="19" t="n"/>
      <c r="F104" s="19" t="n"/>
      <c r="G104" s="20">
        <f>IF(A104="","",IF(F104&gt;0,"Erledigt","Offen"))</f>
        <v/>
      </c>
    </row>
    <row r="105">
      <c r="A105" s="17" t="n"/>
      <c r="B105" s="18" t="n"/>
      <c r="C105" s="18" t="n"/>
      <c r="D105" s="18" t="n"/>
      <c r="E105" s="19" t="n"/>
      <c r="F105" s="19" t="n"/>
      <c r="G105" s="20">
        <f>IF(A105="","",IF(F105&gt;0,"Erledigt","Offen"))</f>
        <v/>
      </c>
    </row>
    <row r="106">
      <c r="A106" s="17" t="n"/>
      <c r="B106" s="18" t="n"/>
      <c r="C106" s="18" t="n"/>
      <c r="D106" s="18" t="n"/>
      <c r="E106" s="19" t="n"/>
      <c r="F106" s="19" t="n"/>
      <c r="G106" s="20">
        <f>IF(A106="","",IF(F106&gt;0,"Erledigt","Offen"))</f>
        <v/>
      </c>
    </row>
    <row r="107">
      <c r="A107" s="17" t="n"/>
      <c r="B107" s="18" t="n"/>
      <c r="C107" s="18" t="n"/>
      <c r="D107" s="18" t="n"/>
      <c r="E107" s="19" t="n"/>
      <c r="F107" s="19" t="n"/>
      <c r="G107" s="20">
        <f>IF(A107="","",IF(F107&gt;0,"Erledigt","Offen"))</f>
        <v/>
      </c>
    </row>
    <row r="108">
      <c r="A108" s="17" t="n"/>
      <c r="B108" s="18" t="n"/>
      <c r="C108" s="18" t="n"/>
      <c r="D108" s="18" t="n"/>
      <c r="E108" s="19" t="n"/>
      <c r="F108" s="19" t="n"/>
      <c r="G108" s="20">
        <f>IF(A108="","",IF(F108&gt;0,"Erledigt","Offen"))</f>
        <v/>
      </c>
    </row>
    <row r="109">
      <c r="A109" s="17" t="n"/>
      <c r="B109" s="18" t="n"/>
      <c r="C109" s="18" t="n"/>
      <c r="D109" s="18" t="n"/>
      <c r="E109" s="19" t="n"/>
      <c r="F109" s="19" t="n"/>
      <c r="G109" s="20">
        <f>IF(A109="","",IF(F109&gt;0,"Erledigt","Offen"))</f>
        <v/>
      </c>
    </row>
  </sheetData>
  <dataValidations count="2">
    <dataValidation sqref="D2:D109" showDropDown="0" showInputMessage="0" showErrorMessage="0" allowBlank="1" type="list">
      <formula1>"Hoch,Mittel,Niedrig"</formula1>
    </dataValidation>
    <dataValidation sqref="G2:G109" showDropDown="0" showInputMessage="0" showErrorMessage="0" allowBlank="1" type="list">
      <formula1>"Offen,In Bearbeitung,Erledigt"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25" customWidth="1" min="5" max="5"/>
    <col width="16" customWidth="1" min="6" max="6"/>
  </cols>
  <sheetData>
    <row r="1" ht="32" customHeight="1">
      <c r="A1" s="16" t="inlineStr">
        <is>
          <t>Woche</t>
        </is>
      </c>
      <c r="B1" s="16" t="inlineStr">
        <is>
          <t>Fach</t>
        </is>
      </c>
      <c r="C1" s="16" t="inlineStr">
        <is>
          <t>Geplante Zeit</t>
        </is>
      </c>
      <c r="D1" s="16" t="inlineStr">
        <is>
          <t>Tatsächliche Zeit</t>
        </is>
      </c>
      <c r="E1" s="16" t="inlineStr">
        <is>
          <t>Abweichung</t>
        </is>
      </c>
      <c r="F1" s="16" t="inlineStr">
        <is>
          <t>Fortschritt %</t>
        </is>
      </c>
    </row>
    <row r="2">
      <c r="A2" s="18" t="inlineStr">
        <is>
          <t>KW 11</t>
        </is>
      </c>
      <c r="B2" s="18" t="inlineStr">
        <is>
          <t>BWL</t>
        </is>
      </c>
      <c r="C2" s="19" t="n">
        <v>10</v>
      </c>
      <c r="D2" s="19" t="n">
        <v>12.5</v>
      </c>
      <c r="E2" s="21">
        <f>D2-C2</f>
        <v/>
      </c>
      <c r="F2" s="22" t="n">
        <v>75</v>
      </c>
    </row>
    <row r="3">
      <c r="A3" s="18" t="inlineStr">
        <is>
          <t>KW 11</t>
        </is>
      </c>
      <c r="B3" s="18" t="inlineStr">
        <is>
          <t>VWL</t>
        </is>
      </c>
      <c r="C3" s="19" t="n">
        <v>7.5</v>
      </c>
      <c r="D3" s="19" t="n">
        <v>8.25</v>
      </c>
      <c r="E3" s="21">
        <f>D3-C3</f>
        <v/>
      </c>
      <c r="F3" s="22" t="n">
        <v>80</v>
      </c>
    </row>
    <row r="4">
      <c r="A4" s="18" t="inlineStr">
        <is>
          <t>KW 11</t>
        </is>
      </c>
      <c r="B4" s="18" t="inlineStr">
        <is>
          <t>Recht</t>
        </is>
      </c>
      <c r="C4" s="19" t="n">
        <v>8</v>
      </c>
      <c r="D4" s="19" t="n">
        <v>7</v>
      </c>
      <c r="E4" s="21">
        <f>D4-C4</f>
        <v/>
      </c>
      <c r="F4" s="22" t="n">
        <v>65</v>
      </c>
    </row>
    <row r="5">
      <c r="A5" s="18" t="inlineStr">
        <is>
          <t>KW 11</t>
        </is>
      </c>
      <c r="B5" s="18" t="inlineStr">
        <is>
          <t>Statistik</t>
        </is>
      </c>
      <c r="C5" s="19" t="n">
        <v>12</v>
      </c>
      <c r="D5" s="19" t="n">
        <v>15</v>
      </c>
      <c r="E5" s="21">
        <f>D5-C5</f>
        <v/>
      </c>
      <c r="F5" s="22" t="n">
        <v>70</v>
      </c>
    </row>
    <row r="6">
      <c r="A6" s="18" t="inlineStr">
        <is>
          <t>KW 12</t>
        </is>
      </c>
      <c r="B6" s="18" t="inlineStr">
        <is>
          <t>BWL</t>
        </is>
      </c>
      <c r="C6" s="19" t="n">
        <v>12</v>
      </c>
      <c r="D6" s="19" t="inlineStr"/>
      <c r="E6" s="21">
        <f>D6-C6</f>
        <v/>
      </c>
      <c r="F6" s="22" t="n">
        <v>40</v>
      </c>
    </row>
    <row r="7">
      <c r="A7" s="18" t="inlineStr">
        <is>
          <t>KW 12</t>
        </is>
      </c>
      <c r="B7" s="18" t="inlineStr">
        <is>
          <t>VWL</t>
        </is>
      </c>
      <c r="C7" s="19" t="n">
        <v>9</v>
      </c>
      <c r="D7" s="19" t="inlineStr"/>
      <c r="E7" s="21">
        <f>D7-C7</f>
        <v/>
      </c>
      <c r="F7" s="22" t="n">
        <v>35</v>
      </c>
    </row>
    <row r="8">
      <c r="A8" s="18" t="inlineStr">
        <is>
          <t>KW 12</t>
        </is>
      </c>
      <c r="B8" s="18" t="inlineStr">
        <is>
          <t>Recht</t>
        </is>
      </c>
      <c r="C8" s="19" t="n">
        <v>10</v>
      </c>
      <c r="D8" s="19" t="inlineStr"/>
      <c r="E8" s="21">
        <f>D8-C8</f>
        <v/>
      </c>
      <c r="F8" s="22" t="n">
        <v>45</v>
      </c>
    </row>
    <row r="9">
      <c r="A9" s="18" t="inlineStr">
        <is>
          <t>KW 12</t>
        </is>
      </c>
      <c r="B9" s="18" t="inlineStr">
        <is>
          <t>Statistik</t>
        </is>
      </c>
      <c r="C9" s="19" t="n">
        <v>15</v>
      </c>
      <c r="D9" s="19" t="inlineStr"/>
      <c r="E9" s="21">
        <f>D9-C9</f>
        <v/>
      </c>
      <c r="F9" s="22" t="n">
        <v>30</v>
      </c>
    </row>
    <row r="10">
      <c r="A10" s="18" t="n"/>
      <c r="B10" s="18" t="n"/>
      <c r="C10" s="19" t="n"/>
      <c r="D10" s="19" t="n"/>
      <c r="E10" s="21">
        <f>IF(A10="","",D10-C10)</f>
        <v/>
      </c>
      <c r="F10" s="22" t="n"/>
    </row>
    <row r="11">
      <c r="A11" s="18" t="n"/>
      <c r="B11" s="18" t="n"/>
      <c r="C11" s="19" t="n"/>
      <c r="D11" s="19" t="n"/>
      <c r="E11" s="21">
        <f>IF(A11="","",D11-C11)</f>
        <v/>
      </c>
      <c r="F11" s="22" t="n"/>
    </row>
    <row r="12">
      <c r="A12" s="18" t="n"/>
      <c r="B12" s="18" t="n"/>
      <c r="C12" s="19" t="n"/>
      <c r="D12" s="19" t="n"/>
      <c r="E12" s="21">
        <f>IF(A12="","",D12-C12)</f>
        <v/>
      </c>
      <c r="F12" s="22" t="n"/>
    </row>
    <row r="13">
      <c r="A13" s="18" t="n"/>
      <c r="B13" s="18" t="n"/>
      <c r="C13" s="19" t="n"/>
      <c r="D13" s="19" t="n"/>
      <c r="E13" s="21">
        <f>IF(A13="","",D13-C13)</f>
        <v/>
      </c>
      <c r="F13" s="22" t="n"/>
    </row>
    <row r="14">
      <c r="A14" s="18" t="n"/>
      <c r="B14" s="18" t="n"/>
      <c r="C14" s="19" t="n"/>
      <c r="D14" s="19" t="n"/>
      <c r="E14" s="21">
        <f>IF(A14="","",D14-C14)</f>
        <v/>
      </c>
      <c r="F14" s="22" t="n"/>
    </row>
    <row r="15">
      <c r="A15" s="18" t="n"/>
      <c r="B15" s="18" t="n"/>
      <c r="C15" s="19" t="n"/>
      <c r="D15" s="19" t="n"/>
      <c r="E15" s="21">
        <f>IF(A15="","",D15-C15)</f>
        <v/>
      </c>
      <c r="F15" s="22" t="n"/>
    </row>
    <row r="16">
      <c r="A16" s="18" t="n"/>
      <c r="B16" s="18" t="n"/>
      <c r="C16" s="19" t="n"/>
      <c r="D16" s="19" t="n"/>
      <c r="E16" s="21">
        <f>IF(A16="","",D16-C16)</f>
        <v/>
      </c>
      <c r="F16" s="22" t="n"/>
    </row>
    <row r="17">
      <c r="A17" s="18" t="n"/>
      <c r="B17" s="18" t="n"/>
      <c r="C17" s="19" t="n"/>
      <c r="D17" s="19" t="n"/>
      <c r="E17" s="21">
        <f>IF(A17="","",D17-C17)</f>
        <v/>
      </c>
      <c r="F17" s="22" t="n"/>
    </row>
    <row r="18">
      <c r="A18" s="18" t="n"/>
      <c r="B18" s="18" t="n"/>
      <c r="C18" s="19" t="n"/>
      <c r="D18" s="19" t="n"/>
      <c r="E18" s="21">
        <f>IF(A18="","",D18-C18)</f>
        <v/>
      </c>
      <c r="F18" s="22" t="n"/>
    </row>
    <row r="19">
      <c r="A19" s="18" t="n"/>
      <c r="B19" s="18" t="n"/>
      <c r="C19" s="19" t="n"/>
      <c r="D19" s="19" t="n"/>
      <c r="E19" s="21">
        <f>IF(A19="","",D19-C19)</f>
        <v/>
      </c>
      <c r="F19" s="22" t="n"/>
    </row>
    <row r="20">
      <c r="A20" s="18" t="n"/>
      <c r="B20" s="18" t="n"/>
      <c r="C20" s="19" t="n"/>
      <c r="D20" s="19" t="n"/>
      <c r="E20" s="21">
        <f>IF(A20="","",D20-C20)</f>
        <v/>
      </c>
      <c r="F20" s="22" t="n"/>
    </row>
    <row r="21">
      <c r="A21" s="18" t="n"/>
      <c r="B21" s="18" t="n"/>
      <c r="C21" s="19" t="n"/>
      <c r="D21" s="19" t="n"/>
      <c r="E21" s="21">
        <f>IF(A21="","",D21-C21)</f>
        <v/>
      </c>
      <c r="F21" s="22" t="n"/>
    </row>
    <row r="22">
      <c r="A22" s="18" t="n"/>
      <c r="B22" s="18" t="n"/>
      <c r="C22" s="19" t="n"/>
      <c r="D22" s="19" t="n"/>
      <c r="E22" s="21">
        <f>IF(A22="","",D22-C22)</f>
        <v/>
      </c>
      <c r="F22" s="22" t="n"/>
    </row>
    <row r="23">
      <c r="A23" s="18" t="n"/>
      <c r="B23" s="18" t="n"/>
      <c r="C23" s="19" t="n"/>
      <c r="D23" s="19" t="n"/>
      <c r="E23" s="21">
        <f>IF(A23="","",D23-C23)</f>
        <v/>
      </c>
      <c r="F23" s="22" t="n"/>
    </row>
    <row r="24">
      <c r="A24" s="18" t="n"/>
      <c r="B24" s="18" t="n"/>
      <c r="C24" s="19" t="n"/>
      <c r="D24" s="19" t="n"/>
      <c r="E24" s="21">
        <f>IF(A24="","",D24-C24)</f>
        <v/>
      </c>
      <c r="F24" s="22" t="n"/>
    </row>
    <row r="25">
      <c r="A25" s="18" t="n"/>
      <c r="B25" s="18" t="n"/>
      <c r="C25" s="19" t="n"/>
      <c r="D25" s="19" t="n"/>
      <c r="E25" s="21">
        <f>IF(A25="","",D25-C25)</f>
        <v/>
      </c>
      <c r="F25" s="22" t="n"/>
    </row>
    <row r="26">
      <c r="A26" s="18" t="n"/>
      <c r="B26" s="18" t="n"/>
      <c r="C26" s="19" t="n"/>
      <c r="D26" s="19" t="n"/>
      <c r="E26" s="21">
        <f>IF(A26="","",D26-C26)</f>
        <v/>
      </c>
      <c r="F26" s="22" t="n"/>
    </row>
    <row r="27">
      <c r="A27" s="18" t="n"/>
      <c r="B27" s="18" t="n"/>
      <c r="C27" s="19" t="n"/>
      <c r="D27" s="19" t="n"/>
      <c r="E27" s="21">
        <f>IF(A27="","",D27-C27)</f>
        <v/>
      </c>
      <c r="F27" s="22" t="n"/>
    </row>
    <row r="28">
      <c r="A28" s="18" t="n"/>
      <c r="B28" s="18" t="n"/>
      <c r="C28" s="19" t="n"/>
      <c r="D28" s="19" t="n"/>
      <c r="E28" s="21">
        <f>IF(A28="","",D28-C28)</f>
        <v/>
      </c>
      <c r="F28" s="22" t="n"/>
    </row>
    <row r="29">
      <c r="A29" s="18" t="n"/>
      <c r="B29" s="18" t="n"/>
      <c r="C29" s="19" t="n"/>
      <c r="D29" s="19" t="n"/>
      <c r="E29" s="21">
        <f>IF(A29="","",D29-C29)</f>
        <v/>
      </c>
      <c r="F29" s="22" t="n"/>
    </row>
    <row r="30">
      <c r="A30" s="18" t="n"/>
      <c r="B30" s="18" t="n"/>
      <c r="C30" s="19" t="n"/>
      <c r="D30" s="19" t="n"/>
      <c r="E30" s="21">
        <f>IF(A30="","",D30-C30)</f>
        <v/>
      </c>
      <c r="F30" s="22" t="n"/>
    </row>
    <row r="31">
      <c r="A31" s="18" t="n"/>
      <c r="B31" s="18" t="n"/>
      <c r="C31" s="19" t="n"/>
      <c r="D31" s="19" t="n"/>
      <c r="E31" s="21">
        <f>IF(A31="","",D31-C31)</f>
        <v/>
      </c>
      <c r="F31" s="22" t="n"/>
    </row>
    <row r="32">
      <c r="A32" s="18" t="n"/>
      <c r="B32" s="18" t="n"/>
      <c r="C32" s="19" t="n"/>
      <c r="D32" s="19" t="n"/>
      <c r="E32" s="21">
        <f>IF(A32="","",D32-C32)</f>
        <v/>
      </c>
      <c r="F32" s="22" t="n"/>
    </row>
    <row r="33">
      <c r="A33" s="18" t="n"/>
      <c r="B33" s="18" t="n"/>
      <c r="C33" s="19" t="n"/>
      <c r="D33" s="19" t="n"/>
      <c r="E33" s="21">
        <f>IF(A33="","",D33-C33)</f>
        <v/>
      </c>
      <c r="F33" s="22" t="n"/>
    </row>
    <row r="34">
      <c r="A34" s="18" t="n"/>
      <c r="B34" s="18" t="n"/>
      <c r="C34" s="19" t="n"/>
      <c r="D34" s="19" t="n"/>
      <c r="E34" s="21">
        <f>IF(A34="","",D34-C34)</f>
        <v/>
      </c>
      <c r="F34" s="22" t="n"/>
    </row>
    <row r="35">
      <c r="A35" s="18" t="n"/>
      <c r="B35" s="18" t="n"/>
      <c r="C35" s="19" t="n"/>
      <c r="D35" s="19" t="n"/>
      <c r="E35" s="21">
        <f>IF(A35="","",D35-C35)</f>
        <v/>
      </c>
      <c r="F35" s="22" t="n"/>
    </row>
    <row r="36">
      <c r="A36" s="18" t="n"/>
      <c r="B36" s="18" t="n"/>
      <c r="C36" s="19" t="n"/>
      <c r="D36" s="19" t="n"/>
      <c r="E36" s="21">
        <f>IF(A36="","",D36-C36)</f>
        <v/>
      </c>
      <c r="F36" s="22" t="n"/>
    </row>
    <row r="37">
      <c r="A37" s="18" t="n"/>
      <c r="B37" s="18" t="n"/>
      <c r="C37" s="19" t="n"/>
      <c r="D37" s="19" t="n"/>
      <c r="E37" s="21">
        <f>IF(A37="","",D37-C37)</f>
        <v/>
      </c>
      <c r="F37" s="22" t="n"/>
    </row>
    <row r="38">
      <c r="A38" s="18" t="n"/>
      <c r="B38" s="18" t="n"/>
      <c r="C38" s="19" t="n"/>
      <c r="D38" s="19" t="n"/>
      <c r="E38" s="21">
        <f>IF(A38="","",D38-C38)</f>
        <v/>
      </c>
      <c r="F38" s="22" t="n"/>
    </row>
    <row r="39">
      <c r="A39" s="18" t="n"/>
      <c r="B39" s="18" t="n"/>
      <c r="C39" s="19" t="n"/>
      <c r="D39" s="19" t="n"/>
      <c r="E39" s="21">
        <f>IF(A39="","",D39-C39)</f>
        <v/>
      </c>
      <c r="F39" s="22" t="n"/>
    </row>
    <row r="40">
      <c r="A40" s="18" t="n"/>
      <c r="B40" s="18" t="n"/>
      <c r="C40" s="19" t="n"/>
      <c r="D40" s="19" t="n"/>
      <c r="E40" s="21">
        <f>IF(A40="","",D40-C40)</f>
        <v/>
      </c>
      <c r="F40" s="22" t="n"/>
    </row>
    <row r="41">
      <c r="A41" s="18" t="n"/>
      <c r="B41" s="18" t="n"/>
      <c r="C41" s="19" t="n"/>
      <c r="D41" s="19" t="n"/>
      <c r="E41" s="21">
        <f>IF(A41="","",D41-C41)</f>
        <v/>
      </c>
      <c r="F41" s="22" t="n"/>
    </row>
    <row r="42">
      <c r="A42" s="18" t="n"/>
      <c r="B42" s="18" t="n"/>
      <c r="C42" s="19" t="n"/>
      <c r="D42" s="19" t="n"/>
      <c r="E42" s="21">
        <f>IF(A42="","",D42-C42)</f>
        <v/>
      </c>
      <c r="F42" s="22" t="n"/>
    </row>
    <row r="43">
      <c r="A43" s="18" t="n"/>
      <c r="B43" s="18" t="n"/>
      <c r="C43" s="19" t="n"/>
      <c r="D43" s="19" t="n"/>
      <c r="E43" s="21">
        <f>IF(A43="","",D43-C43)</f>
        <v/>
      </c>
      <c r="F43" s="22" t="n"/>
    </row>
    <row r="44">
      <c r="A44" s="18" t="n"/>
      <c r="B44" s="18" t="n"/>
      <c r="C44" s="19" t="n"/>
      <c r="D44" s="19" t="n"/>
      <c r="E44" s="21">
        <f>IF(A44="","",D44-C44)</f>
        <v/>
      </c>
      <c r="F44" s="22" t="n"/>
    </row>
    <row r="45">
      <c r="A45" s="18" t="n"/>
      <c r="B45" s="18" t="n"/>
      <c r="C45" s="19" t="n"/>
      <c r="D45" s="19" t="n"/>
      <c r="E45" s="21">
        <f>IF(A45="","",D45-C45)</f>
        <v/>
      </c>
      <c r="F45" s="22" t="n"/>
    </row>
    <row r="46">
      <c r="A46" s="18" t="n"/>
      <c r="B46" s="18" t="n"/>
      <c r="C46" s="19" t="n"/>
      <c r="D46" s="19" t="n"/>
      <c r="E46" s="21">
        <f>IF(A46="","",D46-C46)</f>
        <v/>
      </c>
      <c r="F46" s="22" t="n"/>
    </row>
    <row r="47">
      <c r="A47" s="18" t="n"/>
      <c r="B47" s="18" t="n"/>
      <c r="C47" s="19" t="n"/>
      <c r="D47" s="19" t="n"/>
      <c r="E47" s="21">
        <f>IF(A47="","",D47-C47)</f>
        <v/>
      </c>
      <c r="F47" s="22" t="n"/>
    </row>
    <row r="48">
      <c r="A48" s="18" t="n"/>
      <c r="B48" s="18" t="n"/>
      <c r="C48" s="19" t="n"/>
      <c r="D48" s="19" t="n"/>
      <c r="E48" s="21">
        <f>IF(A48="","",D48-C48)</f>
        <v/>
      </c>
      <c r="F48" s="22" t="n"/>
    </row>
    <row r="49">
      <c r="A49" s="18" t="n"/>
      <c r="B49" s="18" t="n"/>
      <c r="C49" s="19" t="n"/>
      <c r="D49" s="19" t="n"/>
      <c r="E49" s="21">
        <f>IF(A49="","",D49-C49)</f>
        <v/>
      </c>
      <c r="F49" s="22" t="n"/>
    </row>
    <row r="50">
      <c r="A50" s="18" t="n"/>
      <c r="B50" s="18" t="n"/>
      <c r="C50" s="19" t="n"/>
      <c r="D50" s="19" t="n"/>
      <c r="E50" s="21">
        <f>IF(A50="","",D50-C50)</f>
        <v/>
      </c>
      <c r="F50" s="22" t="n"/>
    </row>
    <row r="51">
      <c r="A51" s="18" t="n"/>
      <c r="B51" s="18" t="n"/>
      <c r="C51" s="19" t="n"/>
      <c r="D51" s="19" t="n"/>
      <c r="E51" s="21">
        <f>IF(A51="","",D51-C51)</f>
        <v/>
      </c>
      <c r="F51" s="22" t="n"/>
    </row>
    <row r="52">
      <c r="A52" s="18" t="n"/>
      <c r="B52" s="18" t="n"/>
      <c r="C52" s="19" t="n"/>
      <c r="D52" s="19" t="n"/>
      <c r="E52" s="21">
        <f>IF(A52="","",D52-C52)</f>
        <v/>
      </c>
      <c r="F52" s="22" t="n"/>
    </row>
    <row r="53">
      <c r="A53" s="18" t="n"/>
      <c r="B53" s="18" t="n"/>
      <c r="C53" s="19" t="n"/>
      <c r="D53" s="19" t="n"/>
      <c r="E53" s="21">
        <f>IF(A53="","",D53-C53)</f>
        <v/>
      </c>
      <c r="F53" s="22" t="n"/>
    </row>
    <row r="54">
      <c r="A54" s="18" t="n"/>
      <c r="B54" s="18" t="n"/>
      <c r="C54" s="19" t="n"/>
      <c r="D54" s="19" t="n"/>
      <c r="E54" s="21">
        <f>IF(A54="","",D54-C54)</f>
        <v/>
      </c>
      <c r="F54" s="22" t="n"/>
    </row>
    <row r="55">
      <c r="A55" s="18" t="n"/>
      <c r="B55" s="18" t="n"/>
      <c r="C55" s="19" t="n"/>
      <c r="D55" s="19" t="n"/>
      <c r="E55" s="21">
        <f>IF(A55="","",D55-C55)</f>
        <v/>
      </c>
      <c r="F55" s="22" t="n"/>
    </row>
    <row r="56">
      <c r="A56" s="18" t="n"/>
      <c r="B56" s="18" t="n"/>
      <c r="C56" s="19" t="n"/>
      <c r="D56" s="19" t="n"/>
      <c r="E56" s="21">
        <f>IF(A56="","",D56-C56)</f>
        <v/>
      </c>
      <c r="F56" s="22" t="n"/>
    </row>
    <row r="57">
      <c r="A57" s="18" t="n"/>
      <c r="B57" s="18" t="n"/>
      <c r="C57" s="19" t="n"/>
      <c r="D57" s="19" t="n"/>
      <c r="E57" s="21">
        <f>IF(A57="","",D57-C57)</f>
        <v/>
      </c>
      <c r="F57" s="22" t="n"/>
    </row>
    <row r="58">
      <c r="A58" s="18" t="n"/>
      <c r="B58" s="18" t="n"/>
      <c r="C58" s="19" t="n"/>
      <c r="D58" s="19" t="n"/>
      <c r="E58" s="21">
        <f>IF(A58="","",D58-C58)</f>
        <v/>
      </c>
      <c r="F58" s="22" t="n"/>
    </row>
    <row r="59">
      <c r="A59" s="18" t="n"/>
      <c r="B59" s="18" t="n"/>
      <c r="C59" s="19" t="n"/>
      <c r="D59" s="19" t="n"/>
      <c r="E59" s="21">
        <f>IF(A59="","",D59-C59)</f>
        <v/>
      </c>
      <c r="F59" s="22" t="n"/>
    </row>
    <row r="60">
      <c r="A60" s="18" t="n"/>
      <c r="B60" s="18" t="n"/>
      <c r="C60" s="19" t="n"/>
      <c r="D60" s="19" t="n"/>
      <c r="E60" s="21">
        <f>IF(A60="","",D60-C60)</f>
        <v/>
      </c>
      <c r="F60" s="22" t="n"/>
    </row>
    <row r="61">
      <c r="A61" s="18" t="n"/>
      <c r="B61" s="18" t="n"/>
      <c r="C61" s="19" t="n"/>
      <c r="D61" s="19" t="n"/>
      <c r="E61" s="21">
        <f>IF(A61="","",D61-C61)</f>
        <v/>
      </c>
      <c r="F61" s="22" t="n"/>
    </row>
  </sheetData>
  <conditionalFormatting sqref="F2:F61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Prüfungsvorbereitungs-Tracker für Studierende: Lernplan, Fortschritt &amp; Zeitmanagement</dc:title>
  <dcterms:created xsi:type="dcterms:W3CDTF">2026-10-16T07:20:16Z</dcterms:created>
  <dcterms:modified xsi:type="dcterms:W3CDTF">2026-10-16T07:20:16Z</dcterms:modified>
</cp:coreProperties>
</file>