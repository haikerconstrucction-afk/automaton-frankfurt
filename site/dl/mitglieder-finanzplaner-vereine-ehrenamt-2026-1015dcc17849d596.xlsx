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Mitgliederliste" sheetId="2" state="visible" r:id="rId2"/>
    <sheet name="Finanzübersicht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Mitgliederverwaltung &amp; Finanzplaner für Vereine und Ehrenamtliche</t>
        </is>
      </c>
    </row>
    <row r="2">
      <c r="A2" t="inlineStr">
        <is>
          <t>1. Schritt 1: Mitgliederdaten eingeben (Name, Beitrittsdatum, Beitragshöhe etc.)</t>
        </is>
      </c>
    </row>
    <row r="3">
      <c r="A3" t="inlineStr">
        <is>
          <t>2. Schritt 2: Spenden und Einnahmen erfassen</t>
        </is>
      </c>
    </row>
    <row r="4">
      <c r="A4" t="inlineStr">
        <is>
          <t>3. Schritt 3: Veranstaltungsbudgets planen</t>
        </is>
      </c>
    </row>
    <row r="5">
      <c r="A5" t="inlineStr">
        <is>
          <t>4. Schritt 4: Ausgaben kategorisieren</t>
        </is>
      </c>
    </row>
    <row r="6">
      <c r="A6" t="inlineStr">
        <is>
          <t>5. Schritt 5: Automatische Auswertungen nutzen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MitgliedsID</t>
        </is>
      </c>
      <c r="B1" s="2" t="inlineStr">
        <is>
          <t>Name</t>
        </is>
      </c>
      <c r="C1" s="2" t="inlineStr">
        <is>
          <t>Beitrittsdatum</t>
        </is>
      </c>
      <c r="D1" s="2" t="inlineStr">
        <is>
          <t>Beitrag p.a. (EUR)</t>
        </is>
      </c>
      <c r="E1" s="2" t="inlineStr">
        <is>
          <t>Zahlungsstatus</t>
        </is>
      </c>
      <c r="F1" s="2" t="inlineStr">
        <is>
          <t>Aktiv</t>
        </is>
      </c>
    </row>
    <row r="2">
      <c r="A2" t="inlineStr">
        <is>
          <t>V-2026-001</t>
        </is>
      </c>
      <c r="B2" t="inlineStr">
        <is>
          <t>Max Müller</t>
        </is>
      </c>
      <c r="C2" t="inlineStr">
        <is>
          <t>15.03.2026</t>
        </is>
      </c>
      <c r="D2" t="n">
        <v>60</v>
      </c>
      <c r="E2" t="inlineStr">
        <is>
          <t>bezahlt</t>
        </is>
      </c>
      <c r="F2" t="inlineStr">
        <is>
          <t>Ja</t>
        </is>
      </c>
    </row>
    <row r="3">
      <c r="A3" t="inlineStr">
        <is>
          <t>V-2026-002</t>
        </is>
      </c>
      <c r="B3" t="inlineStr">
        <is>
          <t>Anna Schmidt</t>
        </is>
      </c>
      <c r="C3" t="inlineStr">
        <is>
          <t>02.01.2026</t>
        </is>
      </c>
      <c r="D3" t="n">
        <v>40</v>
      </c>
      <c r="E3" t="inlineStr">
        <is>
          <t>offen</t>
        </is>
      </c>
      <c r="F3" t="inlineStr">
        <is>
          <t>Ja</t>
        </is>
      </c>
    </row>
    <row r="4">
      <c r="A4" t="inlineStr">
        <is>
          <t>V-2026-003</t>
        </is>
      </c>
      <c r="B4" t="inlineStr">
        <is>
          <t>Thomas Bauer</t>
        </is>
      </c>
      <c r="C4" t="inlineStr">
        <is>
          <t>22.05.2025</t>
        </is>
      </c>
      <c r="D4" t="n">
        <v>60</v>
      </c>
      <c r="E4" t="inlineStr">
        <is>
          <t>bezahlt</t>
        </is>
      </c>
      <c r="F4" t="inlineStr">
        <is>
          <t>Nein</t>
        </is>
      </c>
    </row>
    <row r="5">
      <c r="A5" t="inlineStr">
        <is>
          <t>V-2026-004</t>
        </is>
      </c>
      <c r="B5" t="inlineStr">
        <is>
          <t>Laura Meier</t>
        </is>
      </c>
      <c r="C5" t="inlineStr">
        <is>
          <t>10.11.2026</t>
        </is>
      </c>
      <c r="D5" t="n">
        <v>60</v>
      </c>
      <c r="E5" t="inlineStr">
        <is>
          <t>bezahlt</t>
        </is>
      </c>
      <c r="F5" t="inlineStr">
        <is>
          <t>Ja</t>
        </is>
      </c>
    </row>
    <row r="6">
      <c r="A6" t="inlineStr">
        <is>
          <t>V-2026-005</t>
        </is>
      </c>
      <c r="B6" t="inlineStr">
        <is>
          <t>Jan Klein</t>
        </is>
      </c>
      <c r="C6" t="inlineStr">
        <is>
          <t>30.06.2026</t>
        </is>
      </c>
      <c r="D6" t="n">
        <v>40</v>
      </c>
      <c r="E6" t="inlineStr">
        <is>
          <t>offen</t>
        </is>
      </c>
      <c r="F6" t="inlineStr">
        <is>
          <t>Ja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</t>
        </is>
      </c>
      <c r="B37" s="3" t="inlineStr"/>
      <c r="C37" s="3" t="inlineStr"/>
      <c r="D37" s="3">
        <f>SUM(D2:D40)</f>
        <v/>
      </c>
      <c r="E37" s="3" t="inlineStr"/>
      <c r="F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Datum</t>
        </is>
      </c>
      <c r="B1" s="2" t="inlineStr">
        <is>
          <t>Beschreibung</t>
        </is>
      </c>
      <c r="C1" s="2" t="inlineStr">
        <is>
          <t>Einnahmen</t>
        </is>
      </c>
      <c r="D1" s="2" t="inlineStr">
        <is>
          <t>Ausgaben</t>
        </is>
      </c>
      <c r="E1" s="2" t="inlineStr">
        <is>
          <t>Kategorie</t>
        </is>
      </c>
    </row>
    <row r="2">
      <c r="A2" t="inlineStr">
        <is>
          <t>05.01.2026</t>
        </is>
      </c>
      <c r="B2" t="inlineStr">
        <is>
          <t>Mitgliedsbeiträge</t>
        </is>
      </c>
      <c r="C2" t="n">
        <v>160</v>
      </c>
      <c r="D2" t="n">
        <v>0</v>
      </c>
      <c r="E2" t="inlineStr">
        <is>
          <t>Mitglieder</t>
        </is>
      </c>
    </row>
    <row r="3">
      <c r="A3" t="inlineStr">
        <is>
          <t>12.01.2026</t>
        </is>
      </c>
      <c r="B3" t="inlineStr">
        <is>
          <t>Raummiete Vereinsheim</t>
        </is>
      </c>
      <c r="C3" t="n">
        <v>0</v>
      </c>
      <c r="D3" t="n">
        <v>300</v>
      </c>
      <c r="E3" t="inlineStr">
        <is>
          <t>Fixkosten</t>
        </is>
      </c>
    </row>
    <row r="4">
      <c r="A4" t="inlineStr">
        <is>
          <t>18.02.2026</t>
        </is>
      </c>
      <c r="B4" t="inlineStr">
        <is>
          <t>Spende Firma XYZ</t>
        </is>
      </c>
      <c r="C4" t="n">
        <v>500</v>
      </c>
      <c r="D4" t="n">
        <v>0</v>
      </c>
      <c r="E4" t="inlineStr">
        <is>
          <t>Spenden</t>
        </is>
      </c>
    </row>
    <row r="5">
      <c r="A5" t="inlineStr">
        <is>
          <t>03.03.2026</t>
        </is>
      </c>
      <c r="B5" t="inlineStr">
        <is>
          <t>Jahresfest Material</t>
        </is>
      </c>
      <c r="C5" t="n">
        <v>0</v>
      </c>
      <c r="D5" t="n">
        <v>450</v>
      </c>
      <c r="E5" t="inlineStr">
        <is>
          <t>Veranstaltung</t>
        </is>
      </c>
    </row>
    <row r="6">
      <c r="A6" t="inlineStr">
        <is>
          <t>15.03.2026</t>
        </is>
      </c>
      <c r="B6" t="inlineStr">
        <is>
          <t>Versicherung</t>
        </is>
      </c>
      <c r="C6" t="n">
        <v>0</v>
      </c>
      <c r="D6" t="n">
        <v>120</v>
      </c>
      <c r="E6" t="inlineStr">
        <is>
          <t>Fixkosten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Bilanz</t>
        </is>
      </c>
      <c r="B37" s="3" t="inlineStr"/>
      <c r="C37" s="3">
        <f>SUM(C2:C40)</f>
        <v/>
      </c>
      <c r="D37" s="3">
        <f>SUM(D2:D40)</f>
        <v/>
      </c>
      <c r="E37" s="3">
        <f>C41-D41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Metrik</t>
        </is>
      </c>
      <c r="B1" s="2" t="inlineStr">
        <is>
          <t>Wert</t>
        </is>
      </c>
    </row>
    <row r="2">
      <c r="A2" t="inlineStr">
        <is>
          <t>Aktive Mitglieder</t>
        </is>
      </c>
      <c r="B2">
        <f>COUNTIF(Mitgliederliste!F2:F40,"Ja")</f>
        <v/>
      </c>
    </row>
    <row r="3">
      <c r="A3" t="inlineStr">
        <is>
          <t>Beitragseinnahmen 2026</t>
        </is>
      </c>
      <c r="B3">
        <f>SUMIF(Finanzübersicht!E2:E40,"Mitglieder",Finanzübersicht!C2:C40)</f>
        <v/>
      </c>
    </row>
    <row r="4">
      <c r="A4" t="inlineStr">
        <is>
          <t>Ausgaben Veranstaltungen</t>
        </is>
      </c>
      <c r="B4">
        <f>SUMIF(Finanzübersicht!E2:E40,"Veranstaltung",Finanzübersicht!D2:D40)</f>
        <v/>
      </c>
    </row>
    <row r="5">
      <c r="A5" t="inlineStr">
        <is>
          <t>Jahressaldo</t>
        </is>
      </c>
      <c r="B5">
        <f>Finanzübersicht!C42</f>
        <v/>
      </c>
    </row>
    <row r="6">
      <c r="A6" t="inlineStr">
        <is>
          <t>Durchschnittl. Spende</t>
        </is>
      </c>
      <c r="B6">
        <f>AVERAGEIF(Finanzübersicht!E2:E40,"Spenden",Finanzübersicht!C2:C40)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2026-09-27T08:05:42Z</dcterms:created>
  <dcterms:modified xsi:type="dcterms:W3CDTF">2026-09-27T08:05:42Z</dcterms:modified>
</cp:coreProperties>
</file>