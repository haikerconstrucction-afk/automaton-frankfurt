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Reservations" sheetId="3" state="visible" r:id="rId3"/>
    <sheet name="Itineraire" sheetId="4" state="visible" r:id="rId4"/>
    <sheet name="Decouver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4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des dépenses par catégorie</a:t>
            </a:r>
          </a:p>
        </rich>
      </tx>
    </title>
    <plotArea>
      <pieChart>
        <varyColors val="1"/>
        <ser>
          <idx val="0"/>
          <order val="0"/>
          <tx>
            <strRef>
              <f>'Reservations'!D1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'Reservations'!$B$2:$B$5</f>
            </numRef>
          </cat>
          <val>
            <numRef>
              <f>'Reservations'!$D$2:$D$5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Reservations_2793" displayName="T_Reservations_2793" ref="A1:F35" headerRowCount="1">
  <autoFilter ref="A1:F35"/>
  <tableColumns count="6">
    <tableColumn id="1" name="Date"/>
    <tableColumn id="2" name="Type"/>
    <tableColumn id="3" name="Fournisseur"/>
    <tableColumn id="4" name="Montant"/>
    <tableColumn id="5" name="Réf"/>
    <tableColumn id="6" name="Statut"/>
  </tableColumns>
  <tableStyleInfo name="TableStyleMedium7" showRowStripes="1"/>
</table>
</file>

<file path=xl/tables/table2.xml><?xml version="1.0" encoding="utf-8"?>
<table xmlns="http://schemas.openxmlformats.org/spreadsheetml/2006/main" id="2" name="T_Itineraire_3436" displayName="T_Itineraire_3436" ref="A1:F17" headerRowCount="1">
  <autoFilter ref="A1:F17"/>
  <tableColumns count="6">
    <tableColumn id="1" name="Jour"/>
    <tableColumn id="2" name="Matin"/>
    <tableColumn id="3" name="Après-midi"/>
    <tableColumn id="4" name="Soir"/>
    <tableColumn id="5" name="Budget"/>
    <tableColumn id="6" name="Réel"/>
  </tableColumns>
  <tableStyleInfo name="TableStyleMedium7" showRowStripes="1"/>
</table>
</file>

<file path=xl/tables/table3.xml><?xml version="1.0" encoding="utf-8"?>
<table xmlns="http://schemas.openxmlformats.org/spreadsheetml/2006/main" id="3" name="T_Decouvertes_4279" displayName="T_Decouvertes_4279" ref="A1:E33" headerRowCount="1">
  <autoFilter ref="A1:E33"/>
  <tableColumns count="5">
    <tableColumn id="1" name="Ville"/>
    <tableColumn id="2" name="Lieu"/>
    <tableColumn id="3" name="Type"/>
    <tableColumn id="4" name="Prix"/>
    <tableColumn id="5" name="Note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Reservations'!A1" TargetMode="External" Id="rId2" /><Relationship Type="http://schemas.openxmlformats.org/officeDocument/2006/relationships/hyperlink" Target="#'Itineraire'!A1" TargetMode="External" Id="rId3" /><Relationship Type="http://schemas.openxmlformats.org/officeDocument/2006/relationships/hyperlink" Target="#'Decouverte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Planificateur de Voyage NRW pour Professionnels : Budget, Itinéraire &amp; Highlights (2026)</t>
        </is>
      </c>
    </row>
    <row r="3" ht="45" customHeight="1">
      <c r="C3" s="2" t="inlineStr">
        <is>
          <t>Planifiez vos déplacements professionnels en NRW avec précision : itinéraire optimisé, suivi des dépenses et découverte des incontournables régionaux.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Configurez vos paramètres de voyage (durée, budget base)</t>
        </is>
      </c>
    </row>
    <row r="7" ht="18" customHeight="1">
      <c r="B7" s="4" t="inlineStr">
        <is>
          <t>2.</t>
        </is>
      </c>
      <c r="C7" s="5" t="inlineStr">
        <is>
          <t>Saisissez vos réservations (transports, hôtels)</t>
        </is>
      </c>
    </row>
    <row r="8" ht="18" customHeight="1">
      <c r="B8" s="4" t="inlineStr">
        <is>
          <t>3.</t>
        </is>
      </c>
      <c r="C8" s="5" t="inlineStr">
        <is>
          <t>Planifiez votre itinéraire quotidien</t>
        </is>
      </c>
    </row>
    <row r="9" ht="18" customHeight="1">
      <c r="B9" s="4" t="inlineStr">
        <is>
          <t>4.</t>
        </is>
      </c>
      <c r="C9" s="5" t="inlineStr">
        <is>
          <t>Suivez vos dépenses en temps réel</t>
        </is>
      </c>
    </row>
    <row r="10" ht="18" customHeight="1">
      <c r="B10" s="4" t="inlineStr">
        <is>
          <t>5.</t>
        </is>
      </c>
      <c r="C10" s="5" t="inlineStr">
        <is>
          <t>Découvrez les suggestions d'activités pro</t>
        </is>
      </c>
    </row>
    <row r="11" ht="18" customHeight="1">
      <c r="B11" s="4" t="inlineStr">
        <is>
          <t>6.</t>
        </is>
      </c>
      <c r="C11" s="5" t="inlineStr">
        <is>
          <t>Analysez votre budget final avec les KPIs</t>
        </is>
      </c>
    </row>
    <row r="13">
      <c r="C13" s="6" t="inlineStr">
        <is>
          <t>Remplissez uniquement les cellules blanches – les colonnes vertes se calculent seules.</t>
        </is>
      </c>
    </row>
    <row r="15">
      <c r="C15" s="3" t="inlineStr">
        <is>
          <t>Aller à la feuille</t>
        </is>
      </c>
    </row>
    <row r="16">
      <c r="C16" s="7" t="inlineStr">
        <is>
          <t>→ Tableau de bord</t>
        </is>
      </c>
    </row>
    <row r="17">
      <c r="C17" s="7" t="inlineStr">
        <is>
          <t>→ Reservations</t>
        </is>
      </c>
    </row>
    <row r="18">
      <c r="C18" s="7" t="inlineStr">
        <is>
          <t>→ Itineraire</t>
        </is>
      </c>
    </row>
    <row r="19">
      <c r="C19" s="7" t="inlineStr">
        <is>
          <t>→ Decouvertes</t>
        </is>
      </c>
    </row>
    <row r="21">
      <c r="C21" s="8" t="inlineStr">
        <is>
          <t>Créé par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Planificateur de Voyage NRW pour Professionnels : Budget, It</t>
        </is>
      </c>
    </row>
    <row r="4">
      <c r="B4" s="10" t="inlineStr">
        <is>
          <t>Indicateurs</t>
        </is>
      </c>
    </row>
    <row r="5" ht="24" customHeight="1">
      <c r="B5" s="11" t="inlineStr">
        <is>
          <t>Budget total</t>
        </is>
      </c>
      <c r="C5" s="12">
        <f>SUM('Reservations'!D:D)</f>
        <v/>
      </c>
    </row>
    <row r="6" ht="24" customHeight="1">
      <c r="B6" s="11" t="inlineStr">
        <is>
          <t>Dépenses transports</t>
        </is>
      </c>
      <c r="C6" s="12">
        <f>SUMIF('Reservations'!B:B, 'Transport', 'Reservations'!D:D)</f>
        <v/>
      </c>
    </row>
    <row r="7" ht="24" customHeight="1">
      <c r="B7" s="11" t="inlineStr">
        <is>
          <t>Places à visiter</t>
        </is>
      </c>
      <c r="C7" s="13">
        <f>COUNTA('Decouvertes'!B:B)</f>
        <v/>
      </c>
    </row>
    <row r="8" ht="24" customHeight="1">
      <c r="B8" s="11" t="inlineStr">
        <is>
          <t>Ecart budget/réel</t>
        </is>
      </c>
      <c r="C8" s="12">
        <f>SUM('Itineraire'!F:F)-SUM('Itineraire'!E:E)</f>
        <v/>
      </c>
    </row>
    <row r="9" ht="24" customHeight="1">
      <c r="B9" s="11" t="inlineStr">
        <is>
          <t>Pro chaine activité</t>
        </is>
      </c>
      <c r="C9" s="14">
        <f>INDEX('Decouvertes'!B:B, MATCH(MAX('Decouvertes'!D:D), 'Decouvertes'!D:D, 0))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 ht="32" customHeight="1">
      <c r="A1" s="15" t="inlineStr">
        <is>
          <t>Date</t>
        </is>
      </c>
      <c r="B1" s="15" t="inlineStr">
        <is>
          <t>Type</t>
        </is>
      </c>
      <c r="C1" s="15" t="inlineStr">
        <is>
          <t>Fournisseur</t>
        </is>
      </c>
      <c r="D1" s="15" t="inlineStr">
        <is>
          <t>Montant</t>
        </is>
      </c>
      <c r="E1" s="15" t="inlineStr">
        <is>
          <t>Réf</t>
        </is>
      </c>
      <c r="F1" s="15" t="inlineStr">
        <is>
          <t>Statut</t>
        </is>
      </c>
    </row>
    <row r="2">
      <c r="A2" s="16" t="n">
        <v>46091</v>
      </c>
      <c r="B2" s="17" t="inlineStr">
        <is>
          <t>Vol</t>
        </is>
      </c>
      <c r="C2" s="17" t="inlineStr">
        <is>
          <t>Lufthansa</t>
        </is>
      </c>
      <c r="D2" s="18" t="n">
        <v>189</v>
      </c>
      <c r="E2" s="17" t="inlineStr">
        <is>
          <t>LH1234</t>
        </is>
      </c>
      <c r="F2" s="17" t="inlineStr">
        <is>
          <t>confirmé</t>
        </is>
      </c>
    </row>
    <row r="3">
      <c r="A3" s="16" t="n">
        <v>46091</v>
      </c>
      <c r="B3" s="17" t="inlineStr">
        <is>
          <t>Hôtel</t>
        </is>
      </c>
      <c r="C3" s="17" t="inlineStr">
        <is>
          <t>Motel One</t>
        </is>
      </c>
      <c r="D3" s="18" t="n">
        <v>89.5</v>
      </c>
      <c r="E3" s="17" t="inlineStr">
        <is>
          <t>MO26631</t>
        </is>
      </c>
      <c r="F3" s="17" t="inlineStr">
        <is>
          <t>payé</t>
        </is>
      </c>
    </row>
    <row r="4">
      <c r="A4" s="16" t="n">
        <v>46092</v>
      </c>
      <c r="B4" s="17" t="inlineStr">
        <is>
          <t>Train</t>
        </is>
      </c>
      <c r="C4" s="17" t="inlineStr">
        <is>
          <t>Deutsche Bahn</t>
        </is>
      </c>
      <c r="D4" s="18" t="n">
        <v>23.9</v>
      </c>
      <c r="E4" s="17" t="inlineStr">
        <is>
          <t>ICE456</t>
        </is>
      </c>
      <c r="F4" s="17" t="inlineStr"/>
    </row>
    <row r="5">
      <c r="A5" s="16" t="n">
        <v>46093</v>
      </c>
      <c r="B5" s="17" t="inlineStr">
        <is>
          <t>Conférence</t>
        </is>
      </c>
      <c r="C5" s="17" t="inlineStr">
        <is>
          <t>Koelnmesse</t>
        </is>
      </c>
      <c r="D5" s="18" t="n">
        <v>250</v>
      </c>
      <c r="E5" s="17" t="inlineStr">
        <is>
          <t>KM2026</t>
        </is>
      </c>
      <c r="F5" s="17" t="inlineStr">
        <is>
          <t>attente</t>
        </is>
      </c>
    </row>
    <row r="6">
      <c r="A6" s="16" t="n"/>
      <c r="B6" s="17" t="n"/>
      <c r="C6" s="17" t="n"/>
      <c r="D6" s="18" t="n"/>
      <c r="E6" s="17" t="n"/>
      <c r="F6" s="17" t="n"/>
    </row>
    <row r="7">
      <c r="A7" s="16" t="n"/>
      <c r="B7" s="17" t="n"/>
      <c r="C7" s="17" t="n"/>
      <c r="D7" s="18" t="n"/>
      <c r="E7" s="17" t="n"/>
      <c r="F7" s="17" t="n"/>
    </row>
    <row r="8">
      <c r="A8" s="16" t="n"/>
      <c r="B8" s="17" t="n"/>
      <c r="C8" s="17" t="n"/>
      <c r="D8" s="18" t="n"/>
      <c r="E8" s="17" t="n"/>
      <c r="F8" s="17" t="n"/>
    </row>
    <row r="9">
      <c r="A9" s="16" t="n"/>
      <c r="B9" s="17" t="n"/>
      <c r="C9" s="17" t="n"/>
      <c r="D9" s="18" t="n"/>
      <c r="E9" s="17" t="n"/>
      <c r="F9" s="17" t="n"/>
    </row>
    <row r="10">
      <c r="A10" s="16" t="n"/>
      <c r="B10" s="17" t="n"/>
      <c r="C10" s="17" t="n"/>
      <c r="D10" s="18" t="n"/>
      <c r="E10" s="17" t="n"/>
      <c r="F10" s="17" t="n"/>
    </row>
    <row r="11">
      <c r="A11" s="16" t="n"/>
      <c r="B11" s="17" t="n"/>
      <c r="C11" s="17" t="n"/>
      <c r="D11" s="18" t="n"/>
      <c r="E11" s="17" t="n"/>
      <c r="F11" s="17" t="n"/>
    </row>
    <row r="12">
      <c r="A12" s="16" t="n"/>
      <c r="B12" s="17" t="n"/>
      <c r="C12" s="17" t="n"/>
      <c r="D12" s="18" t="n"/>
      <c r="E12" s="17" t="n"/>
      <c r="F12" s="17" t="n"/>
    </row>
    <row r="13">
      <c r="A13" s="16" t="n"/>
      <c r="B13" s="17" t="n"/>
      <c r="C13" s="17" t="n"/>
      <c r="D13" s="18" t="n"/>
      <c r="E13" s="17" t="n"/>
      <c r="F13" s="17" t="n"/>
    </row>
    <row r="14">
      <c r="A14" s="16" t="n"/>
      <c r="B14" s="17" t="n"/>
      <c r="C14" s="17" t="n"/>
      <c r="D14" s="18" t="n"/>
      <c r="E14" s="17" t="n"/>
      <c r="F14" s="17" t="n"/>
    </row>
    <row r="15">
      <c r="A15" s="16" t="n"/>
      <c r="B15" s="17" t="n"/>
      <c r="C15" s="17" t="n"/>
      <c r="D15" s="18" t="n"/>
      <c r="E15" s="17" t="n"/>
      <c r="F15" s="17" t="n"/>
    </row>
    <row r="16">
      <c r="A16" s="16" t="n"/>
      <c r="B16" s="17" t="n"/>
      <c r="C16" s="17" t="n"/>
      <c r="D16" s="18" t="n"/>
      <c r="E16" s="17" t="n"/>
      <c r="F16" s="17" t="n"/>
    </row>
    <row r="17">
      <c r="A17" s="16" t="n"/>
      <c r="B17" s="17" t="n"/>
      <c r="C17" s="17" t="n"/>
      <c r="D17" s="18" t="n"/>
      <c r="E17" s="17" t="n"/>
      <c r="F17" s="17" t="n"/>
    </row>
    <row r="18">
      <c r="A18" s="16" t="n"/>
      <c r="B18" s="17" t="n"/>
      <c r="C18" s="17" t="n"/>
      <c r="D18" s="18" t="n"/>
      <c r="E18" s="17" t="n"/>
      <c r="F18" s="17" t="n"/>
    </row>
    <row r="19">
      <c r="A19" s="16" t="n"/>
      <c r="B19" s="17" t="n"/>
      <c r="C19" s="17" t="n"/>
      <c r="D19" s="18" t="n"/>
      <c r="E19" s="17" t="n"/>
      <c r="F19" s="17" t="n"/>
    </row>
    <row r="20">
      <c r="A20" s="16" t="n"/>
      <c r="B20" s="17" t="n"/>
      <c r="C20" s="17" t="n"/>
      <c r="D20" s="18" t="n"/>
      <c r="E20" s="17" t="n"/>
      <c r="F20" s="17" t="n"/>
    </row>
    <row r="21">
      <c r="A21" s="16" t="n"/>
      <c r="B21" s="17" t="n"/>
      <c r="C21" s="17" t="n"/>
      <c r="D21" s="18" t="n"/>
      <c r="E21" s="17" t="n"/>
      <c r="F21" s="17" t="n"/>
    </row>
    <row r="22">
      <c r="A22" s="16" t="n"/>
      <c r="B22" s="17" t="n"/>
      <c r="C22" s="17" t="n"/>
      <c r="D22" s="18" t="n"/>
      <c r="E22" s="17" t="n"/>
      <c r="F22" s="17" t="n"/>
    </row>
    <row r="23">
      <c r="A23" s="16" t="n"/>
      <c r="B23" s="17" t="n"/>
      <c r="C23" s="17" t="n"/>
      <c r="D23" s="18" t="n"/>
      <c r="E23" s="17" t="n"/>
      <c r="F23" s="17" t="n"/>
    </row>
    <row r="24">
      <c r="A24" s="16" t="n"/>
      <c r="B24" s="17" t="n"/>
      <c r="C24" s="17" t="n"/>
      <c r="D24" s="18" t="n"/>
      <c r="E24" s="17" t="n"/>
      <c r="F24" s="17" t="n"/>
    </row>
    <row r="25">
      <c r="A25" s="16" t="n"/>
      <c r="B25" s="17" t="n"/>
      <c r="C25" s="17" t="n"/>
      <c r="D25" s="18" t="n"/>
      <c r="E25" s="17" t="n"/>
      <c r="F25" s="17" t="n"/>
    </row>
    <row r="26">
      <c r="A26" s="16" t="n"/>
      <c r="B26" s="17" t="n"/>
      <c r="C26" s="17" t="n"/>
      <c r="D26" s="18" t="n"/>
      <c r="E26" s="17" t="n"/>
      <c r="F26" s="17" t="n"/>
    </row>
    <row r="27">
      <c r="A27" s="16" t="n"/>
      <c r="B27" s="17" t="n"/>
      <c r="C27" s="17" t="n"/>
      <c r="D27" s="18" t="n"/>
      <c r="E27" s="17" t="n"/>
      <c r="F27" s="17" t="n"/>
    </row>
    <row r="28">
      <c r="A28" s="16" t="n"/>
      <c r="B28" s="17" t="n"/>
      <c r="C28" s="17" t="n"/>
      <c r="D28" s="18" t="n"/>
      <c r="E28" s="17" t="n"/>
      <c r="F28" s="17" t="n"/>
    </row>
    <row r="29">
      <c r="A29" s="16" t="n"/>
      <c r="B29" s="17" t="n"/>
      <c r="C29" s="17" t="n"/>
      <c r="D29" s="18" t="n"/>
      <c r="E29" s="17" t="n"/>
      <c r="F29" s="17" t="n"/>
    </row>
    <row r="30">
      <c r="A30" s="16" t="n"/>
      <c r="B30" s="17" t="n"/>
      <c r="C30" s="17" t="n"/>
      <c r="D30" s="18" t="n"/>
      <c r="E30" s="17" t="n"/>
      <c r="F30" s="17" t="n"/>
    </row>
    <row r="31">
      <c r="A31" s="16" t="n"/>
      <c r="B31" s="17" t="n"/>
      <c r="C31" s="17" t="n"/>
      <c r="D31" s="18" t="n"/>
      <c r="E31" s="17" t="n"/>
      <c r="F31" s="17" t="n"/>
    </row>
    <row r="32">
      <c r="A32" s="16" t="n"/>
      <c r="B32" s="17" t="n"/>
      <c r="C32" s="17" t="n"/>
      <c r="D32" s="18" t="n"/>
      <c r="E32" s="17" t="n"/>
      <c r="F32" s="17" t="n"/>
    </row>
    <row r="33">
      <c r="A33" s="16" t="n"/>
      <c r="B33" s="17" t="n"/>
      <c r="C33" s="17" t="n"/>
      <c r="D33" s="18" t="n"/>
      <c r="E33" s="17" t="n"/>
      <c r="F33" s="17" t="n"/>
    </row>
    <row r="34">
      <c r="A34" s="16" t="n"/>
      <c r="B34" s="17" t="n"/>
      <c r="C34" s="17" t="n"/>
      <c r="D34" s="18" t="n"/>
      <c r="E34" s="17" t="n"/>
      <c r="F34" s="17" t="n"/>
    </row>
    <row r="35">
      <c r="A35" s="16" t="n"/>
      <c r="B35" s="17" t="n"/>
      <c r="C35" s="17" t="n"/>
      <c r="D35" s="18" t="n"/>
      <c r="E35" s="17" t="n"/>
      <c r="F35" s="17" t="n"/>
    </row>
  </sheetData>
  <conditionalFormatting sqref="D2:D35">
    <cfRule type="cellIs" priority="1" operator="lessThan" dxfId="0">
      <formula>0</formula>
    </cfRule>
  </conditionalFormatting>
  <dataValidations count="2">
    <dataValidation sqref="B2:B35" showDropDown="0" showInputMessage="0" showErrorMessage="0" allowBlank="1" type="list">
      <formula1>"Vol,Hôtel,Train,Restaurant,Conférence,Location"</formula1>
    </dataValidation>
    <dataValidation sqref="F2:F35" showDropDown="0" showInputMessage="0" showErrorMessage="0" allowBlank="1" type="list">
      <formula1>"confirmé,payé,attente,annulé"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29" customWidth="1" min="3" max="3"/>
    <col width="22" customWidth="1" min="4" max="4"/>
    <col width="12" customWidth="1" min="5" max="5"/>
    <col width="40" customWidth="1" min="6" max="6"/>
  </cols>
  <sheetData>
    <row r="1" ht="32" customHeight="1">
      <c r="A1" s="15" t="inlineStr">
        <is>
          <t>Jour</t>
        </is>
      </c>
      <c r="B1" s="15" t="inlineStr">
        <is>
          <t>Matin</t>
        </is>
      </c>
      <c r="C1" s="15" t="inlineStr">
        <is>
          <t>Après-midi</t>
        </is>
      </c>
      <c r="D1" s="15" t="inlineStr">
        <is>
          <t>Soir</t>
        </is>
      </c>
      <c r="E1" s="15" t="inlineStr">
        <is>
          <t>Budget</t>
        </is>
      </c>
      <c r="F1" s="15" t="inlineStr">
        <is>
          <t>Réel</t>
        </is>
      </c>
    </row>
    <row r="2">
      <c r="A2" s="16" t="n">
        <v>46091</v>
      </c>
      <c r="B2" s="17" t="inlineStr">
        <is>
          <t>Arrivée à l'aéroport</t>
        </is>
      </c>
      <c r="C2" s="17" t="inlineStr">
        <is>
          <t>RDV client Centre-Ville</t>
        </is>
      </c>
      <c r="D2" s="17" t="inlineStr">
        <is>
          <t>Dîner au Gaststätte</t>
        </is>
      </c>
      <c r="E2" s="18" t="n">
        <v>75</v>
      </c>
      <c r="F2" s="19">
        <f>SUMIF(Reservations!B:B, 'Transport', D:D) + SUMIF(Reservations!B:B, 'Repas', D:D)</f>
        <v/>
      </c>
    </row>
    <row r="3">
      <c r="A3" s="16" t="n">
        <v>46092</v>
      </c>
      <c r="B3" s="17" t="inlineStr">
        <is>
          <t>Visite site industriel</t>
        </is>
      </c>
      <c r="C3" s="17" t="inlineStr">
        <is>
          <t>Tour conférence Koelnmesse</t>
        </is>
      </c>
      <c r="D3" s="17" t="inlineStr">
        <is>
          <t>Balade rhénane</t>
        </is>
      </c>
      <c r="E3" s="18" t="n">
        <v>50</v>
      </c>
      <c r="F3" s="19">
        <f>SUMIF(Reservations!B:B, 'Transport', D:D) + SUMIF(Reservations!B:B, 'Repas', D:D)</f>
        <v/>
      </c>
    </row>
    <row r="4">
      <c r="A4" s="16" t="n"/>
      <c r="B4" s="17" t="n"/>
      <c r="C4" s="17" t="n"/>
      <c r="D4" s="17" t="n"/>
      <c r="E4" s="18" t="n"/>
      <c r="F4" s="19">
        <f>IF(A4="","",SUMIF(Reservations!B:B, 'Transport', D:D) + SUMIF(Reservations!B:B, 'Repas', D:D))</f>
        <v/>
      </c>
    </row>
    <row r="5">
      <c r="A5" s="16" t="n"/>
      <c r="B5" s="17" t="n"/>
      <c r="C5" s="17" t="n"/>
      <c r="D5" s="17" t="n"/>
      <c r="E5" s="18" t="n"/>
      <c r="F5" s="19">
        <f>IF(A5="","",SUMIF(Reservations!B:B, 'Transport', D:D) + SUMIF(Reservations!B:B, 'Repas', D:D))</f>
        <v/>
      </c>
    </row>
    <row r="6">
      <c r="A6" s="16" t="n"/>
      <c r="B6" s="17" t="n"/>
      <c r="C6" s="17" t="n"/>
      <c r="D6" s="17" t="n"/>
      <c r="E6" s="18" t="n"/>
      <c r="F6" s="19">
        <f>IF(A6="","",SUMIF(Reservations!B:B, 'Transport', D:D) + SUMIF(Reservations!B:B, 'Repas', D:D))</f>
        <v/>
      </c>
    </row>
    <row r="7">
      <c r="A7" s="16" t="n"/>
      <c r="B7" s="17" t="n"/>
      <c r="C7" s="17" t="n"/>
      <c r="D7" s="17" t="n"/>
      <c r="E7" s="18" t="n"/>
      <c r="F7" s="19">
        <f>IF(A7="","",SUMIF(Reservations!B:B, 'Transport', D:D) + SUMIF(Reservations!B:B, 'Repas', D:D))</f>
        <v/>
      </c>
    </row>
    <row r="8">
      <c r="A8" s="16" t="n"/>
      <c r="B8" s="17" t="n"/>
      <c r="C8" s="17" t="n"/>
      <c r="D8" s="17" t="n"/>
      <c r="E8" s="18" t="n"/>
      <c r="F8" s="19">
        <f>IF(A8="","",SUMIF(Reservations!B:B, 'Transport', D:D) + SUMIF(Reservations!B:B, 'Repas', D:D))</f>
        <v/>
      </c>
    </row>
    <row r="9">
      <c r="A9" s="16" t="n"/>
      <c r="B9" s="17" t="n"/>
      <c r="C9" s="17" t="n"/>
      <c r="D9" s="17" t="n"/>
      <c r="E9" s="18" t="n"/>
      <c r="F9" s="19">
        <f>IF(A9="","",SUMIF(Reservations!B:B, 'Transport', D:D) + SUMIF(Reservations!B:B, 'Repas', D:D))</f>
        <v/>
      </c>
    </row>
    <row r="10">
      <c r="A10" s="16" t="n"/>
      <c r="B10" s="17" t="n"/>
      <c r="C10" s="17" t="n"/>
      <c r="D10" s="17" t="n"/>
      <c r="E10" s="18" t="n"/>
      <c r="F10" s="19">
        <f>IF(A10="","",SUMIF(Reservations!B:B, 'Transport', D:D) + SUMIF(Reservations!B:B, 'Repas', D:D))</f>
        <v/>
      </c>
    </row>
    <row r="11">
      <c r="A11" s="16" t="n"/>
      <c r="B11" s="17" t="n"/>
      <c r="C11" s="17" t="n"/>
      <c r="D11" s="17" t="n"/>
      <c r="E11" s="18" t="n"/>
      <c r="F11" s="19">
        <f>IF(A11="","",SUMIF(Reservations!B:B, 'Transport', D:D) + SUMIF(Reservations!B:B, 'Repas', D:D))</f>
        <v/>
      </c>
    </row>
    <row r="12">
      <c r="A12" s="16" t="n"/>
      <c r="B12" s="17" t="n"/>
      <c r="C12" s="17" t="n"/>
      <c r="D12" s="17" t="n"/>
      <c r="E12" s="18" t="n"/>
      <c r="F12" s="19">
        <f>IF(A12="","",SUMIF(Reservations!B:B, 'Transport', D:D) + SUMIF(Reservations!B:B, 'Repas', D:D))</f>
        <v/>
      </c>
    </row>
    <row r="13">
      <c r="A13" s="16" t="n"/>
      <c r="B13" s="17" t="n"/>
      <c r="C13" s="17" t="n"/>
      <c r="D13" s="17" t="n"/>
      <c r="E13" s="18" t="n"/>
      <c r="F13" s="19">
        <f>IF(A13="","",SUMIF(Reservations!B:B, 'Transport', D:D) + SUMIF(Reservations!B:B, 'Repas', D:D))</f>
        <v/>
      </c>
    </row>
    <row r="14">
      <c r="A14" s="16" t="n"/>
      <c r="B14" s="17" t="n"/>
      <c r="C14" s="17" t="n"/>
      <c r="D14" s="17" t="n"/>
      <c r="E14" s="18" t="n"/>
      <c r="F14" s="19">
        <f>IF(A14="","",SUMIF(Reservations!B:B, 'Transport', D:D) + SUMIF(Reservations!B:B, 'Repas', D:D))</f>
        <v/>
      </c>
    </row>
    <row r="15">
      <c r="A15" s="16" t="n"/>
      <c r="B15" s="17" t="n"/>
      <c r="C15" s="17" t="n"/>
      <c r="D15" s="17" t="n"/>
      <c r="E15" s="18" t="n"/>
      <c r="F15" s="19">
        <f>IF(A15="","",SUMIF(Reservations!B:B, 'Transport', D:D) + SUMIF(Reservations!B:B, 'Repas', D:D))</f>
        <v/>
      </c>
    </row>
    <row r="16">
      <c r="A16" s="16" t="n"/>
      <c r="B16" s="17" t="n"/>
      <c r="C16" s="17" t="n"/>
      <c r="D16" s="17" t="n"/>
      <c r="E16" s="18" t="n"/>
      <c r="F16" s="19">
        <f>IF(A16="","",SUMIF(Reservations!B:B, 'Transport', D:D) + SUMIF(Reservations!B:B, 'Repas', D:D))</f>
        <v/>
      </c>
    </row>
    <row r="17">
      <c r="A17" s="16" t="n"/>
      <c r="B17" s="17" t="n"/>
      <c r="C17" s="17" t="n"/>
      <c r="D17" s="17" t="n"/>
      <c r="E17" s="18" t="n"/>
      <c r="F17" s="19">
        <f>IF(A17="","",SUMIF(Reservations!B:B, 'Transport', D:D) + SUMIF(Reservations!B:B, 'Repas', D:D))</f>
        <v/>
      </c>
    </row>
  </sheetData>
  <conditionalFormatting sqref="E2:E17">
    <cfRule type="cellIs" priority="1" operator="lessThan" dxfId="0">
      <formula>0</formula>
    </cfRule>
  </conditionalFormatting>
  <conditionalFormatting sqref="F2:F17">
    <cfRule type="cellIs" priority="2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12" customWidth="1" min="4" max="4"/>
    <col width="12" customWidth="1" min="5" max="5"/>
  </cols>
  <sheetData>
    <row r="1" ht="32" customHeight="1">
      <c r="A1" s="15" t="inlineStr">
        <is>
          <t>Ville</t>
        </is>
      </c>
      <c r="B1" s="15" t="inlineStr">
        <is>
          <t>Lieu</t>
        </is>
      </c>
      <c r="C1" s="15" t="inlineStr">
        <is>
          <t>Type</t>
        </is>
      </c>
      <c r="D1" s="15" t="inlineStr">
        <is>
          <t>Prix</t>
        </is>
      </c>
      <c r="E1" s="15" t="inlineStr">
        <is>
          <t>Note</t>
        </is>
      </c>
    </row>
    <row r="2">
      <c r="A2" s="17" t="inlineStr">
        <is>
          <t>Cologne</t>
        </is>
      </c>
      <c r="B2" s="17" t="inlineStr">
        <is>
          <t>Musée du chocolat</t>
        </is>
      </c>
      <c r="C2" s="17" t="inlineStr">
        <is>
          <t>Culture</t>
        </is>
      </c>
      <c r="D2" s="18" t="n">
        <v>13.5</v>
      </c>
      <c r="E2" s="17" t="inlineStr">
        <is>
          <t>★★★★☆</t>
        </is>
      </c>
    </row>
    <row r="3">
      <c r="A3" s="17" t="inlineStr">
        <is>
          <t>Düsseldorf</t>
        </is>
      </c>
      <c r="B3" s="17" t="inlineStr">
        <is>
          <t>Königsallee</t>
        </is>
      </c>
      <c r="C3" s="17" t="inlineStr">
        <is>
          <t>Shopping</t>
        </is>
      </c>
      <c r="D3" s="18" t="inlineStr"/>
      <c r="E3" s="17" t="inlineStr">
        <is>
          <t>★★★☆☆</t>
        </is>
      </c>
    </row>
    <row r="4">
      <c r="A4" s="17" t="n"/>
      <c r="B4" s="17" t="n"/>
      <c r="C4" s="17" t="n"/>
      <c r="D4" s="18" t="n"/>
      <c r="E4" s="17" t="n"/>
    </row>
    <row r="5">
      <c r="A5" s="17" t="n"/>
      <c r="B5" s="17" t="n"/>
      <c r="C5" s="17" t="n"/>
      <c r="D5" s="18" t="n"/>
      <c r="E5" s="17" t="n"/>
    </row>
    <row r="6">
      <c r="A6" s="17" t="n"/>
      <c r="B6" s="17" t="n"/>
      <c r="C6" s="17" t="n"/>
      <c r="D6" s="18" t="n"/>
      <c r="E6" s="17" t="n"/>
    </row>
    <row r="7">
      <c r="A7" s="17" t="n"/>
      <c r="B7" s="17" t="n"/>
      <c r="C7" s="17" t="n"/>
      <c r="D7" s="18" t="n"/>
      <c r="E7" s="17" t="n"/>
    </row>
    <row r="8">
      <c r="A8" s="17" t="n"/>
      <c r="B8" s="17" t="n"/>
      <c r="C8" s="17" t="n"/>
      <c r="D8" s="18" t="n"/>
      <c r="E8" s="17" t="n"/>
    </row>
    <row r="9">
      <c r="A9" s="17" t="n"/>
      <c r="B9" s="17" t="n"/>
      <c r="C9" s="17" t="n"/>
      <c r="D9" s="18" t="n"/>
      <c r="E9" s="17" t="n"/>
    </row>
    <row r="10">
      <c r="A10" s="17" t="n"/>
      <c r="B10" s="17" t="n"/>
      <c r="C10" s="17" t="n"/>
      <c r="D10" s="18" t="n"/>
      <c r="E10" s="17" t="n"/>
    </row>
    <row r="11">
      <c r="A11" s="17" t="n"/>
      <c r="B11" s="17" t="n"/>
      <c r="C11" s="17" t="n"/>
      <c r="D11" s="18" t="n"/>
      <c r="E11" s="17" t="n"/>
    </row>
    <row r="12">
      <c r="A12" s="17" t="n"/>
      <c r="B12" s="17" t="n"/>
      <c r="C12" s="17" t="n"/>
      <c r="D12" s="18" t="n"/>
      <c r="E12" s="17" t="n"/>
    </row>
    <row r="13">
      <c r="A13" s="17" t="n"/>
      <c r="B13" s="17" t="n"/>
      <c r="C13" s="17" t="n"/>
      <c r="D13" s="18" t="n"/>
      <c r="E13" s="17" t="n"/>
    </row>
    <row r="14">
      <c r="A14" s="17" t="n"/>
      <c r="B14" s="17" t="n"/>
      <c r="C14" s="17" t="n"/>
      <c r="D14" s="18" t="n"/>
      <c r="E14" s="17" t="n"/>
    </row>
    <row r="15">
      <c r="A15" s="17" t="n"/>
      <c r="B15" s="17" t="n"/>
      <c r="C15" s="17" t="n"/>
      <c r="D15" s="18" t="n"/>
      <c r="E15" s="17" t="n"/>
    </row>
    <row r="16">
      <c r="A16" s="17" t="n"/>
      <c r="B16" s="17" t="n"/>
      <c r="C16" s="17" t="n"/>
      <c r="D16" s="18" t="n"/>
      <c r="E16" s="17" t="n"/>
    </row>
    <row r="17">
      <c r="A17" s="17" t="n"/>
      <c r="B17" s="17" t="n"/>
      <c r="C17" s="17" t="n"/>
      <c r="D17" s="18" t="n"/>
      <c r="E17" s="17" t="n"/>
    </row>
    <row r="18">
      <c r="A18" s="17" t="n"/>
      <c r="B18" s="17" t="n"/>
      <c r="C18" s="17" t="n"/>
      <c r="D18" s="18" t="n"/>
      <c r="E18" s="17" t="n"/>
    </row>
    <row r="19">
      <c r="A19" s="17" t="n"/>
      <c r="B19" s="17" t="n"/>
      <c r="C19" s="17" t="n"/>
      <c r="D19" s="18" t="n"/>
      <c r="E19" s="17" t="n"/>
    </row>
    <row r="20">
      <c r="A20" s="17" t="n"/>
      <c r="B20" s="17" t="n"/>
      <c r="C20" s="17" t="n"/>
      <c r="D20" s="18" t="n"/>
      <c r="E20" s="17" t="n"/>
    </row>
    <row r="21">
      <c r="A21" s="17" t="n"/>
      <c r="B21" s="17" t="n"/>
      <c r="C21" s="17" t="n"/>
      <c r="D21" s="18" t="n"/>
      <c r="E21" s="17" t="n"/>
    </row>
    <row r="22">
      <c r="A22" s="17" t="n"/>
      <c r="B22" s="17" t="n"/>
      <c r="C22" s="17" t="n"/>
      <c r="D22" s="18" t="n"/>
      <c r="E22" s="17" t="n"/>
    </row>
    <row r="23">
      <c r="A23" s="17" t="n"/>
      <c r="B23" s="17" t="n"/>
      <c r="C23" s="17" t="n"/>
      <c r="D23" s="18" t="n"/>
      <c r="E23" s="17" t="n"/>
    </row>
    <row r="24">
      <c r="A24" s="17" t="n"/>
      <c r="B24" s="17" t="n"/>
      <c r="C24" s="17" t="n"/>
      <c r="D24" s="18" t="n"/>
      <c r="E24" s="17" t="n"/>
    </row>
    <row r="25">
      <c r="A25" s="17" t="n"/>
      <c r="B25" s="17" t="n"/>
      <c r="C25" s="17" t="n"/>
      <c r="D25" s="18" t="n"/>
      <c r="E25" s="17" t="n"/>
    </row>
    <row r="26">
      <c r="A26" s="17" t="n"/>
      <c r="B26" s="17" t="n"/>
      <c r="C26" s="17" t="n"/>
      <c r="D26" s="18" t="n"/>
      <c r="E26" s="17" t="n"/>
    </row>
    <row r="27">
      <c r="A27" s="17" t="n"/>
      <c r="B27" s="17" t="n"/>
      <c r="C27" s="17" t="n"/>
      <c r="D27" s="18" t="n"/>
      <c r="E27" s="17" t="n"/>
    </row>
    <row r="28">
      <c r="A28" s="17" t="n"/>
      <c r="B28" s="17" t="n"/>
      <c r="C28" s="17" t="n"/>
      <c r="D28" s="18" t="n"/>
      <c r="E28" s="17" t="n"/>
    </row>
    <row r="29">
      <c r="A29" s="17" t="n"/>
      <c r="B29" s="17" t="n"/>
      <c r="C29" s="17" t="n"/>
      <c r="D29" s="18" t="n"/>
      <c r="E29" s="17" t="n"/>
    </row>
    <row r="30">
      <c r="A30" s="17" t="n"/>
      <c r="B30" s="17" t="n"/>
      <c r="C30" s="17" t="n"/>
      <c r="D30" s="18" t="n"/>
      <c r="E30" s="17" t="n"/>
    </row>
    <row r="31">
      <c r="A31" s="17" t="n"/>
      <c r="B31" s="17" t="n"/>
      <c r="C31" s="17" t="n"/>
      <c r="D31" s="18" t="n"/>
      <c r="E31" s="17" t="n"/>
    </row>
    <row r="32">
      <c r="A32" s="17" t="n"/>
      <c r="B32" s="17" t="n"/>
      <c r="C32" s="17" t="n"/>
      <c r="D32" s="18" t="n"/>
      <c r="E32" s="17" t="n"/>
    </row>
    <row r="33">
      <c r="A33" s="17" t="n"/>
      <c r="B33" s="17" t="n"/>
      <c r="C33" s="17" t="n"/>
      <c r="D33" s="18" t="n"/>
      <c r="E33" s="17" t="n"/>
    </row>
  </sheetData>
  <conditionalFormatting sqref="D2:D33">
    <cfRule type="cellIs" priority="1" operator="lessThan" dxfId="0">
      <formula>0</formula>
    </cfRule>
  </conditionalFormatting>
  <dataValidations count="1">
    <dataValidation sqref="C2:C33" showDropDown="0" showInputMessage="0" showErrorMessage="0" allowBlank="1" type="list">
      <formula1>"Culture,Shopping,Gastronomie,Nature"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Planificateur de Voyage NRW pour Professionnels : Budget, Itinéraire &amp; Highlights (2026)</dc:title>
  <dcterms:created xsi:type="dcterms:W3CDTF">2026-10-10T12:41:18Z</dcterms:created>
  <dcterms:modified xsi:type="dcterms:W3CDTF">2026-10-10T12:41:18Z</dcterms:modified>
</cp:coreProperties>
</file>