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er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'Budget'!$B$2:$B$6</f>
            </numRef>
          </cat>
          <val>
            <numRef>
              <f>'Budget'!$D$2:$D$6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615" displayName="T_Budget_2615" ref="A1:E66" headerRowCount="1">
  <autoFilter ref="A1:E66"/>
  <tableColumns count="5">
    <tableColumn id="1" name="Date"/>
    <tableColumn id="2" name="Catégorie"/>
    <tableColumn id="3" name="Description"/>
    <tableColumn id="4" name="Montant"/>
    <tableColumn id="5" name="Payé"/>
  </tableColumns>
  <tableStyleInfo name="TableStyleMedium7" showRowStripes="1"/>
</table>
</file>

<file path=xl/tables/table2.xml><?xml version="1.0" encoding="utf-8"?>
<table xmlns="http://schemas.openxmlformats.org/spreadsheetml/2006/main" id="2" name="T_Itineraire_3436" displayName="T_Itineraire_3436" ref="A1:E46" headerRowCount="1">
  <autoFilter ref="A1:E46"/>
  <tableColumns count="5">
    <tableColumn id="1" name="Date"/>
    <tableColumn id="2" name="Lieu"/>
    <tableColumn id="3" name="Activité"/>
    <tableColumn id="4" name="Priorité"/>
    <tableColumn id="5" name="Réalisé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en NRW: Budget &amp; Itinéraire pour Explorateurs Urbains</t>
        </is>
      </c>
    </row>
    <row r="3" ht="45" customHeight="1">
      <c r="C3" s="2" t="inlineStr">
        <is>
          <t>Outil tout-en-un pour planifier vos dépenses et itinéraires en NRW. Suivez votre budget, organisez vos visites et découvrez les meilleurs spots comme un local.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dépenses prévues dans l'onglet Budget</t>
        </is>
      </c>
    </row>
    <row r="7" ht="18" customHeight="1">
      <c r="B7" s="4" t="inlineStr">
        <is>
          <t>2.</t>
        </is>
      </c>
      <c r="C7" s="5" t="inlineStr">
        <is>
          <t>Planifiez vos journées dans l'onglet Itinéraire</t>
        </is>
      </c>
    </row>
    <row r="8" ht="18" customHeight="1">
      <c r="B8" s="4" t="inlineStr">
        <is>
          <t>3.</t>
        </is>
      </c>
      <c r="C8" s="5" t="inlineStr">
        <is>
          <t>Consultez le dashboard pour voir votre situation financière</t>
        </is>
      </c>
    </row>
    <row r="9" ht="18" customHeight="1">
      <c r="B9" s="4" t="inlineStr">
        <is>
          <t>4.</t>
        </is>
      </c>
      <c r="C9" s="5" t="inlineStr">
        <is>
          <t>Utilisez nos suggestions de catégories pour les dépenses</t>
        </is>
      </c>
    </row>
    <row r="10" ht="18" customHeight="1">
      <c r="B10" s="4" t="inlineStr">
        <is>
          <t>5.</t>
        </is>
      </c>
      <c r="C10" s="5" t="inlineStr">
        <is>
          <t>Ajoutez des notes sur vos visites préférées</t>
        </is>
      </c>
    </row>
    <row r="11" ht="18" customHeight="1">
      <c r="B11" s="4" t="inlineStr">
        <is>
          <t>6.</t>
        </is>
      </c>
      <c r="C11" s="5" t="inlineStr">
        <is>
          <t>Exportez vos données pour les partager avec vos compagnons de voyage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Itineraire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en NRW: Budget &amp; Itinéraire pour Exp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SUM('Budget'!D2:D300)</f>
        <v/>
      </c>
    </row>
    <row r="6" ht="24" customHeight="1">
      <c r="B6" s="11" t="inlineStr">
        <is>
          <t>Dépenses effectuées</t>
        </is>
      </c>
      <c r="C6" s="12">
        <f>SUM('Budget'!E2:E300)</f>
        <v/>
      </c>
    </row>
    <row r="7" ht="24" customHeight="1">
      <c r="B7" s="11" t="inlineStr">
        <is>
          <t>Activités prévues</t>
        </is>
      </c>
      <c r="C7" s="13">
        <f>COUNTA('Itineraire'!B2:B300)</f>
        <v/>
      </c>
    </row>
    <row r="8" ht="24" customHeight="1">
      <c r="B8" s="11" t="inlineStr">
        <is>
          <t>Activités réalisées</t>
        </is>
      </c>
      <c r="C8" s="13">
        <f>COUNTIF('Itineraire'!E2:E300,"Oui")</f>
        <v/>
      </c>
    </row>
    <row r="9" ht="24" customHeight="1">
      <c r="B9" s="11" t="inlineStr">
        <is>
          <t>Jours restants</t>
        </is>
      </c>
      <c r="C9" s="13">
        <f>MAX('Itineraire'!A2:A300)-TODAY()</f>
        <v/>
      </c>
    </row>
    <row r="10" ht="24" customHeight="1">
      <c r="B10" s="11" t="inlineStr">
        <is>
          <t>Dépenses moyennes/jour</t>
        </is>
      </c>
      <c r="C10" s="12">
        <f>AVERAGE('Budget'!D2:D300)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12" customWidth="1" min="4" max="4"/>
    <col width="40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Payé</t>
        </is>
      </c>
    </row>
    <row r="2">
      <c r="A2" s="15" t="n">
        <v>46157</v>
      </c>
      <c r="B2" s="16" t="inlineStr">
        <is>
          <t>Transport</t>
        </is>
      </c>
      <c r="C2" s="16" t="inlineStr">
        <is>
          <t>Train Paris-Cologne</t>
        </is>
      </c>
      <c r="D2" s="17" t="n">
        <v>79</v>
      </c>
      <c r="E2" s="18">
        <f>IF(TODAY()&gt;=A2,D2,0)</f>
        <v/>
      </c>
    </row>
    <row r="3">
      <c r="A3" s="15" t="n">
        <v>46158</v>
      </c>
      <c r="B3" s="16" t="inlineStr">
        <is>
          <t>Nourriture</t>
        </is>
      </c>
      <c r="C3" s="16" t="inlineStr">
        <is>
          <t>Dîner à Cologne</t>
        </is>
      </c>
      <c r="D3" s="17" t="n">
        <v>32.5</v>
      </c>
      <c r="E3" s="18">
        <f>IF(TODAY()&gt;=A3,D3,0)</f>
        <v/>
      </c>
    </row>
    <row r="4">
      <c r="A4" s="15" t="n">
        <v>46159</v>
      </c>
      <c r="B4" s="16" t="inlineStr">
        <is>
          <t>Logement</t>
        </is>
      </c>
      <c r="C4" s="16" t="inlineStr">
        <is>
          <t>Hôtel 3 étoiles Düsseldorf</t>
        </is>
      </c>
      <c r="D4" s="17" t="n">
        <v>120</v>
      </c>
      <c r="E4" s="18">
        <f>IF(TODAY()&gt;=A4,D4,0)</f>
        <v/>
      </c>
    </row>
    <row r="5">
      <c r="A5" s="15" t="n">
        <v>46160</v>
      </c>
      <c r="B5" s="16" t="inlineStr">
        <is>
          <t>Activités</t>
        </is>
      </c>
      <c r="C5" s="16" t="inlineStr">
        <is>
          <t>Visite musée du football Dortmund</t>
        </is>
      </c>
      <c r="D5" s="17" t="n">
        <v>15</v>
      </c>
      <c r="E5" s="18">
        <f>IF(TODAY()&gt;=A5,D5,0)</f>
        <v/>
      </c>
    </row>
    <row r="6">
      <c r="A6" s="15" t="n">
        <v>46161</v>
      </c>
      <c r="B6" s="16" t="inlineStr">
        <is>
          <t>Shopping</t>
        </is>
      </c>
      <c r="C6" s="16" t="inlineStr">
        <is>
          <t>Souvenirs</t>
        </is>
      </c>
      <c r="D6" s="17" t="n">
        <v>45</v>
      </c>
      <c r="E6" s="18">
        <f>IF(TODAY()&gt;=A6,D6,0)</f>
        <v/>
      </c>
    </row>
    <row r="7">
      <c r="A7" s="15" t="n"/>
      <c r="B7" s="16" t="n"/>
      <c r="C7" s="16" t="n"/>
      <c r="D7" s="17" t="n"/>
      <c r="E7" s="18">
        <f>IF(A7="","",IF(TODAY()&gt;=A7,D7,0))</f>
        <v/>
      </c>
    </row>
    <row r="8">
      <c r="A8" s="15" t="n"/>
      <c r="B8" s="16" t="n"/>
      <c r="C8" s="16" t="n"/>
      <c r="D8" s="17" t="n"/>
      <c r="E8" s="18">
        <f>IF(A8="","",IF(TODAY()&gt;=A8,D8,0))</f>
        <v/>
      </c>
    </row>
    <row r="9">
      <c r="A9" s="15" t="n"/>
      <c r="B9" s="16" t="n"/>
      <c r="C9" s="16" t="n"/>
      <c r="D9" s="17" t="n"/>
      <c r="E9" s="18">
        <f>IF(A9="","",IF(TODAY()&gt;=A9,D9,0))</f>
        <v/>
      </c>
    </row>
    <row r="10">
      <c r="A10" s="15" t="n"/>
      <c r="B10" s="16" t="n"/>
      <c r="C10" s="16" t="n"/>
      <c r="D10" s="17" t="n"/>
      <c r="E10" s="18">
        <f>IF(A10="","",IF(TODAY()&gt;=A10,D10,0))</f>
        <v/>
      </c>
    </row>
    <row r="11">
      <c r="A11" s="15" t="n"/>
      <c r="B11" s="16" t="n"/>
      <c r="C11" s="16" t="n"/>
      <c r="D11" s="17" t="n"/>
      <c r="E11" s="18">
        <f>IF(A11="","",IF(TODAY()&gt;=A11,D11,0))</f>
        <v/>
      </c>
    </row>
    <row r="12">
      <c r="A12" s="15" t="n"/>
      <c r="B12" s="16" t="n"/>
      <c r="C12" s="16" t="n"/>
      <c r="D12" s="17" t="n"/>
      <c r="E12" s="18">
        <f>IF(A12="","",IF(TODAY()&gt;=A12,D12,0))</f>
        <v/>
      </c>
    </row>
    <row r="13">
      <c r="A13" s="15" t="n"/>
      <c r="B13" s="16" t="n"/>
      <c r="C13" s="16" t="n"/>
      <c r="D13" s="17" t="n"/>
      <c r="E13" s="18">
        <f>IF(A13="","",IF(TODAY()&gt;=A13,D13,0))</f>
        <v/>
      </c>
    </row>
    <row r="14">
      <c r="A14" s="15" t="n"/>
      <c r="B14" s="16" t="n"/>
      <c r="C14" s="16" t="n"/>
      <c r="D14" s="17" t="n"/>
      <c r="E14" s="18">
        <f>IF(A14="","",IF(TODAY()&gt;=A14,D14,0))</f>
        <v/>
      </c>
    </row>
    <row r="15">
      <c r="A15" s="15" t="n"/>
      <c r="B15" s="16" t="n"/>
      <c r="C15" s="16" t="n"/>
      <c r="D15" s="17" t="n"/>
      <c r="E15" s="18">
        <f>IF(A15="","",IF(TODAY()&gt;=A15,D15,0))</f>
        <v/>
      </c>
    </row>
    <row r="16">
      <c r="A16" s="15" t="n"/>
      <c r="B16" s="16" t="n"/>
      <c r="C16" s="16" t="n"/>
      <c r="D16" s="17" t="n"/>
      <c r="E16" s="18">
        <f>IF(A16="","",IF(TODAY()&gt;=A16,D16,0))</f>
        <v/>
      </c>
    </row>
    <row r="17">
      <c r="A17" s="15" t="n"/>
      <c r="B17" s="16" t="n"/>
      <c r="C17" s="16" t="n"/>
      <c r="D17" s="17" t="n"/>
      <c r="E17" s="18">
        <f>IF(A17="","",IF(TODAY()&gt;=A17,D17,0))</f>
        <v/>
      </c>
    </row>
    <row r="18">
      <c r="A18" s="15" t="n"/>
      <c r="B18" s="16" t="n"/>
      <c r="C18" s="16" t="n"/>
      <c r="D18" s="17" t="n"/>
      <c r="E18" s="18">
        <f>IF(A18="","",IF(TODAY()&gt;=A18,D18,0))</f>
        <v/>
      </c>
    </row>
    <row r="19">
      <c r="A19" s="15" t="n"/>
      <c r="B19" s="16" t="n"/>
      <c r="C19" s="16" t="n"/>
      <c r="D19" s="17" t="n"/>
      <c r="E19" s="18">
        <f>IF(A19="","",IF(TODAY()&gt;=A19,D19,0))</f>
        <v/>
      </c>
    </row>
    <row r="20">
      <c r="A20" s="15" t="n"/>
      <c r="B20" s="16" t="n"/>
      <c r="C20" s="16" t="n"/>
      <c r="D20" s="17" t="n"/>
      <c r="E20" s="18">
        <f>IF(A20="","",IF(TODAY()&gt;=A20,D20,0))</f>
        <v/>
      </c>
    </row>
    <row r="21">
      <c r="A21" s="15" t="n"/>
      <c r="B21" s="16" t="n"/>
      <c r="C21" s="16" t="n"/>
      <c r="D21" s="17" t="n"/>
      <c r="E21" s="18">
        <f>IF(A21="","",IF(TODAY()&gt;=A21,D21,0))</f>
        <v/>
      </c>
    </row>
    <row r="22">
      <c r="A22" s="15" t="n"/>
      <c r="B22" s="16" t="n"/>
      <c r="C22" s="16" t="n"/>
      <c r="D22" s="17" t="n"/>
      <c r="E22" s="18">
        <f>IF(A22="","",IF(TODAY()&gt;=A22,D22,0))</f>
        <v/>
      </c>
    </row>
    <row r="23">
      <c r="A23" s="15" t="n"/>
      <c r="B23" s="16" t="n"/>
      <c r="C23" s="16" t="n"/>
      <c r="D23" s="17" t="n"/>
      <c r="E23" s="18">
        <f>IF(A23="","",IF(TODAY()&gt;=A23,D23,0))</f>
        <v/>
      </c>
    </row>
    <row r="24">
      <c r="A24" s="15" t="n"/>
      <c r="B24" s="16" t="n"/>
      <c r="C24" s="16" t="n"/>
      <c r="D24" s="17" t="n"/>
      <c r="E24" s="18">
        <f>IF(A24="","",IF(TODAY()&gt;=A24,D24,0))</f>
        <v/>
      </c>
    </row>
    <row r="25">
      <c r="A25" s="15" t="n"/>
      <c r="B25" s="16" t="n"/>
      <c r="C25" s="16" t="n"/>
      <c r="D25" s="17" t="n"/>
      <c r="E25" s="18">
        <f>IF(A25="","",IF(TODAY()&gt;=A25,D25,0))</f>
        <v/>
      </c>
    </row>
    <row r="26">
      <c r="A26" s="15" t="n"/>
      <c r="B26" s="16" t="n"/>
      <c r="C26" s="16" t="n"/>
      <c r="D26" s="17" t="n"/>
      <c r="E26" s="18">
        <f>IF(A26="","",IF(TODAY()&gt;=A26,D26,0))</f>
        <v/>
      </c>
    </row>
    <row r="27">
      <c r="A27" s="15" t="n"/>
      <c r="B27" s="16" t="n"/>
      <c r="C27" s="16" t="n"/>
      <c r="D27" s="17" t="n"/>
      <c r="E27" s="18">
        <f>IF(A27="","",IF(TODAY()&gt;=A27,D27,0))</f>
        <v/>
      </c>
    </row>
    <row r="28">
      <c r="A28" s="15" t="n"/>
      <c r="B28" s="16" t="n"/>
      <c r="C28" s="16" t="n"/>
      <c r="D28" s="17" t="n"/>
      <c r="E28" s="18">
        <f>IF(A28="","",IF(TODAY()&gt;=A28,D28,0))</f>
        <v/>
      </c>
    </row>
    <row r="29">
      <c r="A29" s="15" t="n"/>
      <c r="B29" s="16" t="n"/>
      <c r="C29" s="16" t="n"/>
      <c r="D29" s="17" t="n"/>
      <c r="E29" s="18">
        <f>IF(A29="","",IF(TODAY()&gt;=A29,D29,0))</f>
        <v/>
      </c>
    </row>
    <row r="30">
      <c r="A30" s="15" t="n"/>
      <c r="B30" s="16" t="n"/>
      <c r="C30" s="16" t="n"/>
      <c r="D30" s="17" t="n"/>
      <c r="E30" s="18">
        <f>IF(A30="","",IF(TODAY()&gt;=A30,D30,0))</f>
        <v/>
      </c>
    </row>
    <row r="31">
      <c r="A31" s="15" t="n"/>
      <c r="B31" s="16" t="n"/>
      <c r="C31" s="16" t="n"/>
      <c r="D31" s="17" t="n"/>
      <c r="E31" s="18">
        <f>IF(A31="","",IF(TODAY()&gt;=A31,D31,0))</f>
        <v/>
      </c>
    </row>
    <row r="32">
      <c r="A32" s="15" t="n"/>
      <c r="B32" s="16" t="n"/>
      <c r="C32" s="16" t="n"/>
      <c r="D32" s="17" t="n"/>
      <c r="E32" s="18">
        <f>IF(A32="","",IF(TODAY()&gt;=A32,D32,0))</f>
        <v/>
      </c>
    </row>
    <row r="33">
      <c r="A33" s="15" t="n"/>
      <c r="B33" s="16" t="n"/>
      <c r="C33" s="16" t="n"/>
      <c r="D33" s="17" t="n"/>
      <c r="E33" s="18">
        <f>IF(A33="","",IF(TODAY()&gt;=A33,D33,0))</f>
        <v/>
      </c>
    </row>
    <row r="34">
      <c r="A34" s="15" t="n"/>
      <c r="B34" s="16" t="n"/>
      <c r="C34" s="16" t="n"/>
      <c r="D34" s="17" t="n"/>
      <c r="E34" s="18">
        <f>IF(A34="","",IF(TODAY()&gt;=A34,D34,0))</f>
        <v/>
      </c>
    </row>
    <row r="35">
      <c r="A35" s="15" t="n"/>
      <c r="B35" s="16" t="n"/>
      <c r="C35" s="16" t="n"/>
      <c r="D35" s="17" t="n"/>
      <c r="E35" s="18">
        <f>IF(A35="","",IF(TODAY()&gt;=A35,D35,0))</f>
        <v/>
      </c>
    </row>
    <row r="36">
      <c r="A36" s="15" t="n"/>
      <c r="B36" s="16" t="n"/>
      <c r="C36" s="16" t="n"/>
      <c r="D36" s="17" t="n"/>
      <c r="E36" s="18">
        <f>IF(A36="","",IF(TODAY()&gt;=A36,D36,0))</f>
        <v/>
      </c>
    </row>
    <row r="37">
      <c r="A37" s="15" t="n"/>
      <c r="B37" s="16" t="n"/>
      <c r="C37" s="16" t="n"/>
      <c r="D37" s="17" t="n"/>
      <c r="E37" s="18">
        <f>IF(A37="","",IF(TODAY()&gt;=A37,D37,0))</f>
        <v/>
      </c>
    </row>
    <row r="38">
      <c r="A38" s="15" t="n"/>
      <c r="B38" s="16" t="n"/>
      <c r="C38" s="16" t="n"/>
      <c r="D38" s="17" t="n"/>
      <c r="E38" s="18">
        <f>IF(A38="","",IF(TODAY()&gt;=A38,D38,0))</f>
        <v/>
      </c>
    </row>
    <row r="39">
      <c r="A39" s="15" t="n"/>
      <c r="B39" s="16" t="n"/>
      <c r="C39" s="16" t="n"/>
      <c r="D39" s="17" t="n"/>
      <c r="E39" s="18">
        <f>IF(A39="","",IF(TODAY()&gt;=A39,D39,0))</f>
        <v/>
      </c>
    </row>
    <row r="40">
      <c r="A40" s="15" t="n"/>
      <c r="B40" s="16" t="n"/>
      <c r="C40" s="16" t="n"/>
      <c r="D40" s="17" t="n"/>
      <c r="E40" s="18">
        <f>IF(A40="","",IF(TODAY()&gt;=A40,D40,0))</f>
        <v/>
      </c>
    </row>
    <row r="41">
      <c r="A41" s="15" t="n"/>
      <c r="B41" s="16" t="n"/>
      <c r="C41" s="16" t="n"/>
      <c r="D41" s="17" t="n"/>
      <c r="E41" s="18">
        <f>IF(A41="","",IF(TODAY()&gt;=A41,D41,0))</f>
        <v/>
      </c>
    </row>
    <row r="42">
      <c r="A42" s="15" t="n"/>
      <c r="B42" s="16" t="n"/>
      <c r="C42" s="16" t="n"/>
      <c r="D42" s="17" t="n"/>
      <c r="E42" s="18">
        <f>IF(A42="","",IF(TODAY()&gt;=A42,D42,0))</f>
        <v/>
      </c>
    </row>
    <row r="43">
      <c r="A43" s="15" t="n"/>
      <c r="B43" s="16" t="n"/>
      <c r="C43" s="16" t="n"/>
      <c r="D43" s="17" t="n"/>
      <c r="E43" s="18">
        <f>IF(A43="","",IF(TODAY()&gt;=A43,D43,0))</f>
        <v/>
      </c>
    </row>
    <row r="44">
      <c r="A44" s="15" t="n"/>
      <c r="B44" s="16" t="n"/>
      <c r="C44" s="16" t="n"/>
      <c r="D44" s="17" t="n"/>
      <c r="E44" s="18">
        <f>IF(A44="","",IF(TODAY()&gt;=A44,D44,0))</f>
        <v/>
      </c>
    </row>
    <row r="45">
      <c r="A45" s="15" t="n"/>
      <c r="B45" s="16" t="n"/>
      <c r="C45" s="16" t="n"/>
      <c r="D45" s="17" t="n"/>
      <c r="E45" s="18">
        <f>IF(A45="","",IF(TODAY()&gt;=A45,D45,0))</f>
        <v/>
      </c>
    </row>
    <row r="46">
      <c r="A46" s="15" t="n"/>
      <c r="B46" s="16" t="n"/>
      <c r="C46" s="16" t="n"/>
      <c r="D46" s="17" t="n"/>
      <c r="E46" s="18">
        <f>IF(A46="","",IF(TODAY()&gt;=A46,D46,0))</f>
        <v/>
      </c>
    </row>
    <row r="47">
      <c r="A47" s="15" t="n"/>
      <c r="B47" s="16" t="n"/>
      <c r="C47" s="16" t="n"/>
      <c r="D47" s="17" t="n"/>
      <c r="E47" s="18">
        <f>IF(A47="","",IF(TODAY()&gt;=A47,D47,0))</f>
        <v/>
      </c>
    </row>
    <row r="48">
      <c r="A48" s="15" t="n"/>
      <c r="B48" s="16" t="n"/>
      <c r="C48" s="16" t="n"/>
      <c r="D48" s="17" t="n"/>
      <c r="E48" s="18">
        <f>IF(A48="","",IF(TODAY()&gt;=A48,D48,0))</f>
        <v/>
      </c>
    </row>
    <row r="49">
      <c r="A49" s="15" t="n"/>
      <c r="B49" s="16" t="n"/>
      <c r="C49" s="16" t="n"/>
      <c r="D49" s="17" t="n"/>
      <c r="E49" s="18">
        <f>IF(A49="","",IF(TODAY()&gt;=A49,D49,0))</f>
        <v/>
      </c>
    </row>
    <row r="50">
      <c r="A50" s="15" t="n"/>
      <c r="B50" s="16" t="n"/>
      <c r="C50" s="16" t="n"/>
      <c r="D50" s="17" t="n"/>
      <c r="E50" s="18">
        <f>IF(A50="","",IF(TODAY()&gt;=A50,D50,0))</f>
        <v/>
      </c>
    </row>
    <row r="51">
      <c r="A51" s="15" t="n"/>
      <c r="B51" s="16" t="n"/>
      <c r="C51" s="16" t="n"/>
      <c r="D51" s="17" t="n"/>
      <c r="E51" s="18">
        <f>IF(A51="","",IF(TODAY()&gt;=A51,D51,0))</f>
        <v/>
      </c>
    </row>
    <row r="52">
      <c r="A52" s="15" t="n"/>
      <c r="B52" s="16" t="n"/>
      <c r="C52" s="16" t="n"/>
      <c r="D52" s="17" t="n"/>
      <c r="E52" s="18">
        <f>IF(A52="","",IF(TODAY()&gt;=A52,D52,0))</f>
        <v/>
      </c>
    </row>
    <row r="53">
      <c r="A53" s="15" t="n"/>
      <c r="B53" s="16" t="n"/>
      <c r="C53" s="16" t="n"/>
      <c r="D53" s="17" t="n"/>
      <c r="E53" s="18">
        <f>IF(A53="","",IF(TODAY()&gt;=A53,D53,0))</f>
        <v/>
      </c>
    </row>
    <row r="54">
      <c r="A54" s="15" t="n"/>
      <c r="B54" s="16" t="n"/>
      <c r="C54" s="16" t="n"/>
      <c r="D54" s="17" t="n"/>
      <c r="E54" s="18">
        <f>IF(A54="","",IF(TODAY()&gt;=A54,D54,0))</f>
        <v/>
      </c>
    </row>
    <row r="55">
      <c r="A55" s="15" t="n"/>
      <c r="B55" s="16" t="n"/>
      <c r="C55" s="16" t="n"/>
      <c r="D55" s="17" t="n"/>
      <c r="E55" s="18">
        <f>IF(A55="","",IF(TODAY()&gt;=A55,D55,0))</f>
        <v/>
      </c>
    </row>
    <row r="56">
      <c r="A56" s="15" t="n"/>
      <c r="B56" s="16" t="n"/>
      <c r="C56" s="16" t="n"/>
      <c r="D56" s="17" t="n"/>
      <c r="E56" s="18">
        <f>IF(A56="","",IF(TODAY()&gt;=A56,D56,0))</f>
        <v/>
      </c>
    </row>
    <row r="57">
      <c r="A57" s="15" t="n"/>
      <c r="B57" s="16" t="n"/>
      <c r="C57" s="16" t="n"/>
      <c r="D57" s="17" t="n"/>
      <c r="E57" s="18">
        <f>IF(A57="","",IF(TODAY()&gt;=A57,D57,0))</f>
        <v/>
      </c>
    </row>
    <row r="58">
      <c r="A58" s="15" t="n"/>
      <c r="B58" s="16" t="n"/>
      <c r="C58" s="16" t="n"/>
      <c r="D58" s="17" t="n"/>
      <c r="E58" s="18">
        <f>IF(A58="","",IF(TODAY()&gt;=A58,D58,0))</f>
        <v/>
      </c>
    </row>
    <row r="59">
      <c r="A59" s="15" t="n"/>
      <c r="B59" s="16" t="n"/>
      <c r="C59" s="16" t="n"/>
      <c r="D59" s="17" t="n"/>
      <c r="E59" s="18">
        <f>IF(A59="","",IF(TODAY()&gt;=A59,D59,0))</f>
        <v/>
      </c>
    </row>
    <row r="60">
      <c r="A60" s="15" t="n"/>
      <c r="B60" s="16" t="n"/>
      <c r="C60" s="16" t="n"/>
      <c r="D60" s="17" t="n"/>
      <c r="E60" s="18">
        <f>IF(A60="","",IF(TODAY()&gt;=A60,D60,0))</f>
        <v/>
      </c>
    </row>
    <row r="61">
      <c r="A61" s="15" t="n"/>
      <c r="B61" s="16" t="n"/>
      <c r="C61" s="16" t="n"/>
      <c r="D61" s="17" t="n"/>
      <c r="E61" s="18">
        <f>IF(A61="","",IF(TODAY()&gt;=A61,D61,0))</f>
        <v/>
      </c>
    </row>
    <row r="62">
      <c r="A62" s="15" t="n"/>
      <c r="B62" s="16" t="n"/>
      <c r="C62" s="16" t="n"/>
      <c r="D62" s="17" t="n"/>
      <c r="E62" s="18">
        <f>IF(A62="","",IF(TODAY()&gt;=A62,D62,0))</f>
        <v/>
      </c>
    </row>
    <row r="63">
      <c r="A63" s="15" t="n"/>
      <c r="B63" s="16" t="n"/>
      <c r="C63" s="16" t="n"/>
      <c r="D63" s="17" t="n"/>
      <c r="E63" s="18">
        <f>IF(A63="","",IF(TODAY()&gt;=A63,D63,0))</f>
        <v/>
      </c>
    </row>
    <row r="64">
      <c r="A64" s="15" t="n"/>
      <c r="B64" s="16" t="n"/>
      <c r="C64" s="16" t="n"/>
      <c r="D64" s="17" t="n"/>
      <c r="E64" s="18">
        <f>IF(A64="","",IF(TODAY()&gt;=A64,D64,0))</f>
        <v/>
      </c>
    </row>
    <row r="65">
      <c r="A65" s="15" t="n"/>
      <c r="B65" s="16" t="n"/>
      <c r="C65" s="16" t="n"/>
      <c r="D65" s="17" t="n"/>
      <c r="E65" s="18">
        <f>IF(A65="","",IF(TODAY()&gt;=A65,D65,0))</f>
        <v/>
      </c>
    </row>
    <row r="66">
      <c r="A66" s="15" t="n"/>
      <c r="B66" s="16" t="n"/>
      <c r="C66" s="16" t="n"/>
      <c r="D66" s="17" t="n"/>
      <c r="E66" s="18">
        <f>IF(A66="","",IF(TODAY()&gt;=A66,D66,0))</f>
        <v/>
      </c>
    </row>
  </sheetData>
  <conditionalFormatting sqref="D2:D66">
    <cfRule type="cellIs" priority="1" operator="lessThan" dxfId="0">
      <formula>0</formula>
    </cfRule>
  </conditionalFormatting>
  <conditionalFormatting sqref="E2:E66">
    <cfRule type="cellIs" priority="2" operator="lessThan" dxfId="0">
      <formula>0</formula>
    </cfRule>
  </conditionalFormatting>
  <dataValidations count="1">
    <dataValidation sqref="B2:B66" showDropDown="0" showInputMessage="0" showErrorMessage="0" allowBlank="1" type="list">
      <formula1>"Transport,Logement,Nourriture,Activités,Shopping,Divers"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40" customWidth="1" min="5" max="5"/>
  </cols>
  <sheetData>
    <row r="1" ht="32" customHeight="1">
      <c r="A1" s="14" t="inlineStr">
        <is>
          <t>Date</t>
        </is>
      </c>
      <c r="B1" s="14" t="inlineStr">
        <is>
          <t>Lieu</t>
        </is>
      </c>
      <c r="C1" s="14" t="inlineStr">
        <is>
          <t>Activité</t>
        </is>
      </c>
      <c r="D1" s="14" t="inlineStr">
        <is>
          <t>Priorité</t>
        </is>
      </c>
      <c r="E1" s="14" t="inlineStr">
        <is>
          <t>Réalisé</t>
        </is>
      </c>
    </row>
    <row r="2">
      <c r="A2" s="15" t="n">
        <v>46157</v>
      </c>
      <c r="B2" s="16" t="inlineStr">
        <is>
          <t>Cologne</t>
        </is>
      </c>
      <c r="C2" s="16" t="inlineStr">
        <is>
          <t>Visite cathédrale</t>
        </is>
      </c>
      <c r="D2" s="19" t="n">
        <v>1</v>
      </c>
      <c r="E2" s="20">
        <f>IF(TODAY()&gt;A2,"Oui","Non")</f>
        <v/>
      </c>
    </row>
    <row r="3">
      <c r="A3" s="15" t="n">
        <v>46158</v>
      </c>
      <c r="B3" s="16" t="inlineStr">
        <is>
          <t>Cologne</t>
        </is>
      </c>
      <c r="C3" s="16" t="inlineStr">
        <is>
          <t>Musée du chocolat</t>
        </is>
      </c>
      <c r="D3" s="19" t="n">
        <v>2</v>
      </c>
      <c r="E3" s="20">
        <f>IF(TODAY()&gt;A3,"Oui","Non")</f>
        <v/>
      </c>
    </row>
    <row r="4">
      <c r="A4" s="15" t="n">
        <v>46159</v>
      </c>
      <c r="B4" s="16" t="inlineStr">
        <is>
          <t>Düsseldorf</t>
        </is>
      </c>
      <c r="C4" s="16" t="inlineStr">
        <is>
          <t>Promenade Rhénanie</t>
        </is>
      </c>
      <c r="D4" s="19" t="n">
        <v>1</v>
      </c>
      <c r="E4" s="20">
        <f>IF(TODAY()&gt;A4,"Oui","Non")</f>
        <v/>
      </c>
    </row>
    <row r="5">
      <c r="A5" s="15" t="n">
        <v>46160</v>
      </c>
      <c r="B5" s="16" t="inlineStr">
        <is>
          <t>Dortmund</t>
        </is>
      </c>
      <c r="C5" s="16" t="inlineStr">
        <is>
          <t>Stade Signal Iduna</t>
        </is>
      </c>
      <c r="D5" s="19" t="n">
        <v>1</v>
      </c>
      <c r="E5" s="20">
        <f>IF(TODAY()&gt;A5,"Oui","Non")</f>
        <v/>
      </c>
    </row>
    <row r="6">
      <c r="A6" s="15" t="n">
        <v>46161</v>
      </c>
      <c r="B6" s="16" t="inlineStr">
        <is>
          <t>Essen</t>
        </is>
      </c>
      <c r="C6" s="16" t="inlineStr">
        <is>
          <t>Mine Zollverein</t>
        </is>
      </c>
      <c r="D6" s="19" t="n">
        <v>2</v>
      </c>
      <c r="E6" s="20">
        <f>IF(TODAY()&gt;A6,"Oui","Non")</f>
        <v/>
      </c>
    </row>
    <row r="7">
      <c r="A7" s="15" t="n"/>
      <c r="B7" s="16" t="n"/>
      <c r="C7" s="16" t="n"/>
      <c r="D7" s="19" t="n"/>
      <c r="E7" s="20">
        <f>IF(A7="","",IF(TODAY()&gt;A7,"Oui","Non"))</f>
        <v/>
      </c>
    </row>
    <row r="8">
      <c r="A8" s="15" t="n"/>
      <c r="B8" s="16" t="n"/>
      <c r="C8" s="16" t="n"/>
      <c r="D8" s="19" t="n"/>
      <c r="E8" s="20">
        <f>IF(A8="","",IF(TODAY()&gt;A8,"Oui","Non"))</f>
        <v/>
      </c>
    </row>
    <row r="9">
      <c r="A9" s="15" t="n"/>
      <c r="B9" s="16" t="n"/>
      <c r="C9" s="16" t="n"/>
      <c r="D9" s="19" t="n"/>
      <c r="E9" s="20">
        <f>IF(A9="","",IF(TODAY()&gt;A9,"Oui","Non"))</f>
        <v/>
      </c>
    </row>
    <row r="10">
      <c r="A10" s="15" t="n"/>
      <c r="B10" s="16" t="n"/>
      <c r="C10" s="16" t="n"/>
      <c r="D10" s="19" t="n"/>
      <c r="E10" s="20">
        <f>IF(A10="","",IF(TODAY()&gt;A10,"Oui","Non"))</f>
        <v/>
      </c>
    </row>
    <row r="11">
      <c r="A11" s="15" t="n"/>
      <c r="B11" s="16" t="n"/>
      <c r="C11" s="16" t="n"/>
      <c r="D11" s="19" t="n"/>
      <c r="E11" s="20">
        <f>IF(A11="","",IF(TODAY()&gt;A11,"Oui","Non"))</f>
        <v/>
      </c>
    </row>
    <row r="12">
      <c r="A12" s="15" t="n"/>
      <c r="B12" s="16" t="n"/>
      <c r="C12" s="16" t="n"/>
      <c r="D12" s="19" t="n"/>
      <c r="E12" s="20">
        <f>IF(A12="","",IF(TODAY()&gt;A12,"Oui","Non"))</f>
        <v/>
      </c>
    </row>
    <row r="13">
      <c r="A13" s="15" t="n"/>
      <c r="B13" s="16" t="n"/>
      <c r="C13" s="16" t="n"/>
      <c r="D13" s="19" t="n"/>
      <c r="E13" s="20">
        <f>IF(A13="","",IF(TODAY()&gt;A13,"Oui","Non"))</f>
        <v/>
      </c>
    </row>
    <row r="14">
      <c r="A14" s="15" t="n"/>
      <c r="B14" s="16" t="n"/>
      <c r="C14" s="16" t="n"/>
      <c r="D14" s="19" t="n"/>
      <c r="E14" s="20">
        <f>IF(A14="","",IF(TODAY()&gt;A14,"Oui","Non"))</f>
        <v/>
      </c>
    </row>
    <row r="15">
      <c r="A15" s="15" t="n"/>
      <c r="B15" s="16" t="n"/>
      <c r="C15" s="16" t="n"/>
      <c r="D15" s="19" t="n"/>
      <c r="E15" s="20">
        <f>IF(A15="","",IF(TODAY()&gt;A15,"Oui","Non"))</f>
        <v/>
      </c>
    </row>
    <row r="16">
      <c r="A16" s="15" t="n"/>
      <c r="B16" s="16" t="n"/>
      <c r="C16" s="16" t="n"/>
      <c r="D16" s="19" t="n"/>
      <c r="E16" s="20">
        <f>IF(A16="","",IF(TODAY()&gt;A16,"Oui","Non"))</f>
        <v/>
      </c>
    </row>
    <row r="17">
      <c r="A17" s="15" t="n"/>
      <c r="B17" s="16" t="n"/>
      <c r="C17" s="16" t="n"/>
      <c r="D17" s="19" t="n"/>
      <c r="E17" s="20">
        <f>IF(A17="","",IF(TODAY()&gt;A17,"Oui","Non"))</f>
        <v/>
      </c>
    </row>
    <row r="18">
      <c r="A18" s="15" t="n"/>
      <c r="B18" s="16" t="n"/>
      <c r="C18" s="16" t="n"/>
      <c r="D18" s="19" t="n"/>
      <c r="E18" s="20">
        <f>IF(A18="","",IF(TODAY()&gt;A18,"Oui","Non"))</f>
        <v/>
      </c>
    </row>
    <row r="19">
      <c r="A19" s="15" t="n"/>
      <c r="B19" s="16" t="n"/>
      <c r="C19" s="16" t="n"/>
      <c r="D19" s="19" t="n"/>
      <c r="E19" s="20">
        <f>IF(A19="","",IF(TODAY()&gt;A19,"Oui","Non"))</f>
        <v/>
      </c>
    </row>
    <row r="20">
      <c r="A20" s="15" t="n"/>
      <c r="B20" s="16" t="n"/>
      <c r="C20" s="16" t="n"/>
      <c r="D20" s="19" t="n"/>
      <c r="E20" s="20">
        <f>IF(A20="","",IF(TODAY()&gt;A20,"Oui","Non"))</f>
        <v/>
      </c>
    </row>
    <row r="21">
      <c r="A21" s="15" t="n"/>
      <c r="B21" s="16" t="n"/>
      <c r="C21" s="16" t="n"/>
      <c r="D21" s="19" t="n"/>
      <c r="E21" s="20">
        <f>IF(A21="","",IF(TODAY()&gt;A21,"Oui","Non"))</f>
        <v/>
      </c>
    </row>
    <row r="22">
      <c r="A22" s="15" t="n"/>
      <c r="B22" s="16" t="n"/>
      <c r="C22" s="16" t="n"/>
      <c r="D22" s="19" t="n"/>
      <c r="E22" s="20">
        <f>IF(A22="","",IF(TODAY()&gt;A22,"Oui","Non"))</f>
        <v/>
      </c>
    </row>
    <row r="23">
      <c r="A23" s="15" t="n"/>
      <c r="B23" s="16" t="n"/>
      <c r="C23" s="16" t="n"/>
      <c r="D23" s="19" t="n"/>
      <c r="E23" s="20">
        <f>IF(A23="","",IF(TODAY()&gt;A23,"Oui","Non"))</f>
        <v/>
      </c>
    </row>
    <row r="24">
      <c r="A24" s="15" t="n"/>
      <c r="B24" s="16" t="n"/>
      <c r="C24" s="16" t="n"/>
      <c r="D24" s="19" t="n"/>
      <c r="E24" s="20">
        <f>IF(A24="","",IF(TODAY()&gt;A24,"Oui","Non"))</f>
        <v/>
      </c>
    </row>
    <row r="25">
      <c r="A25" s="15" t="n"/>
      <c r="B25" s="16" t="n"/>
      <c r="C25" s="16" t="n"/>
      <c r="D25" s="19" t="n"/>
      <c r="E25" s="20">
        <f>IF(A25="","",IF(TODAY()&gt;A25,"Oui","Non"))</f>
        <v/>
      </c>
    </row>
    <row r="26">
      <c r="A26" s="15" t="n"/>
      <c r="B26" s="16" t="n"/>
      <c r="C26" s="16" t="n"/>
      <c r="D26" s="19" t="n"/>
      <c r="E26" s="20">
        <f>IF(A26="","",IF(TODAY()&gt;A26,"Oui","Non"))</f>
        <v/>
      </c>
    </row>
    <row r="27">
      <c r="A27" s="15" t="n"/>
      <c r="B27" s="16" t="n"/>
      <c r="C27" s="16" t="n"/>
      <c r="D27" s="19" t="n"/>
      <c r="E27" s="20">
        <f>IF(A27="","",IF(TODAY()&gt;A27,"Oui","Non"))</f>
        <v/>
      </c>
    </row>
    <row r="28">
      <c r="A28" s="15" t="n"/>
      <c r="B28" s="16" t="n"/>
      <c r="C28" s="16" t="n"/>
      <c r="D28" s="19" t="n"/>
      <c r="E28" s="20">
        <f>IF(A28="","",IF(TODAY()&gt;A28,"Oui","Non"))</f>
        <v/>
      </c>
    </row>
    <row r="29">
      <c r="A29" s="15" t="n"/>
      <c r="B29" s="16" t="n"/>
      <c r="C29" s="16" t="n"/>
      <c r="D29" s="19" t="n"/>
      <c r="E29" s="20">
        <f>IF(A29="","",IF(TODAY()&gt;A29,"Oui","Non"))</f>
        <v/>
      </c>
    </row>
    <row r="30">
      <c r="A30" s="15" t="n"/>
      <c r="B30" s="16" t="n"/>
      <c r="C30" s="16" t="n"/>
      <c r="D30" s="19" t="n"/>
      <c r="E30" s="20">
        <f>IF(A30="","",IF(TODAY()&gt;A30,"Oui","Non"))</f>
        <v/>
      </c>
    </row>
    <row r="31">
      <c r="A31" s="15" t="n"/>
      <c r="B31" s="16" t="n"/>
      <c r="C31" s="16" t="n"/>
      <c r="D31" s="19" t="n"/>
      <c r="E31" s="20">
        <f>IF(A31="","",IF(TODAY()&gt;A31,"Oui","Non"))</f>
        <v/>
      </c>
    </row>
    <row r="32">
      <c r="A32" s="15" t="n"/>
      <c r="B32" s="16" t="n"/>
      <c r="C32" s="16" t="n"/>
      <c r="D32" s="19" t="n"/>
      <c r="E32" s="20">
        <f>IF(A32="","",IF(TODAY()&gt;A32,"Oui","Non"))</f>
        <v/>
      </c>
    </row>
    <row r="33">
      <c r="A33" s="15" t="n"/>
      <c r="B33" s="16" t="n"/>
      <c r="C33" s="16" t="n"/>
      <c r="D33" s="19" t="n"/>
      <c r="E33" s="20">
        <f>IF(A33="","",IF(TODAY()&gt;A33,"Oui","Non"))</f>
        <v/>
      </c>
    </row>
    <row r="34">
      <c r="A34" s="15" t="n"/>
      <c r="B34" s="16" t="n"/>
      <c r="C34" s="16" t="n"/>
      <c r="D34" s="19" t="n"/>
      <c r="E34" s="20">
        <f>IF(A34="","",IF(TODAY()&gt;A34,"Oui","Non"))</f>
        <v/>
      </c>
    </row>
    <row r="35">
      <c r="A35" s="15" t="n"/>
      <c r="B35" s="16" t="n"/>
      <c r="C35" s="16" t="n"/>
      <c r="D35" s="19" t="n"/>
      <c r="E35" s="20">
        <f>IF(A35="","",IF(TODAY()&gt;A35,"Oui","Non"))</f>
        <v/>
      </c>
    </row>
    <row r="36">
      <c r="A36" s="15" t="n"/>
      <c r="B36" s="16" t="n"/>
      <c r="C36" s="16" t="n"/>
      <c r="D36" s="19" t="n"/>
      <c r="E36" s="20">
        <f>IF(A36="","",IF(TODAY()&gt;A36,"Oui","Non"))</f>
        <v/>
      </c>
    </row>
    <row r="37">
      <c r="A37" s="15" t="n"/>
      <c r="B37" s="16" t="n"/>
      <c r="C37" s="16" t="n"/>
      <c r="D37" s="19" t="n"/>
      <c r="E37" s="20">
        <f>IF(A37="","",IF(TODAY()&gt;A37,"Oui","Non"))</f>
        <v/>
      </c>
    </row>
    <row r="38">
      <c r="A38" s="15" t="n"/>
      <c r="B38" s="16" t="n"/>
      <c r="C38" s="16" t="n"/>
      <c r="D38" s="19" t="n"/>
      <c r="E38" s="20">
        <f>IF(A38="","",IF(TODAY()&gt;A38,"Oui","Non"))</f>
        <v/>
      </c>
    </row>
    <row r="39">
      <c r="A39" s="15" t="n"/>
      <c r="B39" s="16" t="n"/>
      <c r="C39" s="16" t="n"/>
      <c r="D39" s="19" t="n"/>
      <c r="E39" s="20">
        <f>IF(A39="","",IF(TODAY()&gt;A39,"Oui","Non"))</f>
        <v/>
      </c>
    </row>
    <row r="40">
      <c r="A40" s="15" t="n"/>
      <c r="B40" s="16" t="n"/>
      <c r="C40" s="16" t="n"/>
      <c r="D40" s="19" t="n"/>
      <c r="E40" s="20">
        <f>IF(A40="","",IF(TODAY()&gt;A40,"Oui","Non"))</f>
        <v/>
      </c>
    </row>
    <row r="41">
      <c r="A41" s="15" t="n"/>
      <c r="B41" s="16" t="n"/>
      <c r="C41" s="16" t="n"/>
      <c r="D41" s="19" t="n"/>
      <c r="E41" s="20">
        <f>IF(A41="","",IF(TODAY()&gt;A41,"Oui","Non"))</f>
        <v/>
      </c>
    </row>
    <row r="42">
      <c r="A42" s="15" t="n"/>
      <c r="B42" s="16" t="n"/>
      <c r="C42" s="16" t="n"/>
      <c r="D42" s="19" t="n"/>
      <c r="E42" s="20">
        <f>IF(A42="","",IF(TODAY()&gt;A42,"Oui","Non"))</f>
        <v/>
      </c>
    </row>
    <row r="43">
      <c r="A43" s="15" t="n"/>
      <c r="B43" s="16" t="n"/>
      <c r="C43" s="16" t="n"/>
      <c r="D43" s="19" t="n"/>
      <c r="E43" s="20">
        <f>IF(A43="","",IF(TODAY()&gt;A43,"Oui","Non"))</f>
        <v/>
      </c>
    </row>
    <row r="44">
      <c r="A44" s="15" t="n"/>
      <c r="B44" s="16" t="n"/>
      <c r="C44" s="16" t="n"/>
      <c r="D44" s="19" t="n"/>
      <c r="E44" s="20">
        <f>IF(A44="","",IF(TODAY()&gt;A44,"Oui","Non"))</f>
        <v/>
      </c>
    </row>
    <row r="45">
      <c r="A45" s="15" t="n"/>
      <c r="B45" s="16" t="n"/>
      <c r="C45" s="16" t="n"/>
      <c r="D45" s="19" t="n"/>
      <c r="E45" s="20">
        <f>IF(A45="","",IF(TODAY()&gt;A45,"Oui","Non"))</f>
        <v/>
      </c>
    </row>
    <row r="46">
      <c r="A46" s="15" t="n"/>
      <c r="B46" s="16" t="n"/>
      <c r="C46" s="16" t="n"/>
      <c r="D46" s="19" t="n"/>
      <c r="E46" s="20">
        <f>IF(A46="","",IF(TODAY()&gt;A46,"Oui","Non"))</f>
        <v/>
      </c>
    </row>
  </sheetData>
  <dataValidations count="1">
    <dataValidation sqref="D2:D46" showDropDown="0" showInputMessage="0" showErrorMessage="0" allowBlank="1" type="list">
      <formula1>"1,2,3"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en NRW: Budget &amp; Itinéraire pour Explorateurs Urbains</dc:title>
  <dcterms:created xsi:type="dcterms:W3CDTF">2026-10-10T12:41:52Z</dcterms:created>
  <dcterms:modified xsi:type="dcterms:W3CDTF">2026-10-10T12:41:52Z</dcterms:modified>
</cp:coreProperties>
</file>