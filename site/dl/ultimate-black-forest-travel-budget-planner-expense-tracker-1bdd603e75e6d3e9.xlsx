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Expenses" sheetId="3" state="visible" r:id="rId3"/>
    <sheet name="Budget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Expenses_2358" displayName="T_Daily_Expenses_2358" ref="A1:E65" headerRowCount="1">
  <autoFilter ref="A1:E65"/>
  <tableColumns count="5">
    <tableColumn id="1" name="Date"/>
    <tableColumn id="2" name="Category"/>
    <tableColumn id="3" name="Amount"/>
    <tableColumn id="4" name="Price"/>
    <tableColumn id="5" name="Total"/>
  </tableColumns>
  <tableStyleInfo name="TableStyleMedium7" showRowStripes="1"/>
</table>
</file>

<file path=xl/tables/table2.xml><?xml version="1.0" encoding="utf-8"?>
<table xmlns="http://schemas.openxmlformats.org/spreadsheetml/2006/main" id="2" name="T_Budget_3242" displayName="T_Budget_3242" ref="A1:D15" headerRowCount="1">
  <autoFilter ref="A1:D15"/>
  <tableColumns count="4">
    <tableColumn id="1" name="Category"/>
    <tableColumn id="2" name="Budgeted Amount"/>
    <tableColumn id="3" name="Actual Amount"/>
    <tableColumn id="4" name="Difference"/>
  </tableColumns>
  <tableStyleInfo name="TableStyleMedium7" showRowStripes="1"/>
</table>
</file>

<file path=xl/tables/table3.xml><?xml version="1.0" encoding="utf-8"?>
<table xmlns="http://schemas.openxmlformats.org/spreadsheetml/2006/main" id="3" name="T_Charts_4158" displayName="T_Charts_4158" ref="A1:B35" headerRowCount="1">
  <autoFilter ref="A1:B35"/>
  <tableColumns count="2">
    <tableColumn id="1" name="Category"/>
    <tableColumn id="2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Expenses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Char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Budget Planner &amp; Expense Tracker for Female Travelers</t>
        </is>
      </c>
    </row>
    <row r="3" ht="45" customHeight="1">
      <c r="C3" s="2" t="inlineStr">
        <is>
          <t>Plan your Black Forest adventure with ease: Track expenses, manage your budget, and optimize your itinerary with this professional Excel template.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daily expenses in the 'Daily Expenses' sheet.</t>
        </is>
      </c>
    </row>
    <row r="7" ht="18" customHeight="1">
      <c r="B7" s="4" t="inlineStr">
        <is>
          <t>2.</t>
        </is>
      </c>
      <c r="C7" s="5" t="inlineStr">
        <is>
          <t>Update your overall budget in the 'Budget' sheet.</t>
        </is>
      </c>
    </row>
    <row r="8" ht="18" customHeight="1">
      <c r="B8" s="4" t="inlineStr">
        <is>
          <t>3.</t>
        </is>
      </c>
      <c r="C8" s="5" t="inlineStr">
        <is>
          <t>View your spending trends in the 'Charts' sheet.</t>
        </is>
      </c>
    </row>
    <row r="9" ht="18" customHeight="1">
      <c r="B9" s="4" t="inlineStr">
        <is>
          <t>4.</t>
        </is>
      </c>
      <c r="C9" s="5" t="inlineStr">
        <is>
          <t>Adjust your itinerary based on your budget.</t>
        </is>
      </c>
    </row>
    <row r="10" ht="18" customHeight="1">
      <c r="B10" s="4" t="inlineStr">
        <is>
          <t>5.</t>
        </is>
      </c>
      <c r="C10" s="5" t="inlineStr">
        <is>
          <t>Monitor your KPIs to stay on track.</t>
        </is>
      </c>
    </row>
    <row r="11" ht="18" customHeight="1">
      <c r="B11" s="4" t="inlineStr">
        <is>
          <t>6.</t>
        </is>
      </c>
      <c r="C11" s="5" t="inlineStr">
        <is>
          <t>Use dropdowns to categorize expenses easily.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Daily Expenses</t>
        </is>
      </c>
    </row>
    <row r="18">
      <c r="C18" s="7" t="inlineStr">
        <is>
          <t>→ Budget</t>
        </is>
      </c>
    </row>
    <row r="19">
      <c r="C19" s="7" t="inlineStr">
        <is>
          <t>→ Charts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Travel Budget Planner &amp; Expense Tracke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SUM('Daily Expenses'!E2:E300)</f>
        <v/>
      </c>
    </row>
    <row r="6" ht="24" customHeight="1">
      <c r="B6" s="11" t="inlineStr">
        <is>
          <t>Budget Remaining</t>
        </is>
      </c>
      <c r="C6" s="12">
        <f>SUM('Budget'!B2:B10)-SUM('Budget'!C2:C10)</f>
        <v/>
      </c>
    </row>
    <row r="7" ht="24" customHeight="1">
      <c r="B7" s="11" t="inlineStr">
        <is>
          <t>Expense Categories</t>
        </is>
      </c>
      <c r="C7" s="13">
        <f>COUNTA('Daily Expenses'!B2:B300)</f>
        <v/>
      </c>
    </row>
    <row r="8" ht="24" customHeight="1">
      <c r="B8" s="11" t="inlineStr">
        <is>
          <t>Average Daily Expense</t>
        </is>
      </c>
      <c r="C8" s="12">
        <f>AVERAGE('Daily Expenses'!C2:C300)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Amount</t>
        </is>
      </c>
      <c r="D1" s="14" t="inlineStr">
        <is>
          <t>Price</t>
        </is>
      </c>
      <c r="E1" s="14" t="inlineStr">
        <is>
          <t>Total</t>
        </is>
      </c>
    </row>
    <row r="2">
      <c r="A2" s="15" t="n">
        <v>46037</v>
      </c>
      <c r="B2" s="16" t="inlineStr">
        <is>
          <t>Accommodation</t>
        </is>
      </c>
      <c r="C2" s="17" t="n">
        <v>2</v>
      </c>
      <c r="D2" s="18" t="n">
        <v>120</v>
      </c>
      <c r="E2" s="19">
        <f>C2*D2</f>
        <v/>
      </c>
    </row>
    <row r="3">
      <c r="A3" s="15" t="n">
        <v>46038</v>
      </c>
      <c r="B3" s="16" t="inlineStr">
        <is>
          <t>Transport</t>
        </is>
      </c>
      <c r="C3" s="17" t="n">
        <v>4</v>
      </c>
      <c r="D3" s="18" t="n">
        <v>15.5</v>
      </c>
      <c r="E3" s="19">
        <f>C3*D3</f>
        <v/>
      </c>
    </row>
    <row r="4">
      <c r="A4" s="15" t="n">
        <v>46039</v>
      </c>
      <c r="B4" s="16" t="inlineStr">
        <is>
          <t>Food</t>
        </is>
      </c>
      <c r="C4" s="17" t="n">
        <v>3</v>
      </c>
      <c r="D4" s="18" t="n">
        <v>45</v>
      </c>
      <c r="E4" s="19">
        <f>C4*D4</f>
        <v/>
      </c>
    </row>
    <row r="5">
      <c r="A5" s="15" t="n">
        <v>46040</v>
      </c>
      <c r="B5" s="16" t="inlineStr">
        <is>
          <t>Activities</t>
        </is>
      </c>
      <c r="C5" s="17" t="n">
        <v>1</v>
      </c>
      <c r="D5" s="18" t="n">
        <v>30</v>
      </c>
      <c r="E5" s="19">
        <f>C5*D5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conditionalFormatting sqref="E2:E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"Accommodation,Transport,Food,Activities,Souvenirs"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Budgeted Amount</t>
        </is>
      </c>
      <c r="C1" s="14" t="inlineStr">
        <is>
          <t>Actual Amount</t>
        </is>
      </c>
      <c r="D1" s="14" t="inlineStr">
        <is>
          <t>Difference</t>
        </is>
      </c>
    </row>
    <row r="2">
      <c r="A2" s="16" t="inlineStr">
        <is>
          <t>Accommodation</t>
        </is>
      </c>
      <c r="B2" s="18" t="n">
        <v>500</v>
      </c>
      <c r="C2" s="18" t="n">
        <v>480</v>
      </c>
      <c r="D2" s="19">
        <f>C2-B2</f>
        <v/>
      </c>
    </row>
    <row r="3">
      <c r="A3" s="16" t="inlineStr">
        <is>
          <t>Transport</t>
        </is>
      </c>
      <c r="B3" s="18" t="n">
        <v>200</v>
      </c>
      <c r="C3" s="18" t="n">
        <v>170</v>
      </c>
      <c r="D3" s="19">
        <f>C3-B3</f>
        <v/>
      </c>
    </row>
    <row r="4">
      <c r="A4" s="16" t="inlineStr">
        <is>
          <t>Food</t>
        </is>
      </c>
      <c r="B4" s="18" t="n">
        <v>300</v>
      </c>
      <c r="C4" s="18" t="n">
        <v>310</v>
      </c>
      <c r="D4" s="19">
        <f>C4-B4</f>
        <v/>
      </c>
    </row>
    <row r="5">
      <c r="A5" s="16" t="inlineStr">
        <is>
          <t>Activities</t>
        </is>
      </c>
      <c r="B5" s="18" t="n">
        <v>150</v>
      </c>
      <c r="C5" s="18" t="n">
        <v>140</v>
      </c>
      <c r="D5" s="19">
        <f>C5-B5</f>
        <v/>
      </c>
    </row>
    <row r="6">
      <c r="A6" s="16" t="n"/>
      <c r="B6" s="18" t="n"/>
      <c r="C6" s="18" t="n"/>
      <c r="D6" s="19">
        <f>IF(A6="","",C6-B6)</f>
        <v/>
      </c>
    </row>
    <row r="7">
      <c r="A7" s="16" t="n"/>
      <c r="B7" s="18" t="n"/>
      <c r="C7" s="18" t="n"/>
      <c r="D7" s="19">
        <f>IF(A7="","",C7-B7)</f>
        <v/>
      </c>
    </row>
    <row r="8">
      <c r="A8" s="16" t="n"/>
      <c r="B8" s="18" t="n"/>
      <c r="C8" s="18" t="n"/>
      <c r="D8" s="19">
        <f>IF(A8="","",C8-B8)</f>
        <v/>
      </c>
    </row>
    <row r="9">
      <c r="A9" s="16" t="n"/>
      <c r="B9" s="18" t="n"/>
      <c r="C9" s="18" t="n"/>
      <c r="D9" s="19">
        <f>IF(A9="","",C9-B9)</f>
        <v/>
      </c>
    </row>
    <row r="10">
      <c r="A10" s="16" t="n"/>
      <c r="B10" s="18" t="n"/>
      <c r="C10" s="18" t="n"/>
      <c r="D10" s="19">
        <f>IF(A10="","",C10-B10)</f>
        <v/>
      </c>
    </row>
    <row r="11">
      <c r="A11" s="16" t="n"/>
      <c r="B11" s="18" t="n"/>
      <c r="C11" s="18" t="n"/>
      <c r="D11" s="19">
        <f>IF(A11="","",C11-B11)</f>
        <v/>
      </c>
    </row>
    <row r="12">
      <c r="A12" s="16" t="n"/>
      <c r="B12" s="18" t="n"/>
      <c r="C12" s="18" t="n"/>
      <c r="D12" s="19">
        <f>IF(A12="","",C12-B12)</f>
        <v/>
      </c>
    </row>
    <row r="13">
      <c r="A13" s="16" t="n"/>
      <c r="B13" s="18" t="n"/>
      <c r="C13" s="18" t="n"/>
      <c r="D13" s="19">
        <f>IF(A13="","",C13-B13)</f>
        <v/>
      </c>
    </row>
    <row r="14">
      <c r="A14" s="16" t="n"/>
      <c r="B14" s="18" t="n"/>
      <c r="C14" s="18" t="n"/>
      <c r="D14" s="19">
        <f>IF(A14="","",C14-B14)</f>
        <v/>
      </c>
    </row>
    <row r="15">
      <c r="A15" s="16" t="n"/>
      <c r="B15" s="18" t="n"/>
      <c r="C15" s="18" t="n"/>
      <c r="D15" s="19">
        <f>IF(A15="","",C15-B15)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32" customHeight="1">
      <c r="A1" s="14" t="inlineStr">
        <is>
          <t>Category</t>
        </is>
      </c>
      <c r="B1" s="14" t="inlineStr">
        <is>
          <t>Total</t>
        </is>
      </c>
    </row>
    <row r="2">
      <c r="A2" s="16" t="inlineStr">
        <is>
          <t>Accommodation</t>
        </is>
      </c>
      <c r="B2" s="18" t="n">
        <v>480</v>
      </c>
    </row>
    <row r="3">
      <c r="A3" s="16" t="inlineStr">
        <is>
          <t>Transport</t>
        </is>
      </c>
      <c r="B3" s="18" t="n">
        <v>170</v>
      </c>
    </row>
    <row r="4">
      <c r="A4" s="16" t="inlineStr">
        <is>
          <t>Food</t>
        </is>
      </c>
      <c r="B4" s="18" t="n">
        <v>310</v>
      </c>
    </row>
    <row r="5">
      <c r="A5" s="16" t="inlineStr">
        <is>
          <t>Activities</t>
        </is>
      </c>
      <c r="B5" s="18" t="n">
        <v>140</v>
      </c>
    </row>
    <row r="6">
      <c r="A6" s="16" t="n"/>
      <c r="B6" s="18" t="n"/>
    </row>
    <row r="7">
      <c r="A7" s="16" t="n"/>
      <c r="B7" s="18" t="n"/>
    </row>
    <row r="8">
      <c r="A8" s="16" t="n"/>
      <c r="B8" s="18" t="n"/>
    </row>
    <row r="9">
      <c r="A9" s="16" t="n"/>
      <c r="B9" s="18" t="n"/>
    </row>
    <row r="10">
      <c r="A10" s="16" t="n"/>
      <c r="B10" s="18" t="n"/>
    </row>
    <row r="11">
      <c r="A11" s="16" t="n"/>
      <c r="B11" s="18" t="n"/>
    </row>
    <row r="12">
      <c r="A12" s="16" t="n"/>
      <c r="B12" s="18" t="n"/>
    </row>
    <row r="13">
      <c r="A13" s="16" t="n"/>
      <c r="B13" s="18" t="n"/>
    </row>
    <row r="14">
      <c r="A14" s="16" t="n"/>
      <c r="B14" s="18" t="n"/>
    </row>
    <row r="15">
      <c r="A15" s="16" t="n"/>
      <c r="B15" s="18" t="n"/>
    </row>
    <row r="16">
      <c r="A16" s="16" t="n"/>
      <c r="B16" s="18" t="n"/>
    </row>
    <row r="17">
      <c r="A17" s="16" t="n"/>
      <c r="B17" s="18" t="n"/>
    </row>
    <row r="18">
      <c r="A18" s="16" t="n"/>
      <c r="B18" s="18" t="n"/>
    </row>
    <row r="19">
      <c r="A19" s="16" t="n"/>
      <c r="B19" s="18" t="n"/>
    </row>
    <row r="20">
      <c r="A20" s="16" t="n"/>
      <c r="B20" s="18" t="n"/>
    </row>
    <row r="21">
      <c r="A21" s="16" t="n"/>
      <c r="B21" s="18" t="n"/>
    </row>
    <row r="22">
      <c r="A22" s="16" t="n"/>
      <c r="B22" s="18" t="n"/>
    </row>
    <row r="23">
      <c r="A23" s="16" t="n"/>
      <c r="B23" s="18" t="n"/>
    </row>
    <row r="24">
      <c r="A24" s="16" t="n"/>
      <c r="B24" s="18" t="n"/>
    </row>
    <row r="25">
      <c r="A25" s="16" t="n"/>
      <c r="B25" s="18" t="n"/>
    </row>
    <row r="26">
      <c r="A26" s="16" t="n"/>
      <c r="B26" s="18" t="n"/>
    </row>
    <row r="27">
      <c r="A27" s="16" t="n"/>
      <c r="B27" s="18" t="n"/>
    </row>
    <row r="28">
      <c r="A28" s="16" t="n"/>
      <c r="B28" s="18" t="n"/>
    </row>
    <row r="29">
      <c r="A29" s="16" t="n"/>
      <c r="B29" s="18" t="n"/>
    </row>
    <row r="30">
      <c r="A30" s="16" t="n"/>
      <c r="B30" s="18" t="n"/>
    </row>
    <row r="31">
      <c r="A31" s="16" t="n"/>
      <c r="B31" s="18" t="n"/>
    </row>
    <row r="32">
      <c r="A32" s="16" t="n"/>
      <c r="B32" s="18" t="n"/>
    </row>
    <row r="33">
      <c r="A33" s="16" t="n"/>
      <c r="B33" s="18" t="n"/>
    </row>
    <row r="34">
      <c r="A34" s="16" t="n"/>
      <c r="B34" s="18" t="n"/>
    </row>
    <row r="35">
      <c r="A35" s="16" t="n"/>
      <c r="B35" s="18" t="n"/>
    </row>
  </sheetData>
  <conditionalFormatting sqref="B2:B35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Budget Planner &amp; Expense Tracker for Female Travelers</dc:title>
  <dcterms:created xsi:type="dcterms:W3CDTF">2026-10-04T08:31:44Z</dcterms:created>
  <dcterms:modified xsi:type="dcterms:W3CDTF">2026-10-04T08:31:44Z</dcterms:modified>
</cp:coreProperties>
</file>