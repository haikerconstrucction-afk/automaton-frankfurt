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Vendors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5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5" fontId="7" fillId="3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Wedding Budget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'Budget'!$A$2:$A$4</f>
            </numRef>
          </cat>
          <val>
            <numRef>
              <f>'Budget'!$D$2:$D$4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endors_2212" displayName="T_Vendors_2212" ref="A1:G54" headerRowCount="1">
  <autoFilter ref="A1:G54"/>
  <tableColumns count="7">
    <tableColumn id="1" name="Vendor Name"/>
    <tableColumn id="2" name="Type"/>
    <tableColumn id="3" name="Contact"/>
    <tableColumn id="4" name="Contract Amount"/>
    <tableColumn id="5" name="Deposit Paid"/>
    <tableColumn id="6" name="Balance Due"/>
    <tableColumn id="7" name="Due Date"/>
  </tableColumns>
  <tableStyleInfo name="TableStyleMedium7" showRowStripes="1"/>
</table>
</file>

<file path=xl/tables/table2.xml><?xml version="1.0" encoding="utf-8"?>
<table xmlns="http://schemas.openxmlformats.org/spreadsheetml/2006/main" id="2" name="T_Budget_3502" displayName="T_Budget_3502" ref="A1:F64" headerRowCount="1">
  <autoFilter ref="A1:F64"/>
  <tableColumns count="6">
    <tableColumn id="1" name="Category"/>
    <tableColumn id="2" name="Item"/>
    <tableColumn id="3" name="Estimated"/>
    <tableColumn id="4" name="Actual"/>
    <tableColumn id="5" name="Difference"/>
    <tableColumn id="6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Vendors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Wedding Budget Planner &amp; Vendor Tracker</t>
        </is>
      </c>
    </row>
    <row r="3" ht="45" customHeight="1">
      <c r="C3" s="2" t="inlineStr">
        <is>
          <t>Track all wedding expenses and vendor details in one place. Stay organized and avoid last-minute surprises with this all-in-one wedding planning tool.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vendor details and contracts</t>
        </is>
      </c>
    </row>
    <row r="7" ht="18" customHeight="1">
      <c r="B7" s="4" t="inlineStr">
        <is>
          <t>2.</t>
        </is>
      </c>
      <c r="C7" s="5" t="inlineStr">
        <is>
          <t>Input all estimated and actual expenses</t>
        </is>
      </c>
    </row>
    <row r="8" ht="18" customHeight="1">
      <c r="B8" s="4" t="inlineStr">
        <is>
          <t>3.</t>
        </is>
      </c>
      <c r="C8" s="5" t="inlineStr">
        <is>
          <t>Track payments and deposits</t>
        </is>
      </c>
    </row>
    <row r="9" ht="18" customHeight="1">
      <c r="B9" s="4" t="inlineStr">
        <is>
          <t>4.</t>
        </is>
      </c>
      <c r="C9" s="5" t="inlineStr">
        <is>
          <t>Monitor remaining budget by category</t>
        </is>
      </c>
    </row>
    <row r="10" ht="18" customHeight="1">
      <c r="B10" s="4" t="inlineStr">
        <is>
          <t>5.</t>
        </is>
      </c>
      <c r="C10" s="5" t="inlineStr">
        <is>
          <t>Use the checklist to stay organized</t>
        </is>
      </c>
    </row>
    <row r="11" ht="18" customHeight="1">
      <c r="B11" s="4" t="inlineStr">
        <is>
          <t>6.</t>
        </is>
      </c>
      <c r="C11" s="5" t="inlineStr">
        <is>
          <t>Review vendor contacts and notes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Vendors</t>
        </is>
      </c>
    </row>
    <row r="18">
      <c r="C18" s="7" t="inlineStr">
        <is>
          <t>→ Budget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Wedding Budget Planner &amp; Vendor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Estimated Budget</t>
        </is>
      </c>
      <c r="C5" s="12">
        <f>SUM('Budget'!C2:C300)</f>
        <v/>
      </c>
    </row>
    <row r="6" ht="24" customHeight="1">
      <c r="B6" s="11" t="inlineStr">
        <is>
          <t>Total Actual Expenses</t>
        </is>
      </c>
      <c r="C6" s="12">
        <f>SUM('Budget'!D2:D300)</f>
        <v/>
      </c>
    </row>
    <row r="7" ht="24" customHeight="1">
      <c r="B7" s="11" t="inlineStr">
        <is>
          <t>Remaining Vendor Payments</t>
        </is>
      </c>
      <c r="C7" s="12">
        <f>SUM('Vendors'!F2:F300)</f>
        <v/>
      </c>
    </row>
    <row r="8" ht="24" customHeight="1">
      <c r="B8" s="11" t="inlineStr">
        <is>
          <t>Number of Outstanding Tasks</t>
        </is>
      </c>
      <c r="C8" s="13">
        <f>COUNTIF('Budget'!F2:F300,"Pending")+COUNTIF('Budget'!F2:F300,"Deposit Paid")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18" customWidth="1" min="4" max="4"/>
    <col width="15" customWidth="1" min="5" max="5"/>
    <col width="25" customWidth="1" min="6" max="6"/>
    <col width="13" customWidth="1" min="7" max="7"/>
  </cols>
  <sheetData>
    <row r="1" ht="32" customHeight="1">
      <c r="A1" s="14" t="inlineStr">
        <is>
          <t>Vendor Name</t>
        </is>
      </c>
      <c r="B1" s="14" t="inlineStr">
        <is>
          <t>Type</t>
        </is>
      </c>
      <c r="C1" s="14" t="inlineStr">
        <is>
          <t>Contact</t>
        </is>
      </c>
      <c r="D1" s="14" t="inlineStr">
        <is>
          <t>Contract Amount</t>
        </is>
      </c>
      <c r="E1" s="14" t="inlineStr">
        <is>
          <t>Deposit Paid</t>
        </is>
      </c>
      <c r="F1" s="14" t="inlineStr">
        <is>
          <t>Balance Due</t>
        </is>
      </c>
      <c r="G1" s="14" t="inlineStr">
        <is>
          <t>Due Date</t>
        </is>
      </c>
    </row>
    <row r="2">
      <c r="A2" s="15" t="inlineStr">
        <is>
          <t>The Grand Venue</t>
        </is>
      </c>
      <c r="B2" s="15" t="inlineStr">
        <is>
          <t>Venue</t>
        </is>
      </c>
      <c r="C2" s="15" t="inlineStr">
        <is>
          <t>John Smith 555-1234</t>
        </is>
      </c>
      <c r="D2" s="16" t="n">
        <v>5000</v>
      </c>
      <c r="E2" s="16" t="n">
        <v>2500</v>
      </c>
      <c r="F2" s="17">
        <f>D2-E2</f>
        <v/>
      </c>
      <c r="G2" s="18" t="n">
        <v>46143</v>
      </c>
    </row>
    <row r="3">
      <c r="A3" s="15" t="inlineStr">
        <is>
          <t>Elegant Flowers</t>
        </is>
      </c>
      <c r="B3" s="15" t="inlineStr">
        <is>
          <t>Florist</t>
        </is>
      </c>
      <c r="C3" s="15" t="inlineStr">
        <is>
          <t>Lisa Johnson 555-5678</t>
        </is>
      </c>
      <c r="D3" s="16" t="n">
        <v>1200</v>
      </c>
      <c r="E3" s="16" t="n">
        <v>600</v>
      </c>
      <c r="F3" s="17">
        <f>D3-E3</f>
        <v/>
      </c>
      <c r="G3" s="18" t="n">
        <v>46127</v>
      </c>
    </row>
    <row r="4">
      <c r="A4" s="15" t="inlineStr">
        <is>
          <t>Delicious Cakes</t>
        </is>
      </c>
      <c r="B4" s="15" t="inlineStr">
        <is>
          <t>Catering</t>
        </is>
      </c>
      <c r="C4" s="15" t="inlineStr">
        <is>
          <t>Maria Garcia 555-9876</t>
        </is>
      </c>
      <c r="D4" s="16" t="n">
        <v>800</v>
      </c>
      <c r="E4" s="16" t="n">
        <v>400</v>
      </c>
      <c r="F4" s="17">
        <f>D4-E4</f>
        <v/>
      </c>
      <c r="G4" s="18" t="n">
        <v>46141</v>
      </c>
    </row>
    <row r="5">
      <c r="A5" s="15" t="n"/>
      <c r="B5" s="15" t="n"/>
      <c r="C5" s="15" t="n"/>
      <c r="D5" s="16" t="n"/>
      <c r="E5" s="16" t="n"/>
      <c r="F5" s="17">
        <f>IF(A5="","",D5-E5)</f>
        <v/>
      </c>
      <c r="G5" s="18" t="n"/>
    </row>
    <row r="6">
      <c r="A6" s="15" t="n"/>
      <c r="B6" s="15" t="n"/>
      <c r="C6" s="15" t="n"/>
      <c r="D6" s="16" t="n"/>
      <c r="E6" s="16" t="n"/>
      <c r="F6" s="17">
        <f>IF(A6="","",D6-E6)</f>
        <v/>
      </c>
      <c r="G6" s="18" t="n"/>
    </row>
    <row r="7">
      <c r="A7" s="15" t="n"/>
      <c r="B7" s="15" t="n"/>
      <c r="C7" s="15" t="n"/>
      <c r="D7" s="16" t="n"/>
      <c r="E7" s="16" t="n"/>
      <c r="F7" s="17">
        <f>IF(A7="","",D7-E7)</f>
        <v/>
      </c>
      <c r="G7" s="18" t="n"/>
    </row>
    <row r="8">
      <c r="A8" s="15" t="n"/>
      <c r="B8" s="15" t="n"/>
      <c r="C8" s="15" t="n"/>
      <c r="D8" s="16" t="n"/>
      <c r="E8" s="16" t="n"/>
      <c r="F8" s="17">
        <f>IF(A8="","",D8-E8)</f>
        <v/>
      </c>
      <c r="G8" s="18" t="n"/>
    </row>
    <row r="9">
      <c r="A9" s="15" t="n"/>
      <c r="B9" s="15" t="n"/>
      <c r="C9" s="15" t="n"/>
      <c r="D9" s="16" t="n"/>
      <c r="E9" s="16" t="n"/>
      <c r="F9" s="17">
        <f>IF(A9="","",D9-E9)</f>
        <v/>
      </c>
      <c r="G9" s="18" t="n"/>
    </row>
    <row r="10">
      <c r="A10" s="15" t="n"/>
      <c r="B10" s="15" t="n"/>
      <c r="C10" s="15" t="n"/>
      <c r="D10" s="16" t="n"/>
      <c r="E10" s="16" t="n"/>
      <c r="F10" s="17">
        <f>IF(A10="","",D10-E10)</f>
        <v/>
      </c>
      <c r="G10" s="18" t="n"/>
    </row>
    <row r="11">
      <c r="A11" s="15" t="n"/>
      <c r="B11" s="15" t="n"/>
      <c r="C11" s="15" t="n"/>
      <c r="D11" s="16" t="n"/>
      <c r="E11" s="16" t="n"/>
      <c r="F11" s="17">
        <f>IF(A11="","",D11-E11)</f>
        <v/>
      </c>
      <c r="G11" s="18" t="n"/>
    </row>
    <row r="12">
      <c r="A12" s="15" t="n"/>
      <c r="B12" s="15" t="n"/>
      <c r="C12" s="15" t="n"/>
      <c r="D12" s="16" t="n"/>
      <c r="E12" s="16" t="n"/>
      <c r="F12" s="17">
        <f>IF(A12="","",D12-E12)</f>
        <v/>
      </c>
      <c r="G12" s="18" t="n"/>
    </row>
    <row r="13">
      <c r="A13" s="15" t="n"/>
      <c r="B13" s="15" t="n"/>
      <c r="C13" s="15" t="n"/>
      <c r="D13" s="16" t="n"/>
      <c r="E13" s="16" t="n"/>
      <c r="F13" s="17">
        <f>IF(A13="","",D13-E13)</f>
        <v/>
      </c>
      <c r="G13" s="18" t="n"/>
    </row>
    <row r="14">
      <c r="A14" s="15" t="n"/>
      <c r="B14" s="15" t="n"/>
      <c r="C14" s="15" t="n"/>
      <c r="D14" s="16" t="n"/>
      <c r="E14" s="16" t="n"/>
      <c r="F14" s="17">
        <f>IF(A14="","",D14-E14)</f>
        <v/>
      </c>
      <c r="G14" s="18" t="n"/>
    </row>
    <row r="15">
      <c r="A15" s="15" t="n"/>
      <c r="B15" s="15" t="n"/>
      <c r="C15" s="15" t="n"/>
      <c r="D15" s="16" t="n"/>
      <c r="E15" s="16" t="n"/>
      <c r="F15" s="17">
        <f>IF(A15="","",D15-E15)</f>
        <v/>
      </c>
      <c r="G15" s="18" t="n"/>
    </row>
    <row r="16">
      <c r="A16" s="15" t="n"/>
      <c r="B16" s="15" t="n"/>
      <c r="C16" s="15" t="n"/>
      <c r="D16" s="16" t="n"/>
      <c r="E16" s="16" t="n"/>
      <c r="F16" s="17">
        <f>IF(A16="","",D16-E16)</f>
        <v/>
      </c>
      <c r="G16" s="18" t="n"/>
    </row>
    <row r="17">
      <c r="A17" s="15" t="n"/>
      <c r="B17" s="15" t="n"/>
      <c r="C17" s="15" t="n"/>
      <c r="D17" s="16" t="n"/>
      <c r="E17" s="16" t="n"/>
      <c r="F17" s="17">
        <f>IF(A17="","",D17-E17)</f>
        <v/>
      </c>
      <c r="G17" s="18" t="n"/>
    </row>
    <row r="18">
      <c r="A18" s="15" t="n"/>
      <c r="B18" s="15" t="n"/>
      <c r="C18" s="15" t="n"/>
      <c r="D18" s="16" t="n"/>
      <c r="E18" s="16" t="n"/>
      <c r="F18" s="17">
        <f>IF(A18="","",D18-E18)</f>
        <v/>
      </c>
      <c r="G18" s="18" t="n"/>
    </row>
    <row r="19">
      <c r="A19" s="15" t="n"/>
      <c r="B19" s="15" t="n"/>
      <c r="C19" s="15" t="n"/>
      <c r="D19" s="16" t="n"/>
      <c r="E19" s="16" t="n"/>
      <c r="F19" s="17">
        <f>IF(A19="","",D19-E19)</f>
        <v/>
      </c>
      <c r="G19" s="18" t="n"/>
    </row>
    <row r="20">
      <c r="A20" s="15" t="n"/>
      <c r="B20" s="15" t="n"/>
      <c r="C20" s="15" t="n"/>
      <c r="D20" s="16" t="n"/>
      <c r="E20" s="16" t="n"/>
      <c r="F20" s="17">
        <f>IF(A20="","",D20-E20)</f>
        <v/>
      </c>
      <c r="G20" s="18" t="n"/>
    </row>
    <row r="21">
      <c r="A21" s="15" t="n"/>
      <c r="B21" s="15" t="n"/>
      <c r="C21" s="15" t="n"/>
      <c r="D21" s="16" t="n"/>
      <c r="E21" s="16" t="n"/>
      <c r="F21" s="17">
        <f>IF(A21="","",D21-E21)</f>
        <v/>
      </c>
      <c r="G21" s="18" t="n"/>
    </row>
    <row r="22">
      <c r="A22" s="15" t="n"/>
      <c r="B22" s="15" t="n"/>
      <c r="C22" s="15" t="n"/>
      <c r="D22" s="16" t="n"/>
      <c r="E22" s="16" t="n"/>
      <c r="F22" s="17">
        <f>IF(A22="","",D22-E22)</f>
        <v/>
      </c>
      <c r="G22" s="18" t="n"/>
    </row>
    <row r="23">
      <c r="A23" s="15" t="n"/>
      <c r="B23" s="15" t="n"/>
      <c r="C23" s="15" t="n"/>
      <c r="D23" s="16" t="n"/>
      <c r="E23" s="16" t="n"/>
      <c r="F23" s="17">
        <f>IF(A23="","",D23-E23)</f>
        <v/>
      </c>
      <c r="G23" s="18" t="n"/>
    </row>
    <row r="24">
      <c r="A24" s="15" t="n"/>
      <c r="B24" s="15" t="n"/>
      <c r="C24" s="15" t="n"/>
      <c r="D24" s="16" t="n"/>
      <c r="E24" s="16" t="n"/>
      <c r="F24" s="17">
        <f>IF(A24="","",D24-E24)</f>
        <v/>
      </c>
      <c r="G24" s="18" t="n"/>
    </row>
    <row r="25">
      <c r="A25" s="15" t="n"/>
      <c r="B25" s="15" t="n"/>
      <c r="C25" s="15" t="n"/>
      <c r="D25" s="16" t="n"/>
      <c r="E25" s="16" t="n"/>
      <c r="F25" s="17">
        <f>IF(A25="","",D25-E25)</f>
        <v/>
      </c>
      <c r="G25" s="18" t="n"/>
    </row>
    <row r="26">
      <c r="A26" s="15" t="n"/>
      <c r="B26" s="15" t="n"/>
      <c r="C26" s="15" t="n"/>
      <c r="D26" s="16" t="n"/>
      <c r="E26" s="16" t="n"/>
      <c r="F26" s="17">
        <f>IF(A26="","",D26-E26)</f>
        <v/>
      </c>
      <c r="G26" s="18" t="n"/>
    </row>
    <row r="27">
      <c r="A27" s="15" t="n"/>
      <c r="B27" s="15" t="n"/>
      <c r="C27" s="15" t="n"/>
      <c r="D27" s="16" t="n"/>
      <c r="E27" s="16" t="n"/>
      <c r="F27" s="17">
        <f>IF(A27="","",D27-E27)</f>
        <v/>
      </c>
      <c r="G27" s="18" t="n"/>
    </row>
    <row r="28">
      <c r="A28" s="15" t="n"/>
      <c r="B28" s="15" t="n"/>
      <c r="C28" s="15" t="n"/>
      <c r="D28" s="16" t="n"/>
      <c r="E28" s="16" t="n"/>
      <c r="F28" s="17">
        <f>IF(A28="","",D28-E28)</f>
        <v/>
      </c>
      <c r="G28" s="18" t="n"/>
    </row>
    <row r="29">
      <c r="A29" s="15" t="n"/>
      <c r="B29" s="15" t="n"/>
      <c r="C29" s="15" t="n"/>
      <c r="D29" s="16" t="n"/>
      <c r="E29" s="16" t="n"/>
      <c r="F29" s="17">
        <f>IF(A29="","",D29-E29)</f>
        <v/>
      </c>
      <c r="G29" s="18" t="n"/>
    </row>
    <row r="30">
      <c r="A30" s="15" t="n"/>
      <c r="B30" s="15" t="n"/>
      <c r="C30" s="15" t="n"/>
      <c r="D30" s="16" t="n"/>
      <c r="E30" s="16" t="n"/>
      <c r="F30" s="17">
        <f>IF(A30="","",D30-E30)</f>
        <v/>
      </c>
      <c r="G30" s="18" t="n"/>
    </row>
    <row r="31">
      <c r="A31" s="15" t="n"/>
      <c r="B31" s="15" t="n"/>
      <c r="C31" s="15" t="n"/>
      <c r="D31" s="16" t="n"/>
      <c r="E31" s="16" t="n"/>
      <c r="F31" s="17">
        <f>IF(A31="","",D31-E31)</f>
        <v/>
      </c>
      <c r="G31" s="18" t="n"/>
    </row>
    <row r="32">
      <c r="A32" s="15" t="n"/>
      <c r="B32" s="15" t="n"/>
      <c r="C32" s="15" t="n"/>
      <c r="D32" s="16" t="n"/>
      <c r="E32" s="16" t="n"/>
      <c r="F32" s="17">
        <f>IF(A32="","",D32-E32)</f>
        <v/>
      </c>
      <c r="G32" s="18" t="n"/>
    </row>
    <row r="33">
      <c r="A33" s="15" t="n"/>
      <c r="B33" s="15" t="n"/>
      <c r="C33" s="15" t="n"/>
      <c r="D33" s="16" t="n"/>
      <c r="E33" s="16" t="n"/>
      <c r="F33" s="17">
        <f>IF(A33="","",D33-E33)</f>
        <v/>
      </c>
      <c r="G33" s="18" t="n"/>
    </row>
    <row r="34">
      <c r="A34" s="15" t="n"/>
      <c r="B34" s="15" t="n"/>
      <c r="C34" s="15" t="n"/>
      <c r="D34" s="16" t="n"/>
      <c r="E34" s="16" t="n"/>
      <c r="F34" s="17">
        <f>IF(A34="","",D34-E34)</f>
        <v/>
      </c>
      <c r="G34" s="18" t="n"/>
    </row>
    <row r="35">
      <c r="A35" s="15" t="n"/>
      <c r="B35" s="15" t="n"/>
      <c r="C35" s="15" t="n"/>
      <c r="D35" s="16" t="n"/>
      <c r="E35" s="16" t="n"/>
      <c r="F35" s="17">
        <f>IF(A35="","",D35-E35)</f>
        <v/>
      </c>
      <c r="G35" s="18" t="n"/>
    </row>
    <row r="36">
      <c r="A36" s="15" t="n"/>
      <c r="B36" s="15" t="n"/>
      <c r="C36" s="15" t="n"/>
      <c r="D36" s="16" t="n"/>
      <c r="E36" s="16" t="n"/>
      <c r="F36" s="17">
        <f>IF(A36="","",D36-E36)</f>
        <v/>
      </c>
      <c r="G36" s="18" t="n"/>
    </row>
    <row r="37">
      <c r="A37" s="15" t="n"/>
      <c r="B37" s="15" t="n"/>
      <c r="C37" s="15" t="n"/>
      <c r="D37" s="16" t="n"/>
      <c r="E37" s="16" t="n"/>
      <c r="F37" s="17">
        <f>IF(A37="","",D37-E37)</f>
        <v/>
      </c>
      <c r="G37" s="18" t="n"/>
    </row>
    <row r="38">
      <c r="A38" s="15" t="n"/>
      <c r="B38" s="15" t="n"/>
      <c r="C38" s="15" t="n"/>
      <c r="D38" s="16" t="n"/>
      <c r="E38" s="16" t="n"/>
      <c r="F38" s="17">
        <f>IF(A38="","",D38-E38)</f>
        <v/>
      </c>
      <c r="G38" s="18" t="n"/>
    </row>
    <row r="39">
      <c r="A39" s="15" t="n"/>
      <c r="B39" s="15" t="n"/>
      <c r="C39" s="15" t="n"/>
      <c r="D39" s="16" t="n"/>
      <c r="E39" s="16" t="n"/>
      <c r="F39" s="17">
        <f>IF(A39="","",D39-E39)</f>
        <v/>
      </c>
      <c r="G39" s="18" t="n"/>
    </row>
    <row r="40">
      <c r="A40" s="15" t="n"/>
      <c r="B40" s="15" t="n"/>
      <c r="C40" s="15" t="n"/>
      <c r="D40" s="16" t="n"/>
      <c r="E40" s="16" t="n"/>
      <c r="F40" s="17">
        <f>IF(A40="","",D40-E40)</f>
        <v/>
      </c>
      <c r="G40" s="18" t="n"/>
    </row>
    <row r="41">
      <c r="A41" s="15" t="n"/>
      <c r="B41" s="15" t="n"/>
      <c r="C41" s="15" t="n"/>
      <c r="D41" s="16" t="n"/>
      <c r="E41" s="16" t="n"/>
      <c r="F41" s="17">
        <f>IF(A41="","",D41-E41)</f>
        <v/>
      </c>
      <c r="G41" s="18" t="n"/>
    </row>
    <row r="42">
      <c r="A42" s="15" t="n"/>
      <c r="B42" s="15" t="n"/>
      <c r="C42" s="15" t="n"/>
      <c r="D42" s="16" t="n"/>
      <c r="E42" s="16" t="n"/>
      <c r="F42" s="17">
        <f>IF(A42="","",D42-E42)</f>
        <v/>
      </c>
      <c r="G42" s="18" t="n"/>
    </row>
    <row r="43">
      <c r="A43" s="15" t="n"/>
      <c r="B43" s="15" t="n"/>
      <c r="C43" s="15" t="n"/>
      <c r="D43" s="16" t="n"/>
      <c r="E43" s="16" t="n"/>
      <c r="F43" s="17">
        <f>IF(A43="","",D43-E43)</f>
        <v/>
      </c>
      <c r="G43" s="18" t="n"/>
    </row>
    <row r="44">
      <c r="A44" s="15" t="n"/>
      <c r="B44" s="15" t="n"/>
      <c r="C44" s="15" t="n"/>
      <c r="D44" s="16" t="n"/>
      <c r="E44" s="16" t="n"/>
      <c r="F44" s="17">
        <f>IF(A44="","",D44-E44)</f>
        <v/>
      </c>
      <c r="G44" s="18" t="n"/>
    </row>
    <row r="45">
      <c r="A45" s="15" t="n"/>
      <c r="B45" s="15" t="n"/>
      <c r="C45" s="15" t="n"/>
      <c r="D45" s="16" t="n"/>
      <c r="E45" s="16" t="n"/>
      <c r="F45" s="17">
        <f>IF(A45="","",D45-E45)</f>
        <v/>
      </c>
      <c r="G45" s="18" t="n"/>
    </row>
    <row r="46">
      <c r="A46" s="15" t="n"/>
      <c r="B46" s="15" t="n"/>
      <c r="C46" s="15" t="n"/>
      <c r="D46" s="16" t="n"/>
      <c r="E46" s="16" t="n"/>
      <c r="F46" s="17">
        <f>IF(A46="","",D46-E46)</f>
        <v/>
      </c>
      <c r="G46" s="18" t="n"/>
    </row>
    <row r="47">
      <c r="A47" s="15" t="n"/>
      <c r="B47" s="15" t="n"/>
      <c r="C47" s="15" t="n"/>
      <c r="D47" s="16" t="n"/>
      <c r="E47" s="16" t="n"/>
      <c r="F47" s="17">
        <f>IF(A47="","",D47-E47)</f>
        <v/>
      </c>
      <c r="G47" s="18" t="n"/>
    </row>
    <row r="48">
      <c r="A48" s="15" t="n"/>
      <c r="B48" s="15" t="n"/>
      <c r="C48" s="15" t="n"/>
      <c r="D48" s="16" t="n"/>
      <c r="E48" s="16" t="n"/>
      <c r="F48" s="17">
        <f>IF(A48="","",D48-E48)</f>
        <v/>
      </c>
      <c r="G48" s="18" t="n"/>
    </row>
    <row r="49">
      <c r="A49" s="15" t="n"/>
      <c r="B49" s="15" t="n"/>
      <c r="C49" s="15" t="n"/>
      <c r="D49" s="16" t="n"/>
      <c r="E49" s="16" t="n"/>
      <c r="F49" s="17">
        <f>IF(A49="","",D49-E49)</f>
        <v/>
      </c>
      <c r="G49" s="18" t="n"/>
    </row>
    <row r="50">
      <c r="A50" s="15" t="n"/>
      <c r="B50" s="15" t="n"/>
      <c r="C50" s="15" t="n"/>
      <c r="D50" s="16" t="n"/>
      <c r="E50" s="16" t="n"/>
      <c r="F50" s="17">
        <f>IF(A50="","",D50-E50)</f>
        <v/>
      </c>
      <c r="G50" s="18" t="n"/>
    </row>
    <row r="51">
      <c r="A51" s="15" t="n"/>
      <c r="B51" s="15" t="n"/>
      <c r="C51" s="15" t="n"/>
      <c r="D51" s="16" t="n"/>
      <c r="E51" s="16" t="n"/>
      <c r="F51" s="17">
        <f>IF(A51="","",D51-E51)</f>
        <v/>
      </c>
      <c r="G51" s="18" t="n"/>
    </row>
    <row r="52">
      <c r="A52" s="15" t="n"/>
      <c r="B52" s="15" t="n"/>
      <c r="C52" s="15" t="n"/>
      <c r="D52" s="16" t="n"/>
      <c r="E52" s="16" t="n"/>
      <c r="F52" s="17">
        <f>IF(A52="","",D52-E52)</f>
        <v/>
      </c>
      <c r="G52" s="18" t="n"/>
    </row>
    <row r="53">
      <c r="A53" s="15" t="n"/>
      <c r="B53" s="15" t="n"/>
      <c r="C53" s="15" t="n"/>
      <c r="D53" s="16" t="n"/>
      <c r="E53" s="16" t="n"/>
      <c r="F53" s="17">
        <f>IF(A53="","",D53-E53)</f>
        <v/>
      </c>
      <c r="G53" s="18" t="n"/>
    </row>
    <row r="54">
      <c r="A54" s="15" t="n"/>
      <c r="B54" s="15" t="n"/>
      <c r="C54" s="15" t="n"/>
      <c r="D54" s="16" t="n"/>
      <c r="E54" s="16" t="n"/>
      <c r="F54" s="17">
        <f>IF(A54="","",D54-E54)</f>
        <v/>
      </c>
      <c r="G54" s="18" t="n"/>
    </row>
  </sheetData>
  <conditionalFormatting sqref="D2:D54">
    <cfRule type="cellIs" priority="1" operator="lessThan" dxfId="0">
      <formula>0</formula>
    </cfRule>
  </conditionalFormatting>
  <conditionalFormatting sqref="E2:E54">
    <cfRule type="cellIs" priority="2" operator="lessThan" dxfId="0">
      <formula>0</formula>
    </cfRule>
  </conditionalFormatting>
  <conditionalFormatting sqref="F2:F54">
    <cfRule type="cellIs" priority="3" operator="lessThan" dxfId="0">
      <formula>0</formula>
    </cfRule>
  </conditionalFormatting>
  <dataValidations count="1">
    <dataValidation sqref="B2:B54" showDropDown="0" showInputMessage="0" showErrorMessage="0" allowBlank="1" type="list">
      <formula1>"Venue,Photographer,Florist,Catering,DJ/Band,Attire,Stationery,Transportation,Other"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2" customWidth="1" min="4" max="4"/>
    <col width="25" customWidth="1" min="5" max="5"/>
    <col width="40" customWidth="1" min="6" max="6"/>
  </cols>
  <sheetData>
    <row r="1" ht="32" customHeight="1">
      <c r="A1" s="14" t="inlineStr">
        <is>
          <t>Category</t>
        </is>
      </c>
      <c r="B1" s="14" t="inlineStr">
        <is>
          <t>Item</t>
        </is>
      </c>
      <c r="C1" s="14" t="inlineStr">
        <is>
          <t>Estimated</t>
        </is>
      </c>
      <c r="D1" s="14" t="inlineStr">
        <is>
          <t>Actual</t>
        </is>
      </c>
      <c r="E1" s="14" t="inlineStr">
        <is>
          <t>Difference</t>
        </is>
      </c>
      <c r="F1" s="14" t="inlineStr">
        <is>
          <t>Status</t>
        </is>
      </c>
    </row>
    <row r="2">
      <c r="A2" s="15" t="inlineStr">
        <is>
          <t>Venue</t>
        </is>
      </c>
      <c r="B2" s="15" t="inlineStr">
        <is>
          <t>Reception Hall</t>
        </is>
      </c>
      <c r="C2" s="16" t="n">
        <v>5000</v>
      </c>
      <c r="D2" s="16" t="n">
        <v>5000</v>
      </c>
      <c r="E2" s="17">
        <f>C2-D2</f>
        <v/>
      </c>
      <c r="F2" s="19">
        <f>IF(D2=0,"Not Paid",IF(D2&lt;C2,"Deposit Paid",IF(D2=C2,"Paid","Overpaid")))</f>
        <v/>
      </c>
    </row>
    <row r="3">
      <c r="A3" s="15" t="inlineStr">
        <is>
          <t>Attire</t>
        </is>
      </c>
      <c r="B3" s="15" t="inlineStr">
        <is>
          <t>Wedding Dress</t>
        </is>
      </c>
      <c r="C3" s="16" t="n">
        <v>1500</v>
      </c>
      <c r="D3" s="16" t="n">
        <v>1450</v>
      </c>
      <c r="E3" s="17">
        <f>C3-D3</f>
        <v/>
      </c>
      <c r="F3" s="19">
        <f>IF(D3=0,"Not Paid",IF(D3&lt;C3,"Deposit Paid",IF(D3=C3,"Paid","Overpaid")))</f>
        <v/>
      </c>
    </row>
    <row r="4">
      <c r="A4" s="15" t="inlineStr">
        <is>
          <t>Photography</t>
        </is>
      </c>
      <c r="B4" s="15" t="inlineStr">
        <is>
          <t>Full Day Package</t>
        </is>
      </c>
      <c r="C4" s="16" t="n">
        <v>2000</v>
      </c>
      <c r="D4" s="16" t="n">
        <v>2100</v>
      </c>
      <c r="E4" s="17">
        <f>C4-D4</f>
        <v/>
      </c>
      <c r="F4" s="19">
        <f>IF(D4=0,"Not Paid",IF(D4&lt;C4,"Deposit Paid",IF(D4=C4,"Paid","Overpaid")))</f>
        <v/>
      </c>
    </row>
    <row r="5">
      <c r="A5" s="15" t="n"/>
      <c r="B5" s="15" t="n"/>
      <c r="C5" s="16" t="n"/>
      <c r="D5" s="16" t="n"/>
      <c r="E5" s="17">
        <f>IF(A5="","",C5-D5)</f>
        <v/>
      </c>
      <c r="F5" s="19">
        <f>IF(A5="","",IF(D5=0,"Not Paid",IF(D5&lt;C5,"Deposit Paid",IF(D5=C5,"Paid","Overpaid"))))</f>
        <v/>
      </c>
    </row>
    <row r="6">
      <c r="A6" s="15" t="n"/>
      <c r="B6" s="15" t="n"/>
      <c r="C6" s="16" t="n"/>
      <c r="D6" s="16" t="n"/>
      <c r="E6" s="17">
        <f>IF(A6="","",C6-D6)</f>
        <v/>
      </c>
      <c r="F6" s="19">
        <f>IF(A6="","",IF(D6=0,"Not Paid",IF(D6&lt;C6,"Deposit Paid",IF(D6=C6,"Paid","Overpaid"))))</f>
        <v/>
      </c>
    </row>
    <row r="7">
      <c r="A7" s="15" t="n"/>
      <c r="B7" s="15" t="n"/>
      <c r="C7" s="16" t="n"/>
      <c r="D7" s="16" t="n"/>
      <c r="E7" s="17">
        <f>IF(A7="","",C7-D7)</f>
        <v/>
      </c>
      <c r="F7" s="19">
        <f>IF(A7="","",IF(D7=0,"Not Paid",IF(D7&lt;C7,"Deposit Paid",IF(D7=C7,"Paid","Overpaid"))))</f>
        <v/>
      </c>
    </row>
    <row r="8">
      <c r="A8" s="15" t="n"/>
      <c r="B8" s="15" t="n"/>
      <c r="C8" s="16" t="n"/>
      <c r="D8" s="16" t="n"/>
      <c r="E8" s="17">
        <f>IF(A8="","",C8-D8)</f>
        <v/>
      </c>
      <c r="F8" s="19">
        <f>IF(A8="","",IF(D8=0,"Not Paid",IF(D8&lt;C8,"Deposit Paid",IF(D8=C8,"Paid","Overpaid"))))</f>
        <v/>
      </c>
    </row>
    <row r="9">
      <c r="A9" s="15" t="n"/>
      <c r="B9" s="15" t="n"/>
      <c r="C9" s="16" t="n"/>
      <c r="D9" s="16" t="n"/>
      <c r="E9" s="17">
        <f>IF(A9="","",C9-D9)</f>
        <v/>
      </c>
      <c r="F9" s="19">
        <f>IF(A9="","",IF(D9=0,"Not Paid",IF(D9&lt;C9,"Deposit Paid",IF(D9=C9,"Paid","Overpaid"))))</f>
        <v/>
      </c>
    </row>
    <row r="10">
      <c r="A10" s="15" t="n"/>
      <c r="B10" s="15" t="n"/>
      <c r="C10" s="16" t="n"/>
      <c r="D10" s="16" t="n"/>
      <c r="E10" s="17">
        <f>IF(A10="","",C10-D10)</f>
        <v/>
      </c>
      <c r="F10" s="19">
        <f>IF(A10="","",IF(D10=0,"Not Paid",IF(D10&lt;C10,"Deposit Paid",IF(D10=C10,"Paid","Overpaid"))))</f>
        <v/>
      </c>
    </row>
    <row r="11">
      <c r="A11" s="15" t="n"/>
      <c r="B11" s="15" t="n"/>
      <c r="C11" s="16" t="n"/>
      <c r="D11" s="16" t="n"/>
      <c r="E11" s="17">
        <f>IF(A11="","",C11-D11)</f>
        <v/>
      </c>
      <c r="F11" s="19">
        <f>IF(A11="","",IF(D11=0,"Not Paid",IF(D11&lt;C11,"Deposit Paid",IF(D11=C11,"Paid","Overpaid"))))</f>
        <v/>
      </c>
    </row>
    <row r="12">
      <c r="A12" s="15" t="n"/>
      <c r="B12" s="15" t="n"/>
      <c r="C12" s="16" t="n"/>
      <c r="D12" s="16" t="n"/>
      <c r="E12" s="17">
        <f>IF(A12="","",C12-D12)</f>
        <v/>
      </c>
      <c r="F12" s="19">
        <f>IF(A12="","",IF(D12=0,"Not Paid",IF(D12&lt;C12,"Deposit Paid",IF(D12=C12,"Paid","Overpaid"))))</f>
        <v/>
      </c>
    </row>
    <row r="13">
      <c r="A13" s="15" t="n"/>
      <c r="B13" s="15" t="n"/>
      <c r="C13" s="16" t="n"/>
      <c r="D13" s="16" t="n"/>
      <c r="E13" s="17">
        <f>IF(A13="","",C13-D13)</f>
        <v/>
      </c>
      <c r="F13" s="19">
        <f>IF(A13="","",IF(D13=0,"Not Paid",IF(D13&lt;C13,"Deposit Paid",IF(D13=C13,"Paid","Overpaid"))))</f>
        <v/>
      </c>
    </row>
    <row r="14">
      <c r="A14" s="15" t="n"/>
      <c r="B14" s="15" t="n"/>
      <c r="C14" s="16" t="n"/>
      <c r="D14" s="16" t="n"/>
      <c r="E14" s="17">
        <f>IF(A14="","",C14-D14)</f>
        <v/>
      </c>
      <c r="F14" s="19">
        <f>IF(A14="","",IF(D14=0,"Not Paid",IF(D14&lt;C14,"Deposit Paid",IF(D14=C14,"Paid","Overpaid"))))</f>
        <v/>
      </c>
    </row>
    <row r="15">
      <c r="A15" s="15" t="n"/>
      <c r="B15" s="15" t="n"/>
      <c r="C15" s="16" t="n"/>
      <c r="D15" s="16" t="n"/>
      <c r="E15" s="17">
        <f>IF(A15="","",C15-D15)</f>
        <v/>
      </c>
      <c r="F15" s="19">
        <f>IF(A15="","",IF(D15=0,"Not Paid",IF(D15&lt;C15,"Deposit Paid",IF(D15=C15,"Paid","Overpaid"))))</f>
        <v/>
      </c>
    </row>
    <row r="16">
      <c r="A16" s="15" t="n"/>
      <c r="B16" s="15" t="n"/>
      <c r="C16" s="16" t="n"/>
      <c r="D16" s="16" t="n"/>
      <c r="E16" s="17">
        <f>IF(A16="","",C16-D16)</f>
        <v/>
      </c>
      <c r="F16" s="19">
        <f>IF(A16="","",IF(D16=0,"Not Paid",IF(D16&lt;C16,"Deposit Paid",IF(D16=C16,"Paid","Overpaid"))))</f>
        <v/>
      </c>
    </row>
    <row r="17">
      <c r="A17" s="15" t="n"/>
      <c r="B17" s="15" t="n"/>
      <c r="C17" s="16" t="n"/>
      <c r="D17" s="16" t="n"/>
      <c r="E17" s="17">
        <f>IF(A17="","",C17-D17)</f>
        <v/>
      </c>
      <c r="F17" s="19">
        <f>IF(A17="","",IF(D17=0,"Not Paid",IF(D17&lt;C17,"Deposit Paid",IF(D17=C17,"Paid","Overpaid"))))</f>
        <v/>
      </c>
    </row>
    <row r="18">
      <c r="A18" s="15" t="n"/>
      <c r="B18" s="15" t="n"/>
      <c r="C18" s="16" t="n"/>
      <c r="D18" s="16" t="n"/>
      <c r="E18" s="17">
        <f>IF(A18="","",C18-D18)</f>
        <v/>
      </c>
      <c r="F18" s="19">
        <f>IF(A18="","",IF(D18=0,"Not Paid",IF(D18&lt;C18,"Deposit Paid",IF(D18=C18,"Paid","Overpaid"))))</f>
        <v/>
      </c>
    </row>
    <row r="19">
      <c r="A19" s="15" t="n"/>
      <c r="B19" s="15" t="n"/>
      <c r="C19" s="16" t="n"/>
      <c r="D19" s="16" t="n"/>
      <c r="E19" s="17">
        <f>IF(A19="","",C19-D19)</f>
        <v/>
      </c>
      <c r="F19" s="19">
        <f>IF(A19="","",IF(D19=0,"Not Paid",IF(D19&lt;C19,"Deposit Paid",IF(D19=C19,"Paid","Overpaid"))))</f>
        <v/>
      </c>
    </row>
    <row r="20">
      <c r="A20" s="15" t="n"/>
      <c r="B20" s="15" t="n"/>
      <c r="C20" s="16" t="n"/>
      <c r="D20" s="16" t="n"/>
      <c r="E20" s="17">
        <f>IF(A20="","",C20-D20)</f>
        <v/>
      </c>
      <c r="F20" s="19">
        <f>IF(A20="","",IF(D20=0,"Not Paid",IF(D20&lt;C20,"Deposit Paid",IF(D20=C20,"Paid","Overpaid"))))</f>
        <v/>
      </c>
    </row>
    <row r="21">
      <c r="A21" s="15" t="n"/>
      <c r="B21" s="15" t="n"/>
      <c r="C21" s="16" t="n"/>
      <c r="D21" s="16" t="n"/>
      <c r="E21" s="17">
        <f>IF(A21="","",C21-D21)</f>
        <v/>
      </c>
      <c r="F21" s="19">
        <f>IF(A21="","",IF(D21=0,"Not Paid",IF(D21&lt;C21,"Deposit Paid",IF(D21=C21,"Paid","Overpaid"))))</f>
        <v/>
      </c>
    </row>
    <row r="22">
      <c r="A22" s="15" t="n"/>
      <c r="B22" s="15" t="n"/>
      <c r="C22" s="16" t="n"/>
      <c r="D22" s="16" t="n"/>
      <c r="E22" s="17">
        <f>IF(A22="","",C22-D22)</f>
        <v/>
      </c>
      <c r="F22" s="19">
        <f>IF(A22="","",IF(D22=0,"Not Paid",IF(D22&lt;C22,"Deposit Paid",IF(D22=C22,"Paid","Overpaid"))))</f>
        <v/>
      </c>
    </row>
    <row r="23">
      <c r="A23" s="15" t="n"/>
      <c r="B23" s="15" t="n"/>
      <c r="C23" s="16" t="n"/>
      <c r="D23" s="16" t="n"/>
      <c r="E23" s="17">
        <f>IF(A23="","",C23-D23)</f>
        <v/>
      </c>
      <c r="F23" s="19">
        <f>IF(A23="","",IF(D23=0,"Not Paid",IF(D23&lt;C23,"Deposit Paid",IF(D23=C23,"Paid","Overpaid"))))</f>
        <v/>
      </c>
    </row>
    <row r="24">
      <c r="A24" s="15" t="n"/>
      <c r="B24" s="15" t="n"/>
      <c r="C24" s="16" t="n"/>
      <c r="D24" s="16" t="n"/>
      <c r="E24" s="17">
        <f>IF(A24="","",C24-D24)</f>
        <v/>
      </c>
      <c r="F24" s="19">
        <f>IF(A24="","",IF(D24=0,"Not Paid",IF(D24&lt;C24,"Deposit Paid",IF(D24=C24,"Paid","Overpaid"))))</f>
        <v/>
      </c>
    </row>
    <row r="25">
      <c r="A25" s="15" t="n"/>
      <c r="B25" s="15" t="n"/>
      <c r="C25" s="16" t="n"/>
      <c r="D25" s="16" t="n"/>
      <c r="E25" s="17">
        <f>IF(A25="","",C25-D25)</f>
        <v/>
      </c>
      <c r="F25" s="19">
        <f>IF(A25="","",IF(D25=0,"Not Paid",IF(D25&lt;C25,"Deposit Paid",IF(D25=C25,"Paid","Overpaid"))))</f>
        <v/>
      </c>
    </row>
    <row r="26">
      <c r="A26" s="15" t="n"/>
      <c r="B26" s="15" t="n"/>
      <c r="C26" s="16" t="n"/>
      <c r="D26" s="16" t="n"/>
      <c r="E26" s="17">
        <f>IF(A26="","",C26-D26)</f>
        <v/>
      </c>
      <c r="F26" s="19">
        <f>IF(A26="","",IF(D26=0,"Not Paid",IF(D26&lt;C26,"Deposit Paid",IF(D26=C26,"Paid","Overpaid"))))</f>
        <v/>
      </c>
    </row>
    <row r="27">
      <c r="A27" s="15" t="n"/>
      <c r="B27" s="15" t="n"/>
      <c r="C27" s="16" t="n"/>
      <c r="D27" s="16" t="n"/>
      <c r="E27" s="17">
        <f>IF(A27="","",C27-D27)</f>
        <v/>
      </c>
      <c r="F27" s="19">
        <f>IF(A27="","",IF(D27=0,"Not Paid",IF(D27&lt;C27,"Deposit Paid",IF(D27=C27,"Paid","Overpaid"))))</f>
        <v/>
      </c>
    </row>
    <row r="28">
      <c r="A28" s="15" t="n"/>
      <c r="B28" s="15" t="n"/>
      <c r="C28" s="16" t="n"/>
      <c r="D28" s="16" t="n"/>
      <c r="E28" s="17">
        <f>IF(A28="","",C28-D28)</f>
        <v/>
      </c>
      <c r="F28" s="19">
        <f>IF(A28="","",IF(D28=0,"Not Paid",IF(D28&lt;C28,"Deposit Paid",IF(D28=C28,"Paid","Overpaid"))))</f>
        <v/>
      </c>
    </row>
    <row r="29">
      <c r="A29" s="15" t="n"/>
      <c r="B29" s="15" t="n"/>
      <c r="C29" s="16" t="n"/>
      <c r="D29" s="16" t="n"/>
      <c r="E29" s="17">
        <f>IF(A29="","",C29-D29)</f>
        <v/>
      </c>
      <c r="F29" s="19">
        <f>IF(A29="","",IF(D29=0,"Not Paid",IF(D29&lt;C29,"Deposit Paid",IF(D29=C29,"Paid","Overpaid"))))</f>
        <v/>
      </c>
    </row>
    <row r="30">
      <c r="A30" s="15" t="n"/>
      <c r="B30" s="15" t="n"/>
      <c r="C30" s="16" t="n"/>
      <c r="D30" s="16" t="n"/>
      <c r="E30" s="17">
        <f>IF(A30="","",C30-D30)</f>
        <v/>
      </c>
      <c r="F30" s="19">
        <f>IF(A30="","",IF(D30=0,"Not Paid",IF(D30&lt;C30,"Deposit Paid",IF(D30=C30,"Paid","Overpaid"))))</f>
        <v/>
      </c>
    </row>
    <row r="31">
      <c r="A31" s="15" t="n"/>
      <c r="B31" s="15" t="n"/>
      <c r="C31" s="16" t="n"/>
      <c r="D31" s="16" t="n"/>
      <c r="E31" s="17">
        <f>IF(A31="","",C31-D31)</f>
        <v/>
      </c>
      <c r="F31" s="19">
        <f>IF(A31="","",IF(D31=0,"Not Paid",IF(D31&lt;C31,"Deposit Paid",IF(D31=C31,"Paid","Overpaid"))))</f>
        <v/>
      </c>
    </row>
    <row r="32">
      <c r="A32" s="15" t="n"/>
      <c r="B32" s="15" t="n"/>
      <c r="C32" s="16" t="n"/>
      <c r="D32" s="16" t="n"/>
      <c r="E32" s="17">
        <f>IF(A32="","",C32-D32)</f>
        <v/>
      </c>
      <c r="F32" s="19">
        <f>IF(A32="","",IF(D32=0,"Not Paid",IF(D32&lt;C32,"Deposit Paid",IF(D32=C32,"Paid","Overpaid"))))</f>
        <v/>
      </c>
    </row>
    <row r="33">
      <c r="A33" s="15" t="n"/>
      <c r="B33" s="15" t="n"/>
      <c r="C33" s="16" t="n"/>
      <c r="D33" s="16" t="n"/>
      <c r="E33" s="17">
        <f>IF(A33="","",C33-D33)</f>
        <v/>
      </c>
      <c r="F33" s="19">
        <f>IF(A33="","",IF(D33=0,"Not Paid",IF(D33&lt;C33,"Deposit Paid",IF(D33=C33,"Paid","Overpaid"))))</f>
        <v/>
      </c>
    </row>
    <row r="34">
      <c r="A34" s="15" t="n"/>
      <c r="B34" s="15" t="n"/>
      <c r="C34" s="16" t="n"/>
      <c r="D34" s="16" t="n"/>
      <c r="E34" s="17">
        <f>IF(A34="","",C34-D34)</f>
        <v/>
      </c>
      <c r="F34" s="19">
        <f>IF(A34="","",IF(D34=0,"Not Paid",IF(D34&lt;C34,"Deposit Paid",IF(D34=C34,"Paid","Overpaid"))))</f>
        <v/>
      </c>
    </row>
    <row r="35">
      <c r="A35" s="15" t="n"/>
      <c r="B35" s="15" t="n"/>
      <c r="C35" s="16" t="n"/>
      <c r="D35" s="16" t="n"/>
      <c r="E35" s="17">
        <f>IF(A35="","",C35-D35)</f>
        <v/>
      </c>
      <c r="F35" s="19">
        <f>IF(A35="","",IF(D35=0,"Not Paid",IF(D35&lt;C35,"Deposit Paid",IF(D35=C35,"Paid","Overpaid"))))</f>
        <v/>
      </c>
    </row>
    <row r="36">
      <c r="A36" s="15" t="n"/>
      <c r="B36" s="15" t="n"/>
      <c r="C36" s="16" t="n"/>
      <c r="D36" s="16" t="n"/>
      <c r="E36" s="17">
        <f>IF(A36="","",C36-D36)</f>
        <v/>
      </c>
      <c r="F36" s="19">
        <f>IF(A36="","",IF(D36=0,"Not Paid",IF(D36&lt;C36,"Deposit Paid",IF(D36=C36,"Paid","Overpaid"))))</f>
        <v/>
      </c>
    </row>
    <row r="37">
      <c r="A37" s="15" t="n"/>
      <c r="B37" s="15" t="n"/>
      <c r="C37" s="16" t="n"/>
      <c r="D37" s="16" t="n"/>
      <c r="E37" s="17">
        <f>IF(A37="","",C37-D37)</f>
        <v/>
      </c>
      <c r="F37" s="19">
        <f>IF(A37="","",IF(D37=0,"Not Paid",IF(D37&lt;C37,"Deposit Paid",IF(D37=C37,"Paid","Overpaid"))))</f>
        <v/>
      </c>
    </row>
    <row r="38">
      <c r="A38" s="15" t="n"/>
      <c r="B38" s="15" t="n"/>
      <c r="C38" s="16" t="n"/>
      <c r="D38" s="16" t="n"/>
      <c r="E38" s="17">
        <f>IF(A38="","",C38-D38)</f>
        <v/>
      </c>
      <c r="F38" s="19">
        <f>IF(A38="","",IF(D38=0,"Not Paid",IF(D38&lt;C38,"Deposit Paid",IF(D38=C38,"Paid","Overpaid"))))</f>
        <v/>
      </c>
    </row>
    <row r="39">
      <c r="A39" s="15" t="n"/>
      <c r="B39" s="15" t="n"/>
      <c r="C39" s="16" t="n"/>
      <c r="D39" s="16" t="n"/>
      <c r="E39" s="17">
        <f>IF(A39="","",C39-D39)</f>
        <v/>
      </c>
      <c r="F39" s="19">
        <f>IF(A39="","",IF(D39=0,"Not Paid",IF(D39&lt;C39,"Deposit Paid",IF(D39=C39,"Paid","Overpaid"))))</f>
        <v/>
      </c>
    </row>
    <row r="40">
      <c r="A40" s="15" t="n"/>
      <c r="B40" s="15" t="n"/>
      <c r="C40" s="16" t="n"/>
      <c r="D40" s="16" t="n"/>
      <c r="E40" s="17">
        <f>IF(A40="","",C40-D40)</f>
        <v/>
      </c>
      <c r="F40" s="19">
        <f>IF(A40="","",IF(D40=0,"Not Paid",IF(D40&lt;C40,"Deposit Paid",IF(D40=C40,"Paid","Overpaid"))))</f>
        <v/>
      </c>
    </row>
    <row r="41">
      <c r="A41" s="15" t="n"/>
      <c r="B41" s="15" t="n"/>
      <c r="C41" s="16" t="n"/>
      <c r="D41" s="16" t="n"/>
      <c r="E41" s="17">
        <f>IF(A41="","",C41-D41)</f>
        <v/>
      </c>
      <c r="F41" s="19">
        <f>IF(A41="","",IF(D41=0,"Not Paid",IF(D41&lt;C41,"Deposit Paid",IF(D41=C41,"Paid","Overpaid"))))</f>
        <v/>
      </c>
    </row>
    <row r="42">
      <c r="A42" s="15" t="n"/>
      <c r="B42" s="15" t="n"/>
      <c r="C42" s="16" t="n"/>
      <c r="D42" s="16" t="n"/>
      <c r="E42" s="17">
        <f>IF(A42="","",C42-D42)</f>
        <v/>
      </c>
      <c r="F42" s="19">
        <f>IF(A42="","",IF(D42=0,"Not Paid",IF(D42&lt;C42,"Deposit Paid",IF(D42=C42,"Paid","Overpaid"))))</f>
        <v/>
      </c>
    </row>
    <row r="43">
      <c r="A43" s="15" t="n"/>
      <c r="B43" s="15" t="n"/>
      <c r="C43" s="16" t="n"/>
      <c r="D43" s="16" t="n"/>
      <c r="E43" s="17">
        <f>IF(A43="","",C43-D43)</f>
        <v/>
      </c>
      <c r="F43" s="19">
        <f>IF(A43="","",IF(D43=0,"Not Paid",IF(D43&lt;C43,"Deposit Paid",IF(D43=C43,"Paid","Overpaid"))))</f>
        <v/>
      </c>
    </row>
    <row r="44">
      <c r="A44" s="15" t="n"/>
      <c r="B44" s="15" t="n"/>
      <c r="C44" s="16" t="n"/>
      <c r="D44" s="16" t="n"/>
      <c r="E44" s="17">
        <f>IF(A44="","",C44-D44)</f>
        <v/>
      </c>
      <c r="F44" s="19">
        <f>IF(A44="","",IF(D44=0,"Not Paid",IF(D44&lt;C44,"Deposit Paid",IF(D44=C44,"Paid","Overpaid"))))</f>
        <v/>
      </c>
    </row>
    <row r="45">
      <c r="A45" s="15" t="n"/>
      <c r="B45" s="15" t="n"/>
      <c r="C45" s="16" t="n"/>
      <c r="D45" s="16" t="n"/>
      <c r="E45" s="17">
        <f>IF(A45="","",C45-D45)</f>
        <v/>
      </c>
      <c r="F45" s="19">
        <f>IF(A45="","",IF(D45=0,"Not Paid",IF(D45&lt;C45,"Deposit Paid",IF(D45=C45,"Paid","Overpaid"))))</f>
        <v/>
      </c>
    </row>
    <row r="46">
      <c r="A46" s="15" t="n"/>
      <c r="B46" s="15" t="n"/>
      <c r="C46" s="16" t="n"/>
      <c r="D46" s="16" t="n"/>
      <c r="E46" s="17">
        <f>IF(A46="","",C46-D46)</f>
        <v/>
      </c>
      <c r="F46" s="19">
        <f>IF(A46="","",IF(D46=0,"Not Paid",IF(D46&lt;C46,"Deposit Paid",IF(D46=C46,"Paid","Overpaid"))))</f>
        <v/>
      </c>
    </row>
    <row r="47">
      <c r="A47" s="15" t="n"/>
      <c r="B47" s="15" t="n"/>
      <c r="C47" s="16" t="n"/>
      <c r="D47" s="16" t="n"/>
      <c r="E47" s="17">
        <f>IF(A47="","",C47-D47)</f>
        <v/>
      </c>
      <c r="F47" s="19">
        <f>IF(A47="","",IF(D47=0,"Not Paid",IF(D47&lt;C47,"Deposit Paid",IF(D47=C47,"Paid","Overpaid"))))</f>
        <v/>
      </c>
    </row>
    <row r="48">
      <c r="A48" s="15" t="n"/>
      <c r="B48" s="15" t="n"/>
      <c r="C48" s="16" t="n"/>
      <c r="D48" s="16" t="n"/>
      <c r="E48" s="17">
        <f>IF(A48="","",C48-D48)</f>
        <v/>
      </c>
      <c r="F48" s="19">
        <f>IF(A48="","",IF(D48=0,"Not Paid",IF(D48&lt;C48,"Deposit Paid",IF(D48=C48,"Paid","Overpaid"))))</f>
        <v/>
      </c>
    </row>
    <row r="49">
      <c r="A49" s="15" t="n"/>
      <c r="B49" s="15" t="n"/>
      <c r="C49" s="16" t="n"/>
      <c r="D49" s="16" t="n"/>
      <c r="E49" s="17">
        <f>IF(A49="","",C49-D49)</f>
        <v/>
      </c>
      <c r="F49" s="19">
        <f>IF(A49="","",IF(D49=0,"Not Paid",IF(D49&lt;C49,"Deposit Paid",IF(D49=C49,"Paid","Overpaid"))))</f>
        <v/>
      </c>
    </row>
    <row r="50">
      <c r="A50" s="15" t="n"/>
      <c r="B50" s="15" t="n"/>
      <c r="C50" s="16" t="n"/>
      <c r="D50" s="16" t="n"/>
      <c r="E50" s="17">
        <f>IF(A50="","",C50-D50)</f>
        <v/>
      </c>
      <c r="F50" s="19">
        <f>IF(A50="","",IF(D50=0,"Not Paid",IF(D50&lt;C50,"Deposit Paid",IF(D50=C50,"Paid","Overpaid"))))</f>
        <v/>
      </c>
    </row>
    <row r="51">
      <c r="A51" s="15" t="n"/>
      <c r="B51" s="15" t="n"/>
      <c r="C51" s="16" t="n"/>
      <c r="D51" s="16" t="n"/>
      <c r="E51" s="17">
        <f>IF(A51="","",C51-D51)</f>
        <v/>
      </c>
      <c r="F51" s="19">
        <f>IF(A51="","",IF(D51=0,"Not Paid",IF(D51&lt;C51,"Deposit Paid",IF(D51=C51,"Paid","Overpaid"))))</f>
        <v/>
      </c>
    </row>
    <row r="52">
      <c r="A52" s="15" t="n"/>
      <c r="B52" s="15" t="n"/>
      <c r="C52" s="16" t="n"/>
      <c r="D52" s="16" t="n"/>
      <c r="E52" s="17">
        <f>IF(A52="","",C52-D52)</f>
        <v/>
      </c>
      <c r="F52" s="19">
        <f>IF(A52="","",IF(D52=0,"Not Paid",IF(D52&lt;C52,"Deposit Paid",IF(D52=C52,"Paid","Overpaid"))))</f>
        <v/>
      </c>
    </row>
    <row r="53">
      <c r="A53" s="15" t="n"/>
      <c r="B53" s="15" t="n"/>
      <c r="C53" s="16" t="n"/>
      <c r="D53" s="16" t="n"/>
      <c r="E53" s="17">
        <f>IF(A53="","",C53-D53)</f>
        <v/>
      </c>
      <c r="F53" s="19">
        <f>IF(A53="","",IF(D53=0,"Not Paid",IF(D53&lt;C53,"Deposit Paid",IF(D53=C53,"Paid","Overpaid"))))</f>
        <v/>
      </c>
    </row>
    <row r="54">
      <c r="A54" s="15" t="n"/>
      <c r="B54" s="15" t="n"/>
      <c r="C54" s="16" t="n"/>
      <c r="D54" s="16" t="n"/>
      <c r="E54" s="17">
        <f>IF(A54="","",C54-D54)</f>
        <v/>
      </c>
      <c r="F54" s="19">
        <f>IF(A54="","",IF(D54=0,"Not Paid",IF(D54&lt;C54,"Deposit Paid",IF(D54=C54,"Paid","Overpaid"))))</f>
        <v/>
      </c>
    </row>
    <row r="55">
      <c r="A55" s="15" t="n"/>
      <c r="B55" s="15" t="n"/>
      <c r="C55" s="16" t="n"/>
      <c r="D55" s="16" t="n"/>
      <c r="E55" s="17">
        <f>IF(A55="","",C55-D55)</f>
        <v/>
      </c>
      <c r="F55" s="19">
        <f>IF(A55="","",IF(D55=0,"Not Paid",IF(D55&lt;C55,"Deposit Paid",IF(D55=C55,"Paid","Overpaid"))))</f>
        <v/>
      </c>
    </row>
    <row r="56">
      <c r="A56" s="15" t="n"/>
      <c r="B56" s="15" t="n"/>
      <c r="C56" s="16" t="n"/>
      <c r="D56" s="16" t="n"/>
      <c r="E56" s="17">
        <f>IF(A56="","",C56-D56)</f>
        <v/>
      </c>
      <c r="F56" s="19">
        <f>IF(A56="","",IF(D56=0,"Not Paid",IF(D56&lt;C56,"Deposit Paid",IF(D56=C56,"Paid","Overpaid"))))</f>
        <v/>
      </c>
    </row>
    <row r="57">
      <c r="A57" s="15" t="n"/>
      <c r="B57" s="15" t="n"/>
      <c r="C57" s="16" t="n"/>
      <c r="D57" s="16" t="n"/>
      <c r="E57" s="17">
        <f>IF(A57="","",C57-D57)</f>
        <v/>
      </c>
      <c r="F57" s="19">
        <f>IF(A57="","",IF(D57=0,"Not Paid",IF(D57&lt;C57,"Deposit Paid",IF(D57=C57,"Paid","Overpaid"))))</f>
        <v/>
      </c>
    </row>
    <row r="58">
      <c r="A58" s="15" t="n"/>
      <c r="B58" s="15" t="n"/>
      <c r="C58" s="16" t="n"/>
      <c r="D58" s="16" t="n"/>
      <c r="E58" s="17">
        <f>IF(A58="","",C58-D58)</f>
        <v/>
      </c>
      <c r="F58" s="19">
        <f>IF(A58="","",IF(D58=0,"Not Paid",IF(D58&lt;C58,"Deposit Paid",IF(D58=C58,"Paid","Overpaid"))))</f>
        <v/>
      </c>
    </row>
    <row r="59">
      <c r="A59" s="15" t="n"/>
      <c r="B59" s="15" t="n"/>
      <c r="C59" s="16" t="n"/>
      <c r="D59" s="16" t="n"/>
      <c r="E59" s="17">
        <f>IF(A59="","",C59-D59)</f>
        <v/>
      </c>
      <c r="F59" s="19">
        <f>IF(A59="","",IF(D59=0,"Not Paid",IF(D59&lt;C59,"Deposit Paid",IF(D59=C59,"Paid","Overpaid"))))</f>
        <v/>
      </c>
    </row>
    <row r="60">
      <c r="A60" s="15" t="n"/>
      <c r="B60" s="15" t="n"/>
      <c r="C60" s="16" t="n"/>
      <c r="D60" s="16" t="n"/>
      <c r="E60" s="17">
        <f>IF(A60="","",C60-D60)</f>
        <v/>
      </c>
      <c r="F60" s="19">
        <f>IF(A60="","",IF(D60=0,"Not Paid",IF(D60&lt;C60,"Deposit Paid",IF(D60=C60,"Paid","Overpaid"))))</f>
        <v/>
      </c>
    </row>
    <row r="61">
      <c r="A61" s="15" t="n"/>
      <c r="B61" s="15" t="n"/>
      <c r="C61" s="16" t="n"/>
      <c r="D61" s="16" t="n"/>
      <c r="E61" s="17">
        <f>IF(A61="","",C61-D61)</f>
        <v/>
      </c>
      <c r="F61" s="19">
        <f>IF(A61="","",IF(D61=0,"Not Paid",IF(D61&lt;C61,"Deposit Paid",IF(D61=C61,"Paid","Overpaid"))))</f>
        <v/>
      </c>
    </row>
    <row r="62">
      <c r="A62" s="15" t="n"/>
      <c r="B62" s="15" t="n"/>
      <c r="C62" s="16" t="n"/>
      <c r="D62" s="16" t="n"/>
      <c r="E62" s="17">
        <f>IF(A62="","",C62-D62)</f>
        <v/>
      </c>
      <c r="F62" s="19">
        <f>IF(A62="","",IF(D62=0,"Not Paid",IF(D62&lt;C62,"Deposit Paid",IF(D62=C62,"Paid","Overpaid"))))</f>
        <v/>
      </c>
    </row>
    <row r="63">
      <c r="A63" s="15" t="n"/>
      <c r="B63" s="15" t="n"/>
      <c r="C63" s="16" t="n"/>
      <c r="D63" s="16" t="n"/>
      <c r="E63" s="17">
        <f>IF(A63="","",C63-D63)</f>
        <v/>
      </c>
      <c r="F63" s="19">
        <f>IF(A63="","",IF(D63=0,"Not Paid",IF(D63&lt;C63,"Deposit Paid",IF(D63=C63,"Paid","Overpaid"))))</f>
        <v/>
      </c>
    </row>
    <row r="64">
      <c r="A64" s="15" t="n"/>
      <c r="B64" s="15" t="n"/>
      <c r="C64" s="16" t="n"/>
      <c r="D64" s="16" t="n"/>
      <c r="E64" s="17">
        <f>IF(A64="","",C64-D64)</f>
        <v/>
      </c>
      <c r="F64" s="19">
        <f>IF(A64="","",IF(D64=0,"Not Paid",IF(D64&lt;C64,"Deposit Paid",IF(D64=C64,"Paid","Overpaid"))))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dataValidations count="1">
    <dataValidation sqref="A2:A64" showDropDown="0" showInputMessage="0" showErrorMessage="0" allowBlank="1" type="list">
      <formula1>"Venue,Attire,Photography/Videography,Flowers,Music,Stationery,Catering,Cake,Transportation,Rings,Other"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Wedding Budget Planner &amp; Vendor Tracker</dc:title>
  <dcterms:created xsi:type="dcterms:W3CDTF">2026-10-30T19:27:40Z</dcterms:created>
  <dcterms:modified xsi:type="dcterms:W3CDTF">2026-10-30T19:27:40Z</dcterms:modified>
</cp:coreProperties>
</file>