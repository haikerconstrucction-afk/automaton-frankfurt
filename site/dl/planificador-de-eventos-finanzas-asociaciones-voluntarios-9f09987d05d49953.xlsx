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vento" sheetId="3" state="visible" r:id="rId3"/>
    <sheet name="Gastos" sheetId="4" state="visible" r:id="rId4"/>
    <sheet name="Presupue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'Gastos'!$B$2:$B$3</f>
            </numRef>
          </cat>
          <val>
            <numRef>
              <f>'Gastos'!$E$2:$E$3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o" displayName="T_Evento" ref="A1:E33" headerRowCount="1">
  <autoFilter ref="A1:E33"/>
  <tableColumns count="5">
    <tableColumn id="1" name="Fecha"/>
    <tableColumn id="2" name="Nombre"/>
    <tableColumn id="3" name="Descripcion"/>
    <tableColumn id="4" name="Responsable"/>
    <tableColumn id="5" name="Estado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E63" headerRowCount="1">
  <autoFilter ref="A1:E63"/>
  <tableColumns count="5">
    <tableColumn id="1" name="Fecha"/>
    <tableColumn id="2" name="Categoria"/>
    <tableColumn id="3" name="Cantidad"/>
    <tableColumn id="4" name="Precio"/>
    <tableColumn id="5" name="Suma"/>
  </tableColumns>
  <tableStyleInfo name="TableStyleMedium7" showRowStripes="1"/>
</table>
</file>

<file path=xl/tables/table3.xml><?xml version="1.0" encoding="utf-8"?>
<table xmlns="http://schemas.openxmlformats.org/spreadsheetml/2006/main" id="3" name="T_Presupuesto" displayName="T_Presupuesto" ref="A1:E33" headerRowCount="1">
  <autoFilter ref="A1:E33"/>
  <tableColumns count="5">
    <tableColumn id="1" name="Fecha"/>
    <tableColumn id="2" name="Descripcion"/>
    <tableColumn id="3" name="Monto"/>
    <tableColumn id="4" name="Gastado"/>
    <tableColumn id="5" name="Disponibl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vent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Presupuesto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Eventos y Finanzas para Asociaciones y Voluntarios</t>
        </is>
      </c>
    </row>
    <row r="3" ht="45" customHeight="1">
      <c r="C3" s="2" t="inlineStr">
        <is>
          <t>Simplifica la organización de eventos y la gestión financiera de tu asociación con esta plantilla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Comienza ingresando los detalles del evento en la hoja 'Evento'.</t>
        </is>
      </c>
    </row>
    <row r="7" ht="18" customHeight="1">
      <c r="B7" s="4" t="inlineStr">
        <is>
          <t>2.</t>
        </is>
      </c>
      <c r="C7" s="5" t="inlineStr">
        <is>
          <t>Registra los gastos asociados en la hoja 'Gastos'.</t>
        </is>
      </c>
    </row>
    <row r="8" ht="18" customHeight="1">
      <c r="B8" s="4" t="inlineStr">
        <is>
          <t>3.</t>
        </is>
      </c>
      <c r="C8" s="5" t="inlineStr">
        <is>
          <t>Usa la hoja 'Presupuesto' para asignar fondos y realizar un seguimiento.</t>
        </is>
      </c>
    </row>
    <row r="9" ht="18" customHeight="1">
      <c r="B9" s="4" t="inlineStr">
        <is>
          <t>4.</t>
        </is>
      </c>
      <c r="C9" s="5" t="inlineStr">
        <is>
          <t>Utiliza los gráficos para visualizar el progreso y las finanzas.</t>
        </is>
      </c>
    </row>
    <row r="10" ht="18" customHeight="1">
      <c r="B10" s="4" t="inlineStr">
        <is>
          <t>5.</t>
        </is>
      </c>
      <c r="C10" s="5" t="inlineStr">
        <is>
          <t>Actualiza regularmente los datos para mantener todo al día.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Evento</t>
        </is>
      </c>
    </row>
    <row r="17">
      <c r="C17" s="7" t="inlineStr">
        <is>
          <t>→ Gastos</t>
        </is>
      </c>
    </row>
    <row r="18">
      <c r="C18" s="7" t="inlineStr">
        <is>
          <t>→ Presupuesto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Eventos y Finanzas para Asociaciones y Volun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Gastos</t>
        </is>
      </c>
      <c r="C5" s="12">
        <f>SUM('Gastos'!E2:E300)</f>
        <v/>
      </c>
    </row>
    <row r="6" ht="24" customHeight="1">
      <c r="B6" s="11" t="inlineStr">
        <is>
          <t>Total Disponible</t>
        </is>
      </c>
      <c r="C6" s="12">
        <f>SUM('Presupuesto'!E2:E300)</f>
        <v/>
      </c>
    </row>
    <row r="7" ht="24" customHeight="1">
      <c r="B7" s="11" t="inlineStr">
        <is>
          <t>Eventos Completados</t>
        </is>
      </c>
      <c r="C7" s="13">
        <f>COUNTIF('Evento'!E2:E300, "Completado")</f>
        <v/>
      </c>
    </row>
    <row r="8" ht="24" customHeight="1">
      <c r="B8" s="11" t="inlineStr">
        <is>
          <t>Eventos en Progreso</t>
        </is>
      </c>
      <c r="C8" s="13">
        <f>COUNTIF('Evento'!E2:E300, "En progreso")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14" customWidth="1" min="4" max="4"/>
    <col width="14" customWidth="1" min="5" max="5"/>
  </cols>
  <sheetData>
    <row r="1" ht="32" customHeight="1">
      <c r="A1" s="14" t="inlineStr">
        <is>
          <t>Fecha</t>
        </is>
      </c>
      <c r="B1" s="14" t="inlineStr">
        <is>
          <t>Nombre</t>
        </is>
      </c>
      <c r="C1" s="14" t="inlineStr">
        <is>
          <t>Descripcion</t>
        </is>
      </c>
      <c r="D1" s="14" t="inlineStr">
        <is>
          <t>Responsable</t>
        </is>
      </c>
      <c r="E1" s="14" t="inlineStr">
        <is>
          <t>Estado</t>
        </is>
      </c>
    </row>
    <row r="2">
      <c r="A2" s="15" t="n">
        <v>46096</v>
      </c>
      <c r="B2" s="16" t="inlineStr">
        <is>
          <t>Fiesta de Primavera</t>
        </is>
      </c>
      <c r="C2" s="16" t="inlineStr">
        <is>
          <t>Celebración anual</t>
        </is>
      </c>
      <c r="D2" s="16" t="inlineStr">
        <is>
          <t>Juan Pérez</t>
        </is>
      </c>
      <c r="E2" s="16" t="inlineStr">
        <is>
          <t>Planeación</t>
        </is>
      </c>
    </row>
    <row r="3">
      <c r="A3" s="15" t="n">
        <v>46162</v>
      </c>
      <c r="B3" s="16" t="inlineStr">
        <is>
          <t>Campaña de Limpieza</t>
        </is>
      </c>
      <c r="C3" s="16" t="inlineStr">
        <is>
          <t>Limpiar el parque local</t>
        </is>
      </c>
      <c r="D3" s="16" t="inlineStr">
        <is>
          <t>Ana Gómez</t>
        </is>
      </c>
      <c r="E3" s="16" t="inlineStr">
        <is>
          <t>En progreso</t>
        </is>
      </c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</sheetData>
  <dataValidations count="1">
    <dataValidation sqref="E2:E33" showDropDown="0" showInputMessage="0" showErrorMessage="0" allowBlank="1" type="list">
      <formula1>"Planeación,En progreso,Completado"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Fecha</t>
        </is>
      </c>
      <c r="B1" s="14" t="inlineStr">
        <is>
          <t>Categoria</t>
        </is>
      </c>
      <c r="C1" s="14" t="inlineStr">
        <is>
          <t>Cantidad</t>
        </is>
      </c>
      <c r="D1" s="14" t="inlineStr">
        <is>
          <t>Precio</t>
        </is>
      </c>
      <c r="E1" s="14" t="inlineStr">
        <is>
          <t>Suma</t>
        </is>
      </c>
    </row>
    <row r="2">
      <c r="A2" s="15" t="n">
        <v>46091</v>
      </c>
      <c r="B2" s="16" t="inlineStr">
        <is>
          <t>Material</t>
        </is>
      </c>
      <c r="C2" s="17" t="n">
        <v>5</v>
      </c>
      <c r="D2" s="18" t="n">
        <v>20</v>
      </c>
      <c r="E2" s="19">
        <f>C2*D2</f>
        <v/>
      </c>
    </row>
    <row r="3">
      <c r="A3" s="15" t="n">
        <v>46093</v>
      </c>
      <c r="B3" s="16" t="inlineStr">
        <is>
          <t>Comida</t>
        </is>
      </c>
      <c r="C3" s="17" t="n">
        <v>10</v>
      </c>
      <c r="D3" s="18" t="n">
        <v>15</v>
      </c>
      <c r="E3" s="19">
        <f>C3*D3</f>
        <v/>
      </c>
    </row>
    <row r="4">
      <c r="A4" s="15" t="n"/>
      <c r="B4" s="16" t="n"/>
      <c r="C4" s="17" t="n"/>
      <c r="D4" s="18" t="n"/>
      <c r="E4" s="19">
        <f>IF(A4="","",C4*D4)</f>
        <v/>
      </c>
    </row>
    <row r="5">
      <c r="A5" s="15" t="n"/>
      <c r="B5" s="16" t="n"/>
      <c r="C5" s="17" t="n"/>
      <c r="D5" s="18" t="n"/>
      <c r="E5" s="19">
        <f>IF(A5="","",C5*D5)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"Material,Comida,Transporte,Otros"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Fecha</t>
        </is>
      </c>
      <c r="B1" s="14" t="inlineStr">
        <is>
          <t>Descripcion</t>
        </is>
      </c>
      <c r="C1" s="14" t="inlineStr">
        <is>
          <t>Monto</t>
        </is>
      </c>
      <c r="D1" s="14" t="inlineStr">
        <is>
          <t>Gastado</t>
        </is>
      </c>
      <c r="E1" s="14" t="inlineStr">
        <is>
          <t>Disponible</t>
        </is>
      </c>
    </row>
    <row r="2">
      <c r="A2" s="15" t="n">
        <v>46082</v>
      </c>
      <c r="B2" s="16" t="inlineStr">
        <is>
          <t>Fiesta de Primavera</t>
        </is>
      </c>
      <c r="C2" s="18" t="n">
        <v>500</v>
      </c>
      <c r="D2" s="18" t="n">
        <v>120</v>
      </c>
      <c r="E2" s="19">
        <f>C2-D2</f>
        <v/>
      </c>
    </row>
    <row r="3">
      <c r="A3" s="15" t="n">
        <v>46143</v>
      </c>
      <c r="B3" s="16" t="inlineStr">
        <is>
          <t>Campaña de Limpieza</t>
        </is>
      </c>
      <c r="C3" s="18" t="n">
        <v>300</v>
      </c>
      <c r="D3" s="18" t="n">
        <v>50</v>
      </c>
      <c r="E3" s="19">
        <f>C3-D3</f>
        <v/>
      </c>
    </row>
    <row r="4">
      <c r="A4" s="15" t="n"/>
      <c r="B4" s="16" t="n"/>
      <c r="C4" s="18" t="n"/>
      <c r="D4" s="18" t="n"/>
      <c r="E4" s="19">
        <f>IF(A4="","",C4-D4)</f>
        <v/>
      </c>
    </row>
    <row r="5">
      <c r="A5" s="15" t="n"/>
      <c r="B5" s="16" t="n"/>
      <c r="C5" s="18" t="n"/>
      <c r="D5" s="18" t="n"/>
      <c r="E5" s="19">
        <f>IF(A5="","",C5-D5)</f>
        <v/>
      </c>
    </row>
    <row r="6">
      <c r="A6" s="15" t="n"/>
      <c r="B6" s="16" t="n"/>
      <c r="C6" s="18" t="n"/>
      <c r="D6" s="18" t="n"/>
      <c r="E6" s="19">
        <f>IF(A6="","",C6-D6)</f>
        <v/>
      </c>
    </row>
    <row r="7">
      <c r="A7" s="15" t="n"/>
      <c r="B7" s="16" t="n"/>
      <c r="C7" s="18" t="n"/>
      <c r="D7" s="18" t="n"/>
      <c r="E7" s="19">
        <f>IF(A7="","",C7-D7)</f>
        <v/>
      </c>
    </row>
    <row r="8">
      <c r="A8" s="15" t="n"/>
      <c r="B8" s="16" t="n"/>
      <c r="C8" s="18" t="n"/>
      <c r="D8" s="18" t="n"/>
      <c r="E8" s="19">
        <f>IF(A8="","",C8-D8)</f>
        <v/>
      </c>
    </row>
    <row r="9">
      <c r="A9" s="15" t="n"/>
      <c r="B9" s="16" t="n"/>
      <c r="C9" s="18" t="n"/>
      <c r="D9" s="18" t="n"/>
      <c r="E9" s="19">
        <f>IF(A9="","",C9-D9)</f>
        <v/>
      </c>
    </row>
    <row r="10">
      <c r="A10" s="15" t="n"/>
      <c r="B10" s="16" t="n"/>
      <c r="C10" s="18" t="n"/>
      <c r="D10" s="18" t="n"/>
      <c r="E10" s="19">
        <f>IF(A10="","",C10-D10)</f>
        <v/>
      </c>
    </row>
    <row r="11">
      <c r="A11" s="15" t="n"/>
      <c r="B11" s="16" t="n"/>
      <c r="C11" s="18" t="n"/>
      <c r="D11" s="18" t="n"/>
      <c r="E11" s="19">
        <f>IF(A11="","",C11-D11)</f>
        <v/>
      </c>
    </row>
    <row r="12">
      <c r="A12" s="15" t="n"/>
      <c r="B12" s="16" t="n"/>
      <c r="C12" s="18" t="n"/>
      <c r="D12" s="18" t="n"/>
      <c r="E12" s="19">
        <f>IF(A12="","",C12-D12)</f>
        <v/>
      </c>
    </row>
    <row r="13">
      <c r="A13" s="15" t="n"/>
      <c r="B13" s="16" t="n"/>
      <c r="C13" s="18" t="n"/>
      <c r="D13" s="18" t="n"/>
      <c r="E13" s="19">
        <f>IF(A13="","",C13-D13)</f>
        <v/>
      </c>
    </row>
    <row r="14">
      <c r="A14" s="15" t="n"/>
      <c r="B14" s="16" t="n"/>
      <c r="C14" s="18" t="n"/>
      <c r="D14" s="18" t="n"/>
      <c r="E14" s="19">
        <f>IF(A14="","",C14-D14)</f>
        <v/>
      </c>
    </row>
    <row r="15">
      <c r="A15" s="15" t="n"/>
      <c r="B15" s="16" t="n"/>
      <c r="C15" s="18" t="n"/>
      <c r="D15" s="18" t="n"/>
      <c r="E15" s="19">
        <f>IF(A15="","",C15-D15)</f>
        <v/>
      </c>
    </row>
    <row r="16">
      <c r="A16" s="15" t="n"/>
      <c r="B16" s="16" t="n"/>
      <c r="C16" s="18" t="n"/>
      <c r="D16" s="18" t="n"/>
      <c r="E16" s="19">
        <f>IF(A16="","",C16-D16)</f>
        <v/>
      </c>
    </row>
    <row r="17">
      <c r="A17" s="15" t="n"/>
      <c r="B17" s="16" t="n"/>
      <c r="C17" s="18" t="n"/>
      <c r="D17" s="18" t="n"/>
      <c r="E17" s="19">
        <f>IF(A17="","",C17-D17)</f>
        <v/>
      </c>
    </row>
    <row r="18">
      <c r="A18" s="15" t="n"/>
      <c r="B18" s="16" t="n"/>
      <c r="C18" s="18" t="n"/>
      <c r="D18" s="18" t="n"/>
      <c r="E18" s="19">
        <f>IF(A18="","",C18-D18)</f>
        <v/>
      </c>
    </row>
    <row r="19">
      <c r="A19" s="15" t="n"/>
      <c r="B19" s="16" t="n"/>
      <c r="C19" s="18" t="n"/>
      <c r="D19" s="18" t="n"/>
      <c r="E19" s="19">
        <f>IF(A19="","",C19-D19)</f>
        <v/>
      </c>
    </row>
    <row r="20">
      <c r="A20" s="15" t="n"/>
      <c r="B20" s="16" t="n"/>
      <c r="C20" s="18" t="n"/>
      <c r="D20" s="18" t="n"/>
      <c r="E20" s="19">
        <f>IF(A20="","",C20-D20)</f>
        <v/>
      </c>
    </row>
    <row r="21">
      <c r="A21" s="15" t="n"/>
      <c r="B21" s="16" t="n"/>
      <c r="C21" s="18" t="n"/>
      <c r="D21" s="18" t="n"/>
      <c r="E21" s="19">
        <f>IF(A21="","",C21-D21)</f>
        <v/>
      </c>
    </row>
    <row r="22">
      <c r="A22" s="15" t="n"/>
      <c r="B22" s="16" t="n"/>
      <c r="C22" s="18" t="n"/>
      <c r="D22" s="18" t="n"/>
      <c r="E22" s="19">
        <f>IF(A22="","",C22-D22)</f>
        <v/>
      </c>
    </row>
    <row r="23">
      <c r="A23" s="15" t="n"/>
      <c r="B23" s="16" t="n"/>
      <c r="C23" s="18" t="n"/>
      <c r="D23" s="18" t="n"/>
      <c r="E23" s="19">
        <f>IF(A23="","",C23-D23)</f>
        <v/>
      </c>
    </row>
    <row r="24">
      <c r="A24" s="15" t="n"/>
      <c r="B24" s="16" t="n"/>
      <c r="C24" s="18" t="n"/>
      <c r="D24" s="18" t="n"/>
      <c r="E24" s="19">
        <f>IF(A24="","",C24-D24)</f>
        <v/>
      </c>
    </row>
    <row r="25">
      <c r="A25" s="15" t="n"/>
      <c r="B25" s="16" t="n"/>
      <c r="C25" s="18" t="n"/>
      <c r="D25" s="18" t="n"/>
      <c r="E25" s="19">
        <f>IF(A25="","",C25-D25)</f>
        <v/>
      </c>
    </row>
    <row r="26">
      <c r="A26" s="15" t="n"/>
      <c r="B26" s="16" t="n"/>
      <c r="C26" s="18" t="n"/>
      <c r="D26" s="18" t="n"/>
      <c r="E26" s="19">
        <f>IF(A26="","",C26-D26)</f>
        <v/>
      </c>
    </row>
    <row r="27">
      <c r="A27" s="15" t="n"/>
      <c r="B27" s="16" t="n"/>
      <c r="C27" s="18" t="n"/>
      <c r="D27" s="18" t="n"/>
      <c r="E27" s="19">
        <f>IF(A27="","",C27-D27)</f>
        <v/>
      </c>
    </row>
    <row r="28">
      <c r="A28" s="15" t="n"/>
      <c r="B28" s="16" t="n"/>
      <c r="C28" s="18" t="n"/>
      <c r="D28" s="18" t="n"/>
      <c r="E28" s="19">
        <f>IF(A28="","",C28-D28)</f>
        <v/>
      </c>
    </row>
    <row r="29">
      <c r="A29" s="15" t="n"/>
      <c r="B29" s="16" t="n"/>
      <c r="C29" s="18" t="n"/>
      <c r="D29" s="18" t="n"/>
      <c r="E29" s="19">
        <f>IF(A29="","",C29-D29)</f>
        <v/>
      </c>
    </row>
    <row r="30">
      <c r="A30" s="15" t="n"/>
      <c r="B30" s="16" t="n"/>
      <c r="C30" s="18" t="n"/>
      <c r="D30" s="18" t="n"/>
      <c r="E30" s="19">
        <f>IF(A30="","",C30-D30)</f>
        <v/>
      </c>
    </row>
    <row r="31">
      <c r="A31" s="15" t="n"/>
      <c r="B31" s="16" t="n"/>
      <c r="C31" s="18" t="n"/>
      <c r="D31" s="18" t="n"/>
      <c r="E31" s="19">
        <f>IF(A31="","",C31-D31)</f>
        <v/>
      </c>
    </row>
    <row r="32">
      <c r="A32" s="15" t="n"/>
      <c r="B32" s="16" t="n"/>
      <c r="C32" s="18" t="n"/>
      <c r="D32" s="18" t="n"/>
      <c r="E32" s="19">
        <f>IF(A32="","",C32-D32)</f>
        <v/>
      </c>
    </row>
    <row r="33">
      <c r="A33" s="15" t="n"/>
      <c r="B33" s="16" t="n"/>
      <c r="C33" s="18" t="n"/>
      <c r="D33" s="18" t="n"/>
      <c r="E33" s="19">
        <f>IF(A33="","",C33-D33)</f>
        <v/>
      </c>
    </row>
  </sheetData>
  <conditionalFormatting sqref="C2:C33">
    <cfRule type="cellIs" priority="1" operator="lessThan" dxfId="0">
      <formula>0</formula>
    </cfRule>
  </conditionalFormatting>
  <conditionalFormatting sqref="D2:D33">
    <cfRule type="cellIs" priority="2" operator="lessThan" dxfId="0">
      <formula>0</formula>
    </cfRule>
  </conditionalFormatting>
  <conditionalFormatting sqref="E2:E3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Eventos y Finanzas para Asociaciones y Voluntarios</dc:title>
  <dcterms:created xsi:type="dcterms:W3CDTF">2026-10-01T06:01:36Z</dcterms:created>
  <dcterms:modified xsi:type="dcterms:W3CDTF">2026-10-01T06:01:36Z</dcterms:modified>
</cp:coreProperties>
</file>