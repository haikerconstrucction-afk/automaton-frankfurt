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费用记录" sheetId="3" state="visible" r:id="rId3"/>
    <sheet name="预算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费用类别分析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'费用记录'!E1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'费用记录'!$B$2:$B$4</f>
            </numRef>
          </cat>
          <val>
            <numRef>
              <f>'费用记录'!$E$2:$E$4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522" displayName="T______2522" ref="A1:E64" headerRowCount="1">
  <autoFilter ref="A1:E64"/>
  <tableColumns count="5">
    <tableColumn id="1" name="日期"/>
    <tableColumn id="2" name="类别"/>
    <tableColumn id="3" name="数量"/>
    <tableColumn id="4" name="单价"/>
    <tableColumn id="5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__3617" displayName="T______3617" ref="A1:D14" headerRowCount="1">
  <autoFilter ref="A1:D14"/>
  <tableColumns count="4">
    <tableColumn id="1" name="类别"/>
    <tableColumn id="2" name="预算"/>
    <tableColumn id="3" name="实际支出"/>
    <tableColumn id="4" name="差额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6153;&#29992;&#35760;&#24405;'!A1" TargetMode="External" Id="rId2" /><Relationship Type="http://schemas.openxmlformats.org/officeDocument/2006/relationships/hyperlink" Target="#'&#39044;&#31639;&#20998;&#26512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智能搬家与装修预算跟踪器</t>
        </is>
      </c>
    </row>
    <row r="3" ht="45" customHeight="1">
      <c r="C3" s="2" t="inlineStr">
        <is>
          <t>专业搬家与装修预算管理工具，实时跟踪费用并优化支出。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输入搬家或装修的基本信息</t>
        </is>
      </c>
    </row>
    <row r="7" ht="18" customHeight="1">
      <c r="B7" s="4" t="inlineStr">
        <is>
          <t>2.</t>
        </is>
      </c>
      <c r="C7" s="5" t="inlineStr">
        <is>
          <t>记录每一笔费用，包括材料、人工等</t>
        </is>
      </c>
    </row>
    <row r="8" ht="18" customHeight="1">
      <c r="B8" s="4" t="inlineStr">
        <is>
          <t>3.</t>
        </is>
      </c>
      <c r="C8" s="5" t="inlineStr">
        <is>
          <t>使用下拉菜单快速分类费用</t>
        </is>
      </c>
    </row>
    <row r="9" ht="18" customHeight="1">
      <c r="B9" s="4" t="inlineStr">
        <is>
          <t>4.</t>
        </is>
      </c>
      <c r="C9" s="5" t="inlineStr">
        <is>
          <t>查看自动计算的费用总和</t>
        </is>
      </c>
    </row>
    <row r="10" ht="18" customHeight="1">
      <c r="B10" s="4" t="inlineStr">
        <is>
          <t>5.</t>
        </is>
      </c>
      <c r="C10" s="5" t="inlineStr">
        <is>
          <t>使用图表分析支出情况</t>
        </is>
      </c>
    </row>
    <row r="11" ht="18" customHeight="1">
      <c r="B11" s="4" t="inlineStr">
        <is>
          <t>6.</t>
        </is>
      </c>
      <c r="C11" s="5" t="inlineStr">
        <is>
          <t>导出数据以备记录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费用记录</t>
        </is>
      </c>
    </row>
    <row r="18">
      <c r="C18" s="7" t="inlineStr">
        <is>
          <t>→ 预算分析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智能搬家与装修预算跟踪器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SUM('费用记录'!E2:E300)</f>
        <v/>
      </c>
    </row>
    <row r="6" ht="24" customHeight="1">
      <c r="B6" s="11" t="inlineStr">
        <is>
          <t>总预算</t>
        </is>
      </c>
      <c r="C6" s="12">
        <f>SUM('预算分析'!B2:B300)</f>
        <v/>
      </c>
    </row>
    <row r="7" ht="24" customHeight="1">
      <c r="B7" s="11" t="inlineStr">
        <is>
          <t>总差额</t>
        </is>
      </c>
      <c r="C7" s="12">
        <f>SUM('预算分析'!D2:D300)</f>
        <v/>
      </c>
    </row>
    <row r="8" ht="24" customHeight="1">
      <c r="B8" s="11" t="inlineStr">
        <is>
          <t>费用记录数</t>
        </is>
      </c>
      <c r="C8" s="13">
        <f>COUNTA('费用记录'!A2:A300)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数量</t>
        </is>
      </c>
      <c r="D1" s="14" t="inlineStr">
        <is>
          <t>单价</t>
        </is>
      </c>
      <c r="E1" s="14" t="inlineStr">
        <is>
          <t>总价</t>
        </is>
      </c>
    </row>
    <row r="2">
      <c r="A2" s="15" t="n">
        <v>46037</v>
      </c>
      <c r="B2" s="16" t="inlineStr">
        <is>
          <t>材料</t>
        </is>
      </c>
      <c r="C2" s="17" t="n">
        <v>3</v>
      </c>
      <c r="D2" s="18" t="n">
        <v>12.5</v>
      </c>
      <c r="E2" s="19">
        <f>C2*D2</f>
        <v/>
      </c>
    </row>
    <row r="3">
      <c r="A3" s="15" t="n">
        <v>46038</v>
      </c>
      <c r="B3" s="16" t="inlineStr">
        <is>
          <t>人工</t>
        </is>
      </c>
      <c r="C3" s="17" t="n">
        <v>5</v>
      </c>
      <c r="D3" s="18" t="n">
        <v>20</v>
      </c>
      <c r="E3" s="19">
        <f>C3*D3</f>
        <v/>
      </c>
    </row>
    <row r="4">
      <c r="A4" s="15" t="n">
        <v>46039</v>
      </c>
      <c r="B4" s="16" t="inlineStr">
        <is>
          <t>其他</t>
        </is>
      </c>
      <c r="C4" s="17" t="n">
        <v>2</v>
      </c>
      <c r="D4" s="18" t="n">
        <v>15</v>
      </c>
      <c r="E4" s="19">
        <f>C4*D4</f>
        <v/>
      </c>
    </row>
    <row r="5">
      <c r="A5" s="15" t="n"/>
      <c r="B5" s="16" t="n"/>
      <c r="C5" s="17" t="n"/>
      <c r="D5" s="18" t="n"/>
      <c r="E5" s="19">
        <f>IF(A5="","",C5*D5)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"材料,人工,其他"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类别</t>
        </is>
      </c>
      <c r="B1" s="14" t="inlineStr">
        <is>
          <t>预算</t>
        </is>
      </c>
      <c r="C1" s="14" t="inlineStr">
        <is>
          <t>实际支出</t>
        </is>
      </c>
      <c r="D1" s="14" t="inlineStr">
        <is>
          <t>差额</t>
        </is>
      </c>
    </row>
    <row r="2">
      <c r="A2" s="16" t="inlineStr">
        <is>
          <t>材料</t>
        </is>
      </c>
      <c r="B2" s="18" t="n">
        <v>500</v>
      </c>
      <c r="C2" s="18" t="inlineStr"/>
      <c r="D2" s="19">
        <f>B2-C2</f>
        <v/>
      </c>
    </row>
    <row r="3">
      <c r="A3" s="16" t="inlineStr">
        <is>
          <t>人工</t>
        </is>
      </c>
      <c r="B3" s="18" t="n">
        <v>1000</v>
      </c>
      <c r="C3" s="18" t="inlineStr"/>
      <c r="D3" s="19">
        <f>B3-C3</f>
        <v/>
      </c>
    </row>
    <row r="4">
      <c r="A4" s="16" t="inlineStr">
        <is>
          <t>其他</t>
        </is>
      </c>
      <c r="B4" s="18" t="n">
        <v>200</v>
      </c>
      <c r="C4" s="18" t="inlineStr"/>
      <c r="D4" s="19">
        <f>B4-C4</f>
        <v/>
      </c>
    </row>
    <row r="5">
      <c r="A5" s="16" t="n"/>
      <c r="B5" s="18" t="n"/>
      <c r="C5" s="18" t="n"/>
      <c r="D5" s="19">
        <f>IF(A5="","",B5-C5)</f>
        <v/>
      </c>
    </row>
    <row r="6">
      <c r="A6" s="16" t="n"/>
      <c r="B6" s="18" t="n"/>
      <c r="C6" s="18" t="n"/>
      <c r="D6" s="19">
        <f>IF(A6="","",B6-C6)</f>
        <v/>
      </c>
    </row>
    <row r="7">
      <c r="A7" s="16" t="n"/>
      <c r="B7" s="18" t="n"/>
      <c r="C7" s="18" t="n"/>
      <c r="D7" s="19">
        <f>IF(A7="","",B7-C7)</f>
        <v/>
      </c>
    </row>
    <row r="8">
      <c r="A8" s="16" t="n"/>
      <c r="B8" s="18" t="n"/>
      <c r="C8" s="18" t="n"/>
      <c r="D8" s="19">
        <f>IF(A8="","",B8-C8)</f>
        <v/>
      </c>
    </row>
    <row r="9">
      <c r="A9" s="16" t="n"/>
      <c r="B9" s="18" t="n"/>
      <c r="C9" s="18" t="n"/>
      <c r="D9" s="19">
        <f>IF(A9="","",B9-C9)</f>
        <v/>
      </c>
    </row>
    <row r="10">
      <c r="A10" s="16" t="n"/>
      <c r="B10" s="18" t="n"/>
      <c r="C10" s="18" t="n"/>
      <c r="D10" s="19">
        <f>IF(A10="","",B10-C10)</f>
        <v/>
      </c>
    </row>
    <row r="11">
      <c r="A11" s="16" t="n"/>
      <c r="B11" s="18" t="n"/>
      <c r="C11" s="18" t="n"/>
      <c r="D11" s="19">
        <f>IF(A11="","",B11-C11)</f>
        <v/>
      </c>
    </row>
    <row r="12">
      <c r="A12" s="16" t="n"/>
      <c r="B12" s="18" t="n"/>
      <c r="C12" s="18" t="n"/>
      <c r="D12" s="19">
        <f>IF(A12="","",B12-C12)</f>
        <v/>
      </c>
    </row>
    <row r="13">
      <c r="A13" s="16" t="n"/>
      <c r="B13" s="18" t="n"/>
      <c r="C13" s="18" t="n"/>
      <c r="D13" s="19">
        <f>IF(A13="","",B13-C13)</f>
        <v/>
      </c>
    </row>
    <row r="14">
      <c r="A14" s="16" t="n"/>
      <c r="B14" s="18" t="n"/>
      <c r="C14" s="18" t="n"/>
      <c r="D14" s="19">
        <f>IF(A14="","",B14-C14)</f>
        <v/>
      </c>
    </row>
  </sheetData>
  <conditionalFormatting sqref="B2:B14">
    <cfRule type="cellIs" priority="1" operator="lessThan" dxfId="0">
      <formula>0</formula>
    </cfRule>
  </conditionalFormatting>
  <conditionalFormatting sqref="C2:C14">
    <cfRule type="cellIs" priority="2" operator="lessThan" dxfId="0">
      <formula>0</formula>
    </cfRule>
  </conditionalFormatting>
  <conditionalFormatting sqref="D2:D1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智能搬家与装修预算跟踪器</dc:title>
  <dcterms:created xsi:type="dcterms:W3CDTF">2026-10-29T05:58:09Z</dcterms:created>
  <dcterms:modified xsi:type="dcterms:W3CDTF">2026-10-29T05:58:09Z</dcterms:modified>
</cp:coreProperties>
</file>