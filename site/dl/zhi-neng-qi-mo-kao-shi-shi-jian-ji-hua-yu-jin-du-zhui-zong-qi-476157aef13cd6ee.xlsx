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考试计划" sheetId="3" state="visible" r:id="rId3"/>
    <sheet name="学习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2" fontId="7" fillId="3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各科目复习进度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'考试计划'!G1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'考试计划'!$B$2:$B$4</f>
            </numRef>
          </cat>
          <val>
            <numRef>
              <f>'考试计划'!$G$2:$G$4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285" displayName="T______2285" ref="A1:G64" headerRowCount="1">
  <autoFilter ref="A1:G64"/>
  <tableColumns count="7">
    <tableColumn id="1" name="考试日期"/>
    <tableColumn id="2" name="科目"/>
    <tableColumn id="3" name="主题"/>
    <tableColumn id="4" name="复习状态"/>
    <tableColumn id="5" name="计划学习时间"/>
    <tableColumn id="6" name="实际学习时间"/>
    <tableColumn id="7" name="进度百分比"/>
  </tableColumns>
  <tableStyleInfo name="TableStyleMedium7" showRowStripes="1"/>
</table>
</file>

<file path=xl/tables/table2.xml><?xml version="1.0" encoding="utf-8"?>
<table xmlns="http://schemas.openxmlformats.org/spreadsheetml/2006/main" id="2" name="T______3574" displayName="T______3574" ref="A1:E64" headerRowCount="1">
  <autoFilter ref="A1:E64"/>
  <tableColumns count="5">
    <tableColumn id="1" name="日期"/>
    <tableColumn id="2" name="科目"/>
    <tableColumn id="3" name="学习主题"/>
    <tableColumn id="4" name="学习时间"/>
    <tableColumn id="5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2771;&#35797;&#35745;&#21010;'!A1" TargetMode="External" Id="rId2" /><Relationship Type="http://schemas.openxmlformats.org/officeDocument/2006/relationships/hyperlink" Target="#'&#23398;&#20064;&#26085;&#24535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智能期末考试时间计划与进度追踪器 - 专业版</t>
        </is>
      </c>
    </row>
    <row r="3" ht="45" customHeight="1">
      <c r="C3" s="2" t="inlineStr">
        <is>
          <t>优化你的学习计划，轻松跟踪复习进度，确保高效备考。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输入考试日期和科目</t>
        </is>
      </c>
    </row>
    <row r="7" ht="18" customHeight="1">
      <c r="B7" s="4" t="inlineStr">
        <is>
          <t>2.</t>
        </is>
      </c>
      <c r="C7" s="5" t="inlineStr">
        <is>
          <t>分配每日学习时间</t>
        </is>
      </c>
    </row>
    <row r="8" ht="18" customHeight="1">
      <c r="B8" s="4" t="inlineStr">
        <is>
          <t>3.</t>
        </is>
      </c>
      <c r="C8" s="5" t="inlineStr">
        <is>
          <t>记录每个主题的复习状态</t>
        </is>
      </c>
    </row>
    <row r="9" ht="18" customHeight="1">
      <c r="B9" s="4" t="inlineStr">
        <is>
          <t>4.</t>
        </is>
      </c>
      <c r="C9" s="5" t="inlineStr">
        <is>
          <t>使用进度图表调整学习策略</t>
        </is>
      </c>
    </row>
    <row r="10" ht="18" customHeight="1">
      <c r="B10" s="4" t="inlineStr">
        <is>
          <t>5.</t>
        </is>
      </c>
      <c r="C10" s="5" t="inlineStr">
        <is>
          <t>定期检查KPIs以确保备考进度</t>
        </is>
      </c>
    </row>
    <row r="11" ht="18" customHeight="1">
      <c r="B11" s="4" t="inlineStr">
        <is>
          <t>6.</t>
        </is>
      </c>
      <c r="C11" s="5" t="inlineStr">
        <is>
          <t>导出报告以分享进展</t>
        </is>
      </c>
    </row>
    <row r="12" ht="18" customHeight="1">
      <c r="B12" s="4" t="inlineStr">
        <is>
          <t>7.</t>
        </is>
      </c>
      <c r="C12" s="5" t="inlineStr">
        <is>
          <t>根据反馈优化学习计划</t>
        </is>
      </c>
    </row>
    <row r="14">
      <c r="C14" s="6" t="inlineStr">
        <is>
          <t>只需填写白色单元格，绿色列会自动计算。</t>
        </is>
      </c>
    </row>
    <row r="16">
      <c r="C16" s="3" t="inlineStr">
        <is>
          <t>打开工作表</t>
        </is>
      </c>
    </row>
    <row r="17">
      <c r="C17" s="7" t="inlineStr">
        <is>
          <t>→ 总览</t>
        </is>
      </c>
    </row>
    <row r="18">
      <c r="C18" s="7" t="inlineStr">
        <is>
          <t>→ 考试计划</t>
        </is>
      </c>
    </row>
    <row r="19">
      <c r="C19" s="7" t="inlineStr">
        <is>
          <t>→ 学习日志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智能期末考试时间计划与进度追踪器 - 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总学习时间</t>
        </is>
      </c>
      <c r="C5" s="12">
        <f>SUM('学习日志'!D2:D300)</f>
        <v/>
      </c>
    </row>
    <row r="6" ht="24" customHeight="1">
      <c r="B6" s="11" t="inlineStr">
        <is>
          <t>总复习主题数</t>
        </is>
      </c>
      <c r="C6" s="13">
        <f>COUNTA('考试计划'!C2:C300)</f>
        <v/>
      </c>
    </row>
    <row r="7" ht="24" customHeight="1">
      <c r="B7" s="11" t="inlineStr">
        <is>
          <t>已完成主题数</t>
        </is>
      </c>
      <c r="C7" s="13">
        <f>COUNTIF('考试计划'!D2:D300,'已完成')</f>
        <v/>
      </c>
    </row>
    <row r="8" ht="24" customHeight="1">
      <c r="B8" s="11" t="inlineStr">
        <is>
          <t>平均每日学习时间</t>
        </is>
      </c>
      <c r="C8" s="12">
        <f>AVERAGE('学习日志'!D2:D300)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39" customWidth="1" min="6" max="6"/>
    <col width="40" customWidth="1" min="7" max="7"/>
  </cols>
  <sheetData>
    <row r="1" ht="32" customHeight="1">
      <c r="A1" s="14" t="inlineStr">
        <is>
          <t>考试日期</t>
        </is>
      </c>
      <c r="B1" s="14" t="inlineStr">
        <is>
          <t>科目</t>
        </is>
      </c>
      <c r="C1" s="14" t="inlineStr">
        <is>
          <t>主题</t>
        </is>
      </c>
      <c r="D1" s="14" t="inlineStr">
        <is>
          <t>复习状态</t>
        </is>
      </c>
      <c r="E1" s="14" t="inlineStr">
        <is>
          <t>计划学习时间</t>
        </is>
      </c>
      <c r="F1" s="14" t="inlineStr">
        <is>
          <t>实际学习时间</t>
        </is>
      </c>
      <c r="G1" s="14" t="inlineStr">
        <is>
          <t>进度百分比</t>
        </is>
      </c>
    </row>
    <row r="2">
      <c r="A2" s="15" t="n">
        <v>46188</v>
      </c>
      <c r="B2" s="16" t="inlineStr">
        <is>
          <t>数学</t>
        </is>
      </c>
      <c r="C2" s="16" t="inlineStr">
        <is>
          <t>微积分</t>
        </is>
      </c>
      <c r="D2" s="16" t="inlineStr">
        <is>
          <t>未开始</t>
        </is>
      </c>
      <c r="E2" s="17" t="n">
        <v>2</v>
      </c>
      <c r="F2" s="18">
        <f>IF(D2='已完成',E2,F2)</f>
        <v/>
      </c>
      <c r="G2" s="19">
        <f>IF(F2&gt;0,F2/E2*100,0)</f>
        <v/>
      </c>
    </row>
    <row r="3">
      <c r="A3" s="15" t="n">
        <v>46188</v>
      </c>
      <c r="B3" s="16" t="inlineStr">
        <is>
          <t>数学</t>
        </is>
      </c>
      <c r="C3" s="16" t="inlineStr">
        <is>
          <t>线性代数</t>
        </is>
      </c>
      <c r="D3" s="16" t="inlineStr">
        <is>
          <t>进行中</t>
        </is>
      </c>
      <c r="E3" s="17" t="n">
        <v>3</v>
      </c>
      <c r="F3" s="18">
        <f>IF(D3='已完成',E3,F3)</f>
        <v/>
      </c>
      <c r="G3" s="19">
        <f>IF(F3&gt;0,F3/E3*100,0)</f>
        <v/>
      </c>
    </row>
    <row r="4">
      <c r="A4" s="15" t="n">
        <v>46189</v>
      </c>
      <c r="B4" s="16" t="inlineStr">
        <is>
          <t>物理</t>
        </is>
      </c>
      <c r="C4" s="16" t="inlineStr">
        <is>
          <t>量子力学</t>
        </is>
      </c>
      <c r="D4" s="16" t="inlineStr">
        <is>
          <t>已完成</t>
        </is>
      </c>
      <c r="E4" s="17" t="n">
        <v>4</v>
      </c>
      <c r="F4" s="18">
        <f>IF(D4='已完成',E4,F4)</f>
        <v/>
      </c>
      <c r="G4" s="19">
        <f>IF(F4&gt;0,F4/E4*100,0)</f>
        <v/>
      </c>
    </row>
    <row r="5">
      <c r="A5" s="15" t="n"/>
      <c r="B5" s="16" t="n"/>
      <c r="C5" s="16" t="n"/>
      <c r="D5" s="16" t="n"/>
      <c r="E5" s="17" t="n"/>
      <c r="F5" s="18">
        <f>IF(A5="","",IF(D5='已完成',E5,F5))</f>
        <v/>
      </c>
      <c r="G5" s="19">
        <f>IF(A5="","",IF(F5&gt;0,F5/E5*100,0))</f>
        <v/>
      </c>
    </row>
    <row r="6">
      <c r="A6" s="15" t="n"/>
      <c r="B6" s="16" t="n"/>
      <c r="C6" s="16" t="n"/>
      <c r="D6" s="16" t="n"/>
      <c r="E6" s="17" t="n"/>
      <c r="F6" s="18">
        <f>IF(A6="","",IF(D6='已完成',E6,F6))</f>
        <v/>
      </c>
      <c r="G6" s="19">
        <f>IF(A6="","",IF(F6&gt;0,F6/E6*100,0))</f>
        <v/>
      </c>
    </row>
    <row r="7">
      <c r="A7" s="15" t="n"/>
      <c r="B7" s="16" t="n"/>
      <c r="C7" s="16" t="n"/>
      <c r="D7" s="16" t="n"/>
      <c r="E7" s="17" t="n"/>
      <c r="F7" s="18">
        <f>IF(A7="","",IF(D7='已完成',E7,F7))</f>
        <v/>
      </c>
      <c r="G7" s="19">
        <f>IF(A7="","",IF(F7&gt;0,F7/E7*100,0))</f>
        <v/>
      </c>
    </row>
    <row r="8">
      <c r="A8" s="15" t="n"/>
      <c r="B8" s="16" t="n"/>
      <c r="C8" s="16" t="n"/>
      <c r="D8" s="16" t="n"/>
      <c r="E8" s="17" t="n"/>
      <c r="F8" s="18">
        <f>IF(A8="","",IF(D8='已完成',E8,F8))</f>
        <v/>
      </c>
      <c r="G8" s="19">
        <f>IF(A8="","",IF(F8&gt;0,F8/E8*100,0))</f>
        <v/>
      </c>
    </row>
    <row r="9">
      <c r="A9" s="15" t="n"/>
      <c r="B9" s="16" t="n"/>
      <c r="C9" s="16" t="n"/>
      <c r="D9" s="16" t="n"/>
      <c r="E9" s="17" t="n"/>
      <c r="F9" s="18">
        <f>IF(A9="","",IF(D9='已完成',E9,F9))</f>
        <v/>
      </c>
      <c r="G9" s="19">
        <f>IF(A9="","",IF(F9&gt;0,F9/E9*100,0))</f>
        <v/>
      </c>
    </row>
    <row r="10">
      <c r="A10" s="15" t="n"/>
      <c r="B10" s="16" t="n"/>
      <c r="C10" s="16" t="n"/>
      <c r="D10" s="16" t="n"/>
      <c r="E10" s="17" t="n"/>
      <c r="F10" s="18">
        <f>IF(A10="","",IF(D10='已完成',E10,F10))</f>
        <v/>
      </c>
      <c r="G10" s="19">
        <f>IF(A10="","",IF(F10&gt;0,F10/E10*100,0))</f>
        <v/>
      </c>
    </row>
    <row r="11">
      <c r="A11" s="15" t="n"/>
      <c r="B11" s="16" t="n"/>
      <c r="C11" s="16" t="n"/>
      <c r="D11" s="16" t="n"/>
      <c r="E11" s="17" t="n"/>
      <c r="F11" s="18">
        <f>IF(A11="","",IF(D11='已完成',E11,F11))</f>
        <v/>
      </c>
      <c r="G11" s="19">
        <f>IF(A11="","",IF(F11&gt;0,F11/E11*100,0))</f>
        <v/>
      </c>
    </row>
    <row r="12">
      <c r="A12" s="15" t="n"/>
      <c r="B12" s="16" t="n"/>
      <c r="C12" s="16" t="n"/>
      <c r="D12" s="16" t="n"/>
      <c r="E12" s="17" t="n"/>
      <c r="F12" s="18">
        <f>IF(A12="","",IF(D12='已完成',E12,F12))</f>
        <v/>
      </c>
      <c r="G12" s="19">
        <f>IF(A12="","",IF(F12&gt;0,F12/E12*100,0))</f>
        <v/>
      </c>
    </row>
    <row r="13">
      <c r="A13" s="15" t="n"/>
      <c r="B13" s="16" t="n"/>
      <c r="C13" s="16" t="n"/>
      <c r="D13" s="16" t="n"/>
      <c r="E13" s="17" t="n"/>
      <c r="F13" s="18">
        <f>IF(A13="","",IF(D13='已完成',E13,F13))</f>
        <v/>
      </c>
      <c r="G13" s="19">
        <f>IF(A13="","",IF(F13&gt;0,F13/E13*100,0))</f>
        <v/>
      </c>
    </row>
    <row r="14">
      <c r="A14" s="15" t="n"/>
      <c r="B14" s="16" t="n"/>
      <c r="C14" s="16" t="n"/>
      <c r="D14" s="16" t="n"/>
      <c r="E14" s="17" t="n"/>
      <c r="F14" s="18">
        <f>IF(A14="","",IF(D14='已完成',E14,F14))</f>
        <v/>
      </c>
      <c r="G14" s="19">
        <f>IF(A14="","",IF(F14&gt;0,F14/E14*100,0))</f>
        <v/>
      </c>
    </row>
    <row r="15">
      <c r="A15" s="15" t="n"/>
      <c r="B15" s="16" t="n"/>
      <c r="C15" s="16" t="n"/>
      <c r="D15" s="16" t="n"/>
      <c r="E15" s="17" t="n"/>
      <c r="F15" s="18">
        <f>IF(A15="","",IF(D15='已完成',E15,F15))</f>
        <v/>
      </c>
      <c r="G15" s="19">
        <f>IF(A15="","",IF(F15&gt;0,F15/E15*100,0))</f>
        <v/>
      </c>
    </row>
    <row r="16">
      <c r="A16" s="15" t="n"/>
      <c r="B16" s="16" t="n"/>
      <c r="C16" s="16" t="n"/>
      <c r="D16" s="16" t="n"/>
      <c r="E16" s="17" t="n"/>
      <c r="F16" s="18">
        <f>IF(A16="","",IF(D16='已完成',E16,F16))</f>
        <v/>
      </c>
      <c r="G16" s="19">
        <f>IF(A16="","",IF(F16&gt;0,F16/E16*100,0))</f>
        <v/>
      </c>
    </row>
    <row r="17">
      <c r="A17" s="15" t="n"/>
      <c r="B17" s="16" t="n"/>
      <c r="C17" s="16" t="n"/>
      <c r="D17" s="16" t="n"/>
      <c r="E17" s="17" t="n"/>
      <c r="F17" s="18">
        <f>IF(A17="","",IF(D17='已完成',E17,F17))</f>
        <v/>
      </c>
      <c r="G17" s="19">
        <f>IF(A17="","",IF(F17&gt;0,F17/E17*100,0))</f>
        <v/>
      </c>
    </row>
    <row r="18">
      <c r="A18" s="15" t="n"/>
      <c r="B18" s="16" t="n"/>
      <c r="C18" s="16" t="n"/>
      <c r="D18" s="16" t="n"/>
      <c r="E18" s="17" t="n"/>
      <c r="F18" s="18">
        <f>IF(A18="","",IF(D18='已完成',E18,F18))</f>
        <v/>
      </c>
      <c r="G18" s="19">
        <f>IF(A18="","",IF(F18&gt;0,F18/E18*100,0))</f>
        <v/>
      </c>
    </row>
    <row r="19">
      <c r="A19" s="15" t="n"/>
      <c r="B19" s="16" t="n"/>
      <c r="C19" s="16" t="n"/>
      <c r="D19" s="16" t="n"/>
      <c r="E19" s="17" t="n"/>
      <c r="F19" s="18">
        <f>IF(A19="","",IF(D19='已完成',E19,F19))</f>
        <v/>
      </c>
      <c r="G19" s="19">
        <f>IF(A19="","",IF(F19&gt;0,F19/E19*100,0))</f>
        <v/>
      </c>
    </row>
    <row r="20">
      <c r="A20" s="15" t="n"/>
      <c r="B20" s="16" t="n"/>
      <c r="C20" s="16" t="n"/>
      <c r="D20" s="16" t="n"/>
      <c r="E20" s="17" t="n"/>
      <c r="F20" s="18">
        <f>IF(A20="","",IF(D20='已完成',E20,F20))</f>
        <v/>
      </c>
      <c r="G20" s="19">
        <f>IF(A20="","",IF(F20&gt;0,F20/E20*100,0))</f>
        <v/>
      </c>
    </row>
    <row r="21">
      <c r="A21" s="15" t="n"/>
      <c r="B21" s="16" t="n"/>
      <c r="C21" s="16" t="n"/>
      <c r="D21" s="16" t="n"/>
      <c r="E21" s="17" t="n"/>
      <c r="F21" s="18">
        <f>IF(A21="","",IF(D21='已完成',E21,F21))</f>
        <v/>
      </c>
      <c r="G21" s="19">
        <f>IF(A21="","",IF(F21&gt;0,F21/E21*100,0))</f>
        <v/>
      </c>
    </row>
    <row r="22">
      <c r="A22" s="15" t="n"/>
      <c r="B22" s="16" t="n"/>
      <c r="C22" s="16" t="n"/>
      <c r="D22" s="16" t="n"/>
      <c r="E22" s="17" t="n"/>
      <c r="F22" s="18">
        <f>IF(A22="","",IF(D22='已完成',E22,F22))</f>
        <v/>
      </c>
      <c r="G22" s="19">
        <f>IF(A22="","",IF(F22&gt;0,F22/E22*100,0))</f>
        <v/>
      </c>
    </row>
    <row r="23">
      <c r="A23" s="15" t="n"/>
      <c r="B23" s="16" t="n"/>
      <c r="C23" s="16" t="n"/>
      <c r="D23" s="16" t="n"/>
      <c r="E23" s="17" t="n"/>
      <c r="F23" s="18">
        <f>IF(A23="","",IF(D23='已完成',E23,F23))</f>
        <v/>
      </c>
      <c r="G23" s="19">
        <f>IF(A23="","",IF(F23&gt;0,F23/E23*100,0))</f>
        <v/>
      </c>
    </row>
    <row r="24">
      <c r="A24" s="15" t="n"/>
      <c r="B24" s="16" t="n"/>
      <c r="C24" s="16" t="n"/>
      <c r="D24" s="16" t="n"/>
      <c r="E24" s="17" t="n"/>
      <c r="F24" s="18">
        <f>IF(A24="","",IF(D24='已完成',E24,F24))</f>
        <v/>
      </c>
      <c r="G24" s="19">
        <f>IF(A24="","",IF(F24&gt;0,F24/E24*100,0))</f>
        <v/>
      </c>
    </row>
    <row r="25">
      <c r="A25" s="15" t="n"/>
      <c r="B25" s="16" t="n"/>
      <c r="C25" s="16" t="n"/>
      <c r="D25" s="16" t="n"/>
      <c r="E25" s="17" t="n"/>
      <c r="F25" s="18">
        <f>IF(A25="","",IF(D25='已完成',E25,F25))</f>
        <v/>
      </c>
      <c r="G25" s="19">
        <f>IF(A25="","",IF(F25&gt;0,F25/E25*100,0))</f>
        <v/>
      </c>
    </row>
    <row r="26">
      <c r="A26" s="15" t="n"/>
      <c r="B26" s="16" t="n"/>
      <c r="C26" s="16" t="n"/>
      <c r="D26" s="16" t="n"/>
      <c r="E26" s="17" t="n"/>
      <c r="F26" s="18">
        <f>IF(A26="","",IF(D26='已完成',E26,F26))</f>
        <v/>
      </c>
      <c r="G26" s="19">
        <f>IF(A26="","",IF(F26&gt;0,F26/E26*100,0))</f>
        <v/>
      </c>
    </row>
    <row r="27">
      <c r="A27" s="15" t="n"/>
      <c r="B27" s="16" t="n"/>
      <c r="C27" s="16" t="n"/>
      <c r="D27" s="16" t="n"/>
      <c r="E27" s="17" t="n"/>
      <c r="F27" s="18">
        <f>IF(A27="","",IF(D27='已完成',E27,F27))</f>
        <v/>
      </c>
      <c r="G27" s="19">
        <f>IF(A27="","",IF(F27&gt;0,F27/E27*100,0))</f>
        <v/>
      </c>
    </row>
    <row r="28">
      <c r="A28" s="15" t="n"/>
      <c r="B28" s="16" t="n"/>
      <c r="C28" s="16" t="n"/>
      <c r="D28" s="16" t="n"/>
      <c r="E28" s="17" t="n"/>
      <c r="F28" s="18">
        <f>IF(A28="","",IF(D28='已完成',E28,F28))</f>
        <v/>
      </c>
      <c r="G28" s="19">
        <f>IF(A28="","",IF(F28&gt;0,F28/E28*100,0))</f>
        <v/>
      </c>
    </row>
    <row r="29">
      <c r="A29" s="15" t="n"/>
      <c r="B29" s="16" t="n"/>
      <c r="C29" s="16" t="n"/>
      <c r="D29" s="16" t="n"/>
      <c r="E29" s="17" t="n"/>
      <c r="F29" s="18">
        <f>IF(A29="","",IF(D29='已完成',E29,F29))</f>
        <v/>
      </c>
      <c r="G29" s="19">
        <f>IF(A29="","",IF(F29&gt;0,F29/E29*100,0))</f>
        <v/>
      </c>
    </row>
    <row r="30">
      <c r="A30" s="15" t="n"/>
      <c r="B30" s="16" t="n"/>
      <c r="C30" s="16" t="n"/>
      <c r="D30" s="16" t="n"/>
      <c r="E30" s="17" t="n"/>
      <c r="F30" s="18">
        <f>IF(A30="","",IF(D30='已完成',E30,F30))</f>
        <v/>
      </c>
      <c r="G30" s="19">
        <f>IF(A30="","",IF(F30&gt;0,F30/E30*100,0))</f>
        <v/>
      </c>
    </row>
    <row r="31">
      <c r="A31" s="15" t="n"/>
      <c r="B31" s="16" t="n"/>
      <c r="C31" s="16" t="n"/>
      <c r="D31" s="16" t="n"/>
      <c r="E31" s="17" t="n"/>
      <c r="F31" s="18">
        <f>IF(A31="","",IF(D31='已完成',E31,F31))</f>
        <v/>
      </c>
      <c r="G31" s="19">
        <f>IF(A31="","",IF(F31&gt;0,F31/E31*100,0))</f>
        <v/>
      </c>
    </row>
    <row r="32">
      <c r="A32" s="15" t="n"/>
      <c r="B32" s="16" t="n"/>
      <c r="C32" s="16" t="n"/>
      <c r="D32" s="16" t="n"/>
      <c r="E32" s="17" t="n"/>
      <c r="F32" s="18">
        <f>IF(A32="","",IF(D32='已完成',E32,F32))</f>
        <v/>
      </c>
      <c r="G32" s="19">
        <f>IF(A32="","",IF(F32&gt;0,F32/E32*100,0))</f>
        <v/>
      </c>
    </row>
    <row r="33">
      <c r="A33" s="15" t="n"/>
      <c r="B33" s="16" t="n"/>
      <c r="C33" s="16" t="n"/>
      <c r="D33" s="16" t="n"/>
      <c r="E33" s="17" t="n"/>
      <c r="F33" s="18">
        <f>IF(A33="","",IF(D33='已完成',E33,F33))</f>
        <v/>
      </c>
      <c r="G33" s="19">
        <f>IF(A33="","",IF(F33&gt;0,F33/E33*100,0))</f>
        <v/>
      </c>
    </row>
    <row r="34">
      <c r="A34" s="15" t="n"/>
      <c r="B34" s="16" t="n"/>
      <c r="C34" s="16" t="n"/>
      <c r="D34" s="16" t="n"/>
      <c r="E34" s="17" t="n"/>
      <c r="F34" s="18">
        <f>IF(A34="","",IF(D34='已完成',E34,F34))</f>
        <v/>
      </c>
      <c r="G34" s="19">
        <f>IF(A34="","",IF(F34&gt;0,F34/E34*100,0))</f>
        <v/>
      </c>
    </row>
    <row r="35">
      <c r="A35" s="15" t="n"/>
      <c r="B35" s="16" t="n"/>
      <c r="C35" s="16" t="n"/>
      <c r="D35" s="16" t="n"/>
      <c r="E35" s="17" t="n"/>
      <c r="F35" s="18">
        <f>IF(A35="","",IF(D35='已完成',E35,F35))</f>
        <v/>
      </c>
      <c r="G35" s="19">
        <f>IF(A35="","",IF(F35&gt;0,F35/E35*100,0))</f>
        <v/>
      </c>
    </row>
    <row r="36">
      <c r="A36" s="15" t="n"/>
      <c r="B36" s="16" t="n"/>
      <c r="C36" s="16" t="n"/>
      <c r="D36" s="16" t="n"/>
      <c r="E36" s="17" t="n"/>
      <c r="F36" s="18">
        <f>IF(A36="","",IF(D36='已完成',E36,F36))</f>
        <v/>
      </c>
      <c r="G36" s="19">
        <f>IF(A36="","",IF(F36&gt;0,F36/E36*100,0))</f>
        <v/>
      </c>
    </row>
    <row r="37">
      <c r="A37" s="15" t="n"/>
      <c r="B37" s="16" t="n"/>
      <c r="C37" s="16" t="n"/>
      <c r="D37" s="16" t="n"/>
      <c r="E37" s="17" t="n"/>
      <c r="F37" s="18">
        <f>IF(A37="","",IF(D37='已完成',E37,F37))</f>
        <v/>
      </c>
      <c r="G37" s="19">
        <f>IF(A37="","",IF(F37&gt;0,F37/E37*100,0))</f>
        <v/>
      </c>
    </row>
    <row r="38">
      <c r="A38" s="15" t="n"/>
      <c r="B38" s="16" t="n"/>
      <c r="C38" s="16" t="n"/>
      <c r="D38" s="16" t="n"/>
      <c r="E38" s="17" t="n"/>
      <c r="F38" s="18">
        <f>IF(A38="","",IF(D38='已完成',E38,F38))</f>
        <v/>
      </c>
      <c r="G38" s="19">
        <f>IF(A38="","",IF(F38&gt;0,F38/E38*100,0))</f>
        <v/>
      </c>
    </row>
    <row r="39">
      <c r="A39" s="15" t="n"/>
      <c r="B39" s="16" t="n"/>
      <c r="C39" s="16" t="n"/>
      <c r="D39" s="16" t="n"/>
      <c r="E39" s="17" t="n"/>
      <c r="F39" s="18">
        <f>IF(A39="","",IF(D39='已完成',E39,F39))</f>
        <v/>
      </c>
      <c r="G39" s="19">
        <f>IF(A39="","",IF(F39&gt;0,F39/E39*100,0))</f>
        <v/>
      </c>
    </row>
    <row r="40">
      <c r="A40" s="15" t="n"/>
      <c r="B40" s="16" t="n"/>
      <c r="C40" s="16" t="n"/>
      <c r="D40" s="16" t="n"/>
      <c r="E40" s="17" t="n"/>
      <c r="F40" s="18">
        <f>IF(A40="","",IF(D40='已完成',E40,F40))</f>
        <v/>
      </c>
      <c r="G40" s="19">
        <f>IF(A40="","",IF(F40&gt;0,F40/E40*100,0))</f>
        <v/>
      </c>
    </row>
    <row r="41">
      <c r="A41" s="15" t="n"/>
      <c r="B41" s="16" t="n"/>
      <c r="C41" s="16" t="n"/>
      <c r="D41" s="16" t="n"/>
      <c r="E41" s="17" t="n"/>
      <c r="F41" s="18">
        <f>IF(A41="","",IF(D41='已完成',E41,F41))</f>
        <v/>
      </c>
      <c r="G41" s="19">
        <f>IF(A41="","",IF(F41&gt;0,F41/E41*100,0))</f>
        <v/>
      </c>
    </row>
    <row r="42">
      <c r="A42" s="15" t="n"/>
      <c r="B42" s="16" t="n"/>
      <c r="C42" s="16" t="n"/>
      <c r="D42" s="16" t="n"/>
      <c r="E42" s="17" t="n"/>
      <c r="F42" s="18">
        <f>IF(A42="","",IF(D42='已完成',E42,F42))</f>
        <v/>
      </c>
      <c r="G42" s="19">
        <f>IF(A42="","",IF(F42&gt;0,F42/E42*100,0))</f>
        <v/>
      </c>
    </row>
    <row r="43">
      <c r="A43" s="15" t="n"/>
      <c r="B43" s="16" t="n"/>
      <c r="C43" s="16" t="n"/>
      <c r="D43" s="16" t="n"/>
      <c r="E43" s="17" t="n"/>
      <c r="F43" s="18">
        <f>IF(A43="","",IF(D43='已完成',E43,F43))</f>
        <v/>
      </c>
      <c r="G43" s="19">
        <f>IF(A43="","",IF(F43&gt;0,F43/E43*100,0))</f>
        <v/>
      </c>
    </row>
    <row r="44">
      <c r="A44" s="15" t="n"/>
      <c r="B44" s="16" t="n"/>
      <c r="C44" s="16" t="n"/>
      <c r="D44" s="16" t="n"/>
      <c r="E44" s="17" t="n"/>
      <c r="F44" s="18">
        <f>IF(A44="","",IF(D44='已完成',E44,F44))</f>
        <v/>
      </c>
      <c r="G44" s="19">
        <f>IF(A44="","",IF(F44&gt;0,F44/E44*100,0))</f>
        <v/>
      </c>
    </row>
    <row r="45">
      <c r="A45" s="15" t="n"/>
      <c r="B45" s="16" t="n"/>
      <c r="C45" s="16" t="n"/>
      <c r="D45" s="16" t="n"/>
      <c r="E45" s="17" t="n"/>
      <c r="F45" s="18">
        <f>IF(A45="","",IF(D45='已完成',E45,F45))</f>
        <v/>
      </c>
      <c r="G45" s="19">
        <f>IF(A45="","",IF(F45&gt;0,F45/E45*100,0))</f>
        <v/>
      </c>
    </row>
    <row r="46">
      <c r="A46" s="15" t="n"/>
      <c r="B46" s="16" t="n"/>
      <c r="C46" s="16" t="n"/>
      <c r="D46" s="16" t="n"/>
      <c r="E46" s="17" t="n"/>
      <c r="F46" s="18">
        <f>IF(A46="","",IF(D46='已完成',E46,F46))</f>
        <v/>
      </c>
      <c r="G46" s="19">
        <f>IF(A46="","",IF(F46&gt;0,F46/E46*100,0))</f>
        <v/>
      </c>
    </row>
    <row r="47">
      <c r="A47" s="15" t="n"/>
      <c r="B47" s="16" t="n"/>
      <c r="C47" s="16" t="n"/>
      <c r="D47" s="16" t="n"/>
      <c r="E47" s="17" t="n"/>
      <c r="F47" s="18">
        <f>IF(A47="","",IF(D47='已完成',E47,F47))</f>
        <v/>
      </c>
      <c r="G47" s="19">
        <f>IF(A47="","",IF(F47&gt;0,F47/E47*100,0))</f>
        <v/>
      </c>
    </row>
    <row r="48">
      <c r="A48" s="15" t="n"/>
      <c r="B48" s="16" t="n"/>
      <c r="C48" s="16" t="n"/>
      <c r="D48" s="16" t="n"/>
      <c r="E48" s="17" t="n"/>
      <c r="F48" s="18">
        <f>IF(A48="","",IF(D48='已完成',E48,F48))</f>
        <v/>
      </c>
      <c r="G48" s="19">
        <f>IF(A48="","",IF(F48&gt;0,F48/E48*100,0))</f>
        <v/>
      </c>
    </row>
    <row r="49">
      <c r="A49" s="15" t="n"/>
      <c r="B49" s="16" t="n"/>
      <c r="C49" s="16" t="n"/>
      <c r="D49" s="16" t="n"/>
      <c r="E49" s="17" t="n"/>
      <c r="F49" s="18">
        <f>IF(A49="","",IF(D49='已完成',E49,F49))</f>
        <v/>
      </c>
      <c r="G49" s="19">
        <f>IF(A49="","",IF(F49&gt;0,F49/E49*100,0))</f>
        <v/>
      </c>
    </row>
    <row r="50">
      <c r="A50" s="15" t="n"/>
      <c r="B50" s="16" t="n"/>
      <c r="C50" s="16" t="n"/>
      <c r="D50" s="16" t="n"/>
      <c r="E50" s="17" t="n"/>
      <c r="F50" s="18">
        <f>IF(A50="","",IF(D50='已完成',E50,F50))</f>
        <v/>
      </c>
      <c r="G50" s="19">
        <f>IF(A50="","",IF(F50&gt;0,F50/E50*100,0))</f>
        <v/>
      </c>
    </row>
    <row r="51">
      <c r="A51" s="15" t="n"/>
      <c r="B51" s="16" t="n"/>
      <c r="C51" s="16" t="n"/>
      <c r="D51" s="16" t="n"/>
      <c r="E51" s="17" t="n"/>
      <c r="F51" s="18">
        <f>IF(A51="","",IF(D51='已完成',E51,F51))</f>
        <v/>
      </c>
      <c r="G51" s="19">
        <f>IF(A51="","",IF(F51&gt;0,F51/E51*100,0))</f>
        <v/>
      </c>
    </row>
    <row r="52">
      <c r="A52" s="15" t="n"/>
      <c r="B52" s="16" t="n"/>
      <c r="C52" s="16" t="n"/>
      <c r="D52" s="16" t="n"/>
      <c r="E52" s="17" t="n"/>
      <c r="F52" s="18">
        <f>IF(A52="","",IF(D52='已完成',E52,F52))</f>
        <v/>
      </c>
      <c r="G52" s="19">
        <f>IF(A52="","",IF(F52&gt;0,F52/E52*100,0))</f>
        <v/>
      </c>
    </row>
    <row r="53">
      <c r="A53" s="15" t="n"/>
      <c r="B53" s="16" t="n"/>
      <c r="C53" s="16" t="n"/>
      <c r="D53" s="16" t="n"/>
      <c r="E53" s="17" t="n"/>
      <c r="F53" s="18">
        <f>IF(A53="","",IF(D53='已完成',E53,F53))</f>
        <v/>
      </c>
      <c r="G53" s="19">
        <f>IF(A53="","",IF(F53&gt;0,F53/E53*100,0))</f>
        <v/>
      </c>
    </row>
    <row r="54">
      <c r="A54" s="15" t="n"/>
      <c r="B54" s="16" t="n"/>
      <c r="C54" s="16" t="n"/>
      <c r="D54" s="16" t="n"/>
      <c r="E54" s="17" t="n"/>
      <c r="F54" s="18">
        <f>IF(A54="","",IF(D54='已完成',E54,F54))</f>
        <v/>
      </c>
      <c r="G54" s="19">
        <f>IF(A54="","",IF(F54&gt;0,F54/E54*100,0))</f>
        <v/>
      </c>
    </row>
    <row r="55">
      <c r="A55" s="15" t="n"/>
      <c r="B55" s="16" t="n"/>
      <c r="C55" s="16" t="n"/>
      <c r="D55" s="16" t="n"/>
      <c r="E55" s="17" t="n"/>
      <c r="F55" s="18">
        <f>IF(A55="","",IF(D55='已完成',E55,F55))</f>
        <v/>
      </c>
      <c r="G55" s="19">
        <f>IF(A55="","",IF(F55&gt;0,F55/E55*100,0))</f>
        <v/>
      </c>
    </row>
    <row r="56">
      <c r="A56" s="15" t="n"/>
      <c r="B56" s="16" t="n"/>
      <c r="C56" s="16" t="n"/>
      <c r="D56" s="16" t="n"/>
      <c r="E56" s="17" t="n"/>
      <c r="F56" s="18">
        <f>IF(A56="","",IF(D56='已完成',E56,F56))</f>
        <v/>
      </c>
      <c r="G56" s="19">
        <f>IF(A56="","",IF(F56&gt;0,F56/E56*100,0))</f>
        <v/>
      </c>
    </row>
    <row r="57">
      <c r="A57" s="15" t="n"/>
      <c r="B57" s="16" t="n"/>
      <c r="C57" s="16" t="n"/>
      <c r="D57" s="16" t="n"/>
      <c r="E57" s="17" t="n"/>
      <c r="F57" s="18">
        <f>IF(A57="","",IF(D57='已完成',E57,F57))</f>
        <v/>
      </c>
      <c r="G57" s="19">
        <f>IF(A57="","",IF(F57&gt;0,F57/E57*100,0))</f>
        <v/>
      </c>
    </row>
    <row r="58">
      <c r="A58" s="15" t="n"/>
      <c r="B58" s="16" t="n"/>
      <c r="C58" s="16" t="n"/>
      <c r="D58" s="16" t="n"/>
      <c r="E58" s="17" t="n"/>
      <c r="F58" s="18">
        <f>IF(A58="","",IF(D58='已完成',E58,F58))</f>
        <v/>
      </c>
      <c r="G58" s="19">
        <f>IF(A58="","",IF(F58&gt;0,F58/E58*100,0))</f>
        <v/>
      </c>
    </row>
    <row r="59">
      <c r="A59" s="15" t="n"/>
      <c r="B59" s="16" t="n"/>
      <c r="C59" s="16" t="n"/>
      <c r="D59" s="16" t="n"/>
      <c r="E59" s="17" t="n"/>
      <c r="F59" s="18">
        <f>IF(A59="","",IF(D59='已完成',E59,F59))</f>
        <v/>
      </c>
      <c r="G59" s="19">
        <f>IF(A59="","",IF(F59&gt;0,F59/E59*100,0))</f>
        <v/>
      </c>
    </row>
    <row r="60">
      <c r="A60" s="15" t="n"/>
      <c r="B60" s="16" t="n"/>
      <c r="C60" s="16" t="n"/>
      <c r="D60" s="16" t="n"/>
      <c r="E60" s="17" t="n"/>
      <c r="F60" s="18">
        <f>IF(A60="","",IF(D60='已完成',E60,F60))</f>
        <v/>
      </c>
      <c r="G60" s="19">
        <f>IF(A60="","",IF(F60&gt;0,F60/E60*100,0))</f>
        <v/>
      </c>
    </row>
    <row r="61">
      <c r="A61" s="15" t="n"/>
      <c r="B61" s="16" t="n"/>
      <c r="C61" s="16" t="n"/>
      <c r="D61" s="16" t="n"/>
      <c r="E61" s="17" t="n"/>
      <c r="F61" s="18">
        <f>IF(A61="","",IF(D61='已完成',E61,F61))</f>
        <v/>
      </c>
      <c r="G61" s="19">
        <f>IF(A61="","",IF(F61&gt;0,F61/E61*100,0))</f>
        <v/>
      </c>
    </row>
    <row r="62">
      <c r="A62" s="15" t="n"/>
      <c r="B62" s="16" t="n"/>
      <c r="C62" s="16" t="n"/>
      <c r="D62" s="16" t="n"/>
      <c r="E62" s="17" t="n"/>
      <c r="F62" s="18">
        <f>IF(A62="","",IF(D62='已完成',E62,F62))</f>
        <v/>
      </c>
      <c r="G62" s="19">
        <f>IF(A62="","",IF(F62&gt;0,F62/E62*100,0))</f>
        <v/>
      </c>
    </row>
    <row r="63">
      <c r="A63" s="15" t="n"/>
      <c r="B63" s="16" t="n"/>
      <c r="C63" s="16" t="n"/>
      <c r="D63" s="16" t="n"/>
      <c r="E63" s="17" t="n"/>
      <c r="F63" s="18">
        <f>IF(A63="","",IF(D63='已完成',E63,F63))</f>
        <v/>
      </c>
      <c r="G63" s="19">
        <f>IF(A63="","",IF(F63&gt;0,F63/E63*100,0))</f>
        <v/>
      </c>
    </row>
    <row r="64">
      <c r="A64" s="15" t="n"/>
      <c r="B64" s="16" t="n"/>
      <c r="C64" s="16" t="n"/>
      <c r="D64" s="16" t="n"/>
      <c r="E64" s="17" t="n"/>
      <c r="F64" s="18">
        <f>IF(A64="","",IF(D64='已完成',E64,F64))</f>
        <v/>
      </c>
      <c r="G64" s="19">
        <f>IF(A64="","",IF(F64&gt;0,F64/E64*100,0))</f>
        <v/>
      </c>
    </row>
  </sheetData>
  <conditionalFormatting sqref="G2:G64">
    <cfRule type="dataBar" priority="1">
      <dataBar>
        <cfvo type="num" val="0"/>
        <cfvo type="num" val="1"/>
        <color rgb="005FB38F"/>
      </dataBar>
    </cfRule>
  </conditionalFormatting>
  <dataValidations count="2">
    <dataValidation sqref="D2:D64" showDropDown="0" showInputMessage="0" showErrorMessage="0" allowBlank="1" type="list">
      <formula1>"未开始,进行中,已完成"</formula1>
    </dataValidation>
    <dataValidation sqref="B2:B64" showDropDown="0" showInputMessage="0" showErrorMessage="0" allowBlank="1" type="list">
      <formula1>"数学,物理,化学,生物,计算机科学"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科目</t>
        </is>
      </c>
      <c r="C1" s="14" t="inlineStr">
        <is>
          <t>学习主题</t>
        </is>
      </c>
      <c r="D1" s="14" t="inlineStr">
        <is>
          <t>学习时间</t>
        </is>
      </c>
      <c r="E1" s="14" t="inlineStr">
        <is>
          <t>备注</t>
        </is>
      </c>
    </row>
    <row r="2">
      <c r="A2" s="15" t="n">
        <v>46143</v>
      </c>
      <c r="B2" s="16" t="inlineStr">
        <is>
          <t>数学</t>
        </is>
      </c>
      <c r="C2" s="16" t="inlineStr">
        <is>
          <t>微积分</t>
        </is>
      </c>
      <c r="D2" s="17" t="n">
        <v>2</v>
      </c>
      <c r="E2" s="16" t="inlineStr">
        <is>
          <t>复习了基本概念</t>
        </is>
      </c>
    </row>
    <row r="3">
      <c r="A3" s="15" t="n">
        <v>46144</v>
      </c>
      <c r="B3" s="16" t="inlineStr">
        <is>
          <t>物理</t>
        </is>
      </c>
      <c r="C3" s="16" t="inlineStr">
        <is>
          <t>量子力学</t>
        </is>
      </c>
      <c r="D3" s="17" t="n">
        <v>3</v>
      </c>
      <c r="E3" s="16" t="inlineStr">
        <is>
          <t>完成了练习题目</t>
        </is>
      </c>
    </row>
    <row r="4">
      <c r="A4" s="15" t="n">
        <v>46145</v>
      </c>
      <c r="B4" s="16" t="inlineStr">
        <is>
          <t>化学</t>
        </is>
      </c>
      <c r="C4" s="16" t="inlineStr">
        <is>
          <t>有机化学</t>
        </is>
      </c>
      <c r="D4" s="17" t="n">
        <v>1.5</v>
      </c>
      <c r="E4" s="16" t="inlineStr">
        <is>
          <t>复习了反应机制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</sheetData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智能期末考试时间计划与进度追踪器 - 专业版</dc:title>
  <dcterms:created xsi:type="dcterms:W3CDTF">2026-10-09T00:26:53Z</dcterms:created>
  <dcterms:modified xsi:type="dcterms:W3CDTF">2026-10-09T00:26:53Z</dcterms:modified>
</cp:coreProperties>
</file>