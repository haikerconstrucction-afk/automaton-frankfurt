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Einnahmen" sheetId="3" state="visible" r:id="rId3"/>
    <sheet name="Ausgaben" sheetId="4" state="visible" r:id="rId4"/>
    <sheet name="Spendenzie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Spendenziele Fortschritt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'Spendenziele'!F1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'Spendenziele'!$A$2</f>
            </numRef>
          </cat>
          <val>
            <numRef>
              <f>'Spendenziele'!$F$2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innahmen_227" displayName="T_Einnahmen_227" ref="A1:E65" headerRowCount="1">
  <autoFilter ref="A1:E65"/>
  <tableColumns count="5">
    <tableColumn id="1" name="Datum"/>
    <tableColumn id="2" name="Quelle"/>
    <tableColumn id="3" name="Kategorie"/>
    <tableColumn id="4" name="Mitglied"/>
    <tableColumn id="5" name="Betrag"/>
  </tableColumns>
  <tableStyleInfo name="TableStyleMedium7" showRowStripes="1"/>
</table>
</file>

<file path=xl/tables/table2.xml><?xml version="1.0" encoding="utf-8"?>
<table xmlns="http://schemas.openxmlformats.org/spreadsheetml/2006/main" id="2" name="T_Ausgaben_3949" displayName="T_Ausgaben_3949" ref="A1:F64" headerRowCount="1">
  <autoFilter ref="A1:F64"/>
  <tableColumns count="6">
    <tableColumn id="1" name="Datum"/>
    <tableColumn id="2" name="Zweck"/>
    <tableColumn id="3" name="Kategorie"/>
    <tableColumn id="4" name="Empfänger"/>
    <tableColumn id="5" name="Betrag"/>
    <tableColumn id="6" name="Beleg"/>
  </tableColumns>
  <tableStyleInfo name="TableStyleMedium7" showRowStripes="1"/>
</table>
</file>

<file path=xl/tables/table3.xml><?xml version="1.0" encoding="utf-8"?>
<table xmlns="http://schemas.openxmlformats.org/spreadsheetml/2006/main" id="3" name="T_Spendenziele_4370" displayName="T_Spendenziele_4370" ref="A1:F12" headerRowCount="1">
  <autoFilter ref="A1:F12"/>
  <tableColumns count="6">
    <tableColumn id="1" name="Projekt"/>
    <tableColumn id="2" name="Zielbetrag"/>
    <tableColumn id="3" name="Startdatum"/>
    <tableColumn id="4" name="Enddatum"/>
    <tableColumn id="5" name="Bisher"/>
    <tableColumn id="6" name="Proze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Einnahmen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hyperlink" Target="#'Spendenziel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Vereinsfinanz-Tracker &amp; Spendenziel-Rechner</t>
        </is>
      </c>
    </row>
    <row r="3" ht="45" customHeight="1">
      <c r="C3" s="2" t="inlineStr">
        <is>
          <t>Vereinfachen Sie Ihre Finanzplanung mit dieser intelligenten Excel-Vorlage – perfekt für Mitgliedsbeiträge, Spendenziele und Ausgabenkontrolle in Vereinen.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Einnahmen (Mitgliedsbeiträge, Spenden) im entsprechenden Tab ein</t>
        </is>
      </c>
    </row>
    <row r="7" ht="18" customHeight="1">
      <c r="B7" s="4" t="inlineStr">
        <is>
          <t>2.</t>
        </is>
      </c>
      <c r="C7" s="5" t="inlineStr">
        <is>
          <t>Erfassen Sie alle Ausgaben mit Kategorie und Betrag</t>
        </is>
      </c>
    </row>
    <row r="8" ht="18" customHeight="1">
      <c r="B8" s="4" t="inlineStr">
        <is>
          <t>3.</t>
        </is>
      </c>
      <c r="C8" s="5" t="inlineStr">
        <is>
          <t>Verfolgen Sie Ihr Spendenziel im Fortschritts-Dashboard</t>
        </is>
      </c>
    </row>
    <row r="9" ht="18" customHeight="1">
      <c r="B9" s="4" t="inlineStr">
        <is>
          <t>4.</t>
        </is>
      </c>
      <c r="C9" s="5" t="inlineStr">
        <is>
          <t>Analysieren Sie monatliche Entwicklungen mit automatischen Diagrammen</t>
        </is>
      </c>
    </row>
    <row r="10" ht="18" customHeight="1">
      <c r="B10" s="4" t="inlineStr">
        <is>
          <t>5.</t>
        </is>
      </c>
      <c r="C10" s="5" t="inlineStr">
        <is>
          <t>Nutzen Sie die Musterbriefe für Spendenaufrufe</t>
        </is>
      </c>
    </row>
    <row r="11" ht="18" customHeight="1">
      <c r="B11" s="4" t="inlineStr">
        <is>
          <t>6.</t>
        </is>
      </c>
      <c r="C11" s="5" t="inlineStr">
        <is>
          <t>Exportieren Sie Jahresberichte mit einem Klick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Einnahmen</t>
        </is>
      </c>
    </row>
    <row r="18">
      <c r="C18" s="7" t="inlineStr">
        <is>
          <t>→ Ausgaben</t>
        </is>
      </c>
    </row>
    <row r="19">
      <c r="C19" s="7" t="inlineStr">
        <is>
          <t>→ Spendenziele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Vereinsfinanz-Tracker &amp; Spendenziel-Rechner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Einnahmen Gesamt</t>
        </is>
      </c>
      <c r="C5" s="12">
        <f>SUM(Einnahmen!E2:E300)</f>
        <v/>
      </c>
    </row>
    <row r="6" ht="24" customHeight="1">
      <c r="B6" s="11" t="inlineStr">
        <is>
          <t>Ausgaben Gesamt</t>
        </is>
      </c>
      <c r="C6" s="12">
        <f>SUM(Ausgaben!E2:E300)</f>
        <v/>
      </c>
    </row>
    <row r="7" ht="24" customHeight="1">
      <c r="B7" s="11" t="inlineStr">
        <is>
          <t>Saldo</t>
        </is>
      </c>
      <c r="C7" s="12">
        <f>kpis!A1-kpis!A2</f>
        <v/>
      </c>
    </row>
    <row r="8" ht="24" customHeight="1">
      <c r="B8" s="11" t="inlineStr">
        <is>
          <t>Aktive Spendenprojekte</t>
        </is>
      </c>
      <c r="C8" s="13">
        <f>COUNT(Spendenziele!A2:A10)</f>
        <v/>
      </c>
    </row>
    <row r="9" ht="24" customHeight="1">
      <c r="B9" s="11" t="inlineStr">
        <is>
          <t>Mitglieder</t>
        </is>
      </c>
      <c r="C9" s="13">
        <f>COUNTUNIQUE(Einnahmen!D2:D300)-1</f>
        <v/>
      </c>
    </row>
    <row r="10" ht="24" customHeight="1">
      <c r="B10" s="11" t="inlineStr">
        <is>
          <t>Durchschnittl. Spende</t>
        </is>
      </c>
      <c r="C10" s="12">
        <f>AVERAGEIFS(Einnahmen!E2:E300,Einnahmen!B2:B300,"Spende")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7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Quelle</t>
        </is>
      </c>
      <c r="C1" s="14" t="inlineStr">
        <is>
          <t>Kategorie</t>
        </is>
      </c>
      <c r="D1" s="14" t="inlineStr">
        <is>
          <t>Mitglied</t>
        </is>
      </c>
      <c r="E1" s="14" t="inlineStr">
        <is>
          <t>Betrag</t>
        </is>
      </c>
    </row>
    <row r="2">
      <c r="A2" s="15" t="n">
        <v>46027</v>
      </c>
      <c r="B2" s="16" t="inlineStr">
        <is>
          <t>Mitgliedsbeitrag</t>
        </is>
      </c>
      <c r="C2" s="16" t="inlineStr">
        <is>
          <t>Regulär</t>
        </is>
      </c>
      <c r="D2" s="16" t="inlineStr">
        <is>
          <t>Max Mustermann</t>
        </is>
      </c>
      <c r="E2" s="17" t="n">
        <v>50</v>
      </c>
    </row>
    <row r="3">
      <c r="A3" s="15" t="n">
        <v>46034</v>
      </c>
      <c r="B3" s="16" t="inlineStr">
        <is>
          <t>Spende</t>
        </is>
      </c>
      <c r="C3" s="16" t="inlineStr">
        <is>
          <t>Einmalig</t>
        </is>
      </c>
      <c r="D3" s="16" t="inlineStr"/>
      <c r="E3" s="17" t="n">
        <v>100</v>
      </c>
    </row>
    <row r="4">
      <c r="A4" s="15" t="n">
        <v>46042</v>
      </c>
      <c r="B4" s="16" t="inlineStr">
        <is>
          <t>Mitgliedsbeitrag</t>
        </is>
      </c>
      <c r="C4" s="16" t="inlineStr">
        <is>
          <t>Ermäßigt</t>
        </is>
      </c>
      <c r="D4" s="16" t="inlineStr">
        <is>
          <t>Lisa Beispiel</t>
        </is>
      </c>
      <c r="E4" s="17" t="n">
        <v>25</v>
      </c>
    </row>
    <row r="5">
      <c r="A5" s="15" t="n">
        <v>46050</v>
      </c>
      <c r="B5" s="16" t="inlineStr">
        <is>
          <t>Verkauf</t>
        </is>
      </c>
      <c r="C5" s="16" t="inlineStr">
        <is>
          <t>Fundraising</t>
        </is>
      </c>
      <c r="D5" s="16" t="inlineStr"/>
      <c r="E5" s="17" t="n">
        <v>320.5</v>
      </c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  <row r="64">
      <c r="A64" s="15" t="n"/>
      <c r="B64" s="16" t="n"/>
      <c r="C64" s="16" t="n"/>
      <c r="D64" s="16" t="n"/>
      <c r="E64" s="17" t="n"/>
    </row>
    <row r="65">
      <c r="A65" s="15" t="n"/>
      <c r="B65" s="16" t="n"/>
      <c r="C65" s="16" t="n"/>
      <c r="D65" s="16" t="n"/>
      <c r="E65" s="17" t="n"/>
    </row>
  </sheetData>
  <conditionalFormatting sqref="E2:E65">
    <cfRule type="cellIs" priority="1" operator="lessThan" dxfId="0">
      <formula>0</formula>
    </cfRule>
  </conditionalFormatting>
  <dataValidations count="1">
    <dataValidation sqref="C2:C65" showDropDown="0" showInputMessage="0" showErrorMessage="0" allowBlank="1" type="list">
      <formula1>"Mitgliedsbeitrag,Spende,Förderung,Verkauf,Sonstiges"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 ht="32" customHeight="1">
      <c r="A1" s="14" t="inlineStr">
        <is>
          <t>Datum</t>
        </is>
      </c>
      <c r="B1" s="14" t="inlineStr">
        <is>
          <t>Zweck</t>
        </is>
      </c>
      <c r="C1" s="14" t="inlineStr">
        <is>
          <t>Kategorie</t>
        </is>
      </c>
      <c r="D1" s="14" t="inlineStr">
        <is>
          <t>Empfänger</t>
        </is>
      </c>
      <c r="E1" s="14" t="inlineStr">
        <is>
          <t>Betrag</t>
        </is>
      </c>
      <c r="F1" s="14" t="inlineStr">
        <is>
          <t>Beleg</t>
        </is>
      </c>
    </row>
    <row r="2">
      <c r="A2" s="15" t="n">
        <v>46030</v>
      </c>
      <c r="B2" s="16" t="inlineStr">
        <is>
          <t>Raummiete</t>
        </is>
      </c>
      <c r="C2" s="16" t="inlineStr">
        <is>
          <t>Fixkosten</t>
        </is>
      </c>
      <c r="D2" s="16" t="inlineStr">
        <is>
          <t>Gemeinde XY</t>
        </is>
      </c>
      <c r="E2" s="17" t="n">
        <v>120</v>
      </c>
      <c r="F2" s="16" t="inlineStr">
        <is>
          <t>R2026-001</t>
        </is>
      </c>
    </row>
    <row r="3">
      <c r="A3" s="15" t="n">
        <v>46037</v>
      </c>
      <c r="B3" s="16" t="inlineStr">
        <is>
          <t>Verbrauchsmaterial</t>
        </is>
      </c>
      <c r="C3" s="16" t="inlineStr">
        <is>
          <t>Material</t>
        </is>
      </c>
      <c r="D3" s="16" t="inlineStr">
        <is>
          <t>Bürobedarf GmbH</t>
        </is>
      </c>
      <c r="E3" s="17" t="n">
        <v>65.3</v>
      </c>
      <c r="F3" s="16" t="inlineStr">
        <is>
          <t>R2026-002</t>
        </is>
      </c>
    </row>
    <row r="4">
      <c r="A4" s="15" t="n">
        <v>46044</v>
      </c>
      <c r="B4" s="16" t="inlineStr">
        <is>
          <t>Fortbildung</t>
        </is>
      </c>
      <c r="C4" s="16" t="inlineStr">
        <is>
          <t>Personal</t>
        </is>
      </c>
      <c r="D4" s="16" t="inlineStr">
        <is>
          <t>Trainer Schmidt</t>
        </is>
      </c>
      <c r="E4" s="17" t="n">
        <v>250</v>
      </c>
      <c r="F4" s="16" t="inlineStr">
        <is>
          <t>R2026-003</t>
        </is>
      </c>
    </row>
    <row r="5">
      <c r="A5" s="15" t="n"/>
      <c r="B5" s="16" t="n"/>
      <c r="C5" s="16" t="n"/>
      <c r="D5" s="16" t="n"/>
      <c r="E5" s="17" t="n"/>
      <c r="F5" s="16" t="n"/>
    </row>
    <row r="6">
      <c r="A6" s="15" t="n"/>
      <c r="B6" s="16" t="n"/>
      <c r="C6" s="16" t="n"/>
      <c r="D6" s="16" t="n"/>
      <c r="E6" s="17" t="n"/>
      <c r="F6" s="16" t="n"/>
    </row>
    <row r="7">
      <c r="A7" s="15" t="n"/>
      <c r="B7" s="16" t="n"/>
      <c r="C7" s="16" t="n"/>
      <c r="D7" s="16" t="n"/>
      <c r="E7" s="17" t="n"/>
      <c r="F7" s="16" t="n"/>
    </row>
    <row r="8">
      <c r="A8" s="15" t="n"/>
      <c r="B8" s="16" t="n"/>
      <c r="C8" s="16" t="n"/>
      <c r="D8" s="16" t="n"/>
      <c r="E8" s="17" t="n"/>
      <c r="F8" s="16" t="n"/>
    </row>
    <row r="9">
      <c r="A9" s="15" t="n"/>
      <c r="B9" s="16" t="n"/>
      <c r="C9" s="16" t="n"/>
      <c r="D9" s="16" t="n"/>
      <c r="E9" s="17" t="n"/>
      <c r="F9" s="16" t="n"/>
    </row>
    <row r="10">
      <c r="A10" s="15" t="n"/>
      <c r="B10" s="16" t="n"/>
      <c r="C10" s="16" t="n"/>
      <c r="D10" s="16" t="n"/>
      <c r="E10" s="17" t="n"/>
      <c r="F10" s="16" t="n"/>
    </row>
    <row r="11">
      <c r="A11" s="15" t="n"/>
      <c r="B11" s="16" t="n"/>
      <c r="C11" s="16" t="n"/>
      <c r="D11" s="16" t="n"/>
      <c r="E11" s="17" t="n"/>
      <c r="F11" s="16" t="n"/>
    </row>
    <row r="12">
      <c r="A12" s="15" t="n"/>
      <c r="B12" s="16" t="n"/>
      <c r="C12" s="16" t="n"/>
      <c r="D12" s="16" t="n"/>
      <c r="E12" s="17" t="n"/>
      <c r="F12" s="16" t="n"/>
    </row>
    <row r="13">
      <c r="A13" s="15" t="n"/>
      <c r="B13" s="16" t="n"/>
      <c r="C13" s="16" t="n"/>
      <c r="D13" s="16" t="n"/>
      <c r="E13" s="17" t="n"/>
      <c r="F13" s="16" t="n"/>
    </row>
    <row r="14">
      <c r="A14" s="15" t="n"/>
      <c r="B14" s="16" t="n"/>
      <c r="C14" s="16" t="n"/>
      <c r="D14" s="16" t="n"/>
      <c r="E14" s="17" t="n"/>
      <c r="F14" s="16" t="n"/>
    </row>
    <row r="15">
      <c r="A15" s="15" t="n"/>
      <c r="B15" s="16" t="n"/>
      <c r="C15" s="16" t="n"/>
      <c r="D15" s="16" t="n"/>
      <c r="E15" s="17" t="n"/>
      <c r="F15" s="16" t="n"/>
    </row>
    <row r="16">
      <c r="A16" s="15" t="n"/>
      <c r="B16" s="16" t="n"/>
      <c r="C16" s="16" t="n"/>
      <c r="D16" s="16" t="n"/>
      <c r="E16" s="17" t="n"/>
      <c r="F16" s="16" t="n"/>
    </row>
    <row r="17">
      <c r="A17" s="15" t="n"/>
      <c r="B17" s="16" t="n"/>
      <c r="C17" s="16" t="n"/>
      <c r="D17" s="16" t="n"/>
      <c r="E17" s="17" t="n"/>
      <c r="F17" s="16" t="n"/>
    </row>
    <row r="18">
      <c r="A18" s="15" t="n"/>
      <c r="B18" s="16" t="n"/>
      <c r="C18" s="16" t="n"/>
      <c r="D18" s="16" t="n"/>
      <c r="E18" s="17" t="n"/>
      <c r="F18" s="16" t="n"/>
    </row>
    <row r="19">
      <c r="A19" s="15" t="n"/>
      <c r="B19" s="16" t="n"/>
      <c r="C19" s="16" t="n"/>
      <c r="D19" s="16" t="n"/>
      <c r="E19" s="17" t="n"/>
      <c r="F19" s="16" t="n"/>
    </row>
    <row r="20">
      <c r="A20" s="15" t="n"/>
      <c r="B20" s="16" t="n"/>
      <c r="C20" s="16" t="n"/>
      <c r="D20" s="16" t="n"/>
      <c r="E20" s="17" t="n"/>
      <c r="F20" s="16" t="n"/>
    </row>
    <row r="21">
      <c r="A21" s="15" t="n"/>
      <c r="B21" s="16" t="n"/>
      <c r="C21" s="16" t="n"/>
      <c r="D21" s="16" t="n"/>
      <c r="E21" s="17" t="n"/>
      <c r="F21" s="16" t="n"/>
    </row>
    <row r="22">
      <c r="A22" s="15" t="n"/>
      <c r="B22" s="16" t="n"/>
      <c r="C22" s="16" t="n"/>
      <c r="D22" s="16" t="n"/>
      <c r="E22" s="17" t="n"/>
      <c r="F22" s="16" t="n"/>
    </row>
    <row r="23">
      <c r="A23" s="15" t="n"/>
      <c r="B23" s="16" t="n"/>
      <c r="C23" s="16" t="n"/>
      <c r="D23" s="16" t="n"/>
      <c r="E23" s="17" t="n"/>
      <c r="F23" s="16" t="n"/>
    </row>
    <row r="24">
      <c r="A24" s="15" t="n"/>
      <c r="B24" s="16" t="n"/>
      <c r="C24" s="16" t="n"/>
      <c r="D24" s="16" t="n"/>
      <c r="E24" s="17" t="n"/>
      <c r="F24" s="16" t="n"/>
    </row>
    <row r="25">
      <c r="A25" s="15" t="n"/>
      <c r="B25" s="16" t="n"/>
      <c r="C25" s="16" t="n"/>
      <c r="D25" s="16" t="n"/>
      <c r="E25" s="17" t="n"/>
      <c r="F25" s="16" t="n"/>
    </row>
    <row r="26">
      <c r="A26" s="15" t="n"/>
      <c r="B26" s="16" t="n"/>
      <c r="C26" s="16" t="n"/>
      <c r="D26" s="16" t="n"/>
      <c r="E26" s="17" t="n"/>
      <c r="F26" s="16" t="n"/>
    </row>
    <row r="27">
      <c r="A27" s="15" t="n"/>
      <c r="B27" s="16" t="n"/>
      <c r="C27" s="16" t="n"/>
      <c r="D27" s="16" t="n"/>
      <c r="E27" s="17" t="n"/>
      <c r="F27" s="16" t="n"/>
    </row>
    <row r="28">
      <c r="A28" s="15" t="n"/>
      <c r="B28" s="16" t="n"/>
      <c r="C28" s="16" t="n"/>
      <c r="D28" s="16" t="n"/>
      <c r="E28" s="17" t="n"/>
      <c r="F28" s="16" t="n"/>
    </row>
    <row r="29">
      <c r="A29" s="15" t="n"/>
      <c r="B29" s="16" t="n"/>
      <c r="C29" s="16" t="n"/>
      <c r="D29" s="16" t="n"/>
      <c r="E29" s="17" t="n"/>
      <c r="F29" s="16" t="n"/>
    </row>
    <row r="30">
      <c r="A30" s="15" t="n"/>
      <c r="B30" s="16" t="n"/>
      <c r="C30" s="16" t="n"/>
      <c r="D30" s="16" t="n"/>
      <c r="E30" s="17" t="n"/>
      <c r="F30" s="16" t="n"/>
    </row>
    <row r="31">
      <c r="A31" s="15" t="n"/>
      <c r="B31" s="16" t="n"/>
      <c r="C31" s="16" t="n"/>
      <c r="D31" s="16" t="n"/>
      <c r="E31" s="17" t="n"/>
      <c r="F31" s="16" t="n"/>
    </row>
    <row r="32">
      <c r="A32" s="15" t="n"/>
      <c r="B32" s="16" t="n"/>
      <c r="C32" s="16" t="n"/>
      <c r="D32" s="16" t="n"/>
      <c r="E32" s="17" t="n"/>
      <c r="F32" s="16" t="n"/>
    </row>
    <row r="33">
      <c r="A33" s="15" t="n"/>
      <c r="B33" s="16" t="n"/>
      <c r="C33" s="16" t="n"/>
      <c r="D33" s="16" t="n"/>
      <c r="E33" s="17" t="n"/>
      <c r="F33" s="16" t="n"/>
    </row>
    <row r="34">
      <c r="A34" s="15" t="n"/>
      <c r="B34" s="16" t="n"/>
      <c r="C34" s="16" t="n"/>
      <c r="D34" s="16" t="n"/>
      <c r="E34" s="17" t="n"/>
      <c r="F34" s="16" t="n"/>
    </row>
    <row r="35">
      <c r="A35" s="15" t="n"/>
      <c r="B35" s="16" t="n"/>
      <c r="C35" s="16" t="n"/>
      <c r="D35" s="16" t="n"/>
      <c r="E35" s="17" t="n"/>
      <c r="F35" s="16" t="n"/>
    </row>
    <row r="36">
      <c r="A36" s="15" t="n"/>
      <c r="B36" s="16" t="n"/>
      <c r="C36" s="16" t="n"/>
      <c r="D36" s="16" t="n"/>
      <c r="E36" s="17" t="n"/>
      <c r="F36" s="16" t="n"/>
    </row>
    <row r="37">
      <c r="A37" s="15" t="n"/>
      <c r="B37" s="16" t="n"/>
      <c r="C37" s="16" t="n"/>
      <c r="D37" s="16" t="n"/>
      <c r="E37" s="17" t="n"/>
      <c r="F37" s="16" t="n"/>
    </row>
    <row r="38">
      <c r="A38" s="15" t="n"/>
      <c r="B38" s="16" t="n"/>
      <c r="C38" s="16" t="n"/>
      <c r="D38" s="16" t="n"/>
      <c r="E38" s="17" t="n"/>
      <c r="F38" s="16" t="n"/>
    </row>
    <row r="39">
      <c r="A39" s="15" t="n"/>
      <c r="B39" s="16" t="n"/>
      <c r="C39" s="16" t="n"/>
      <c r="D39" s="16" t="n"/>
      <c r="E39" s="17" t="n"/>
      <c r="F39" s="16" t="n"/>
    </row>
    <row r="40">
      <c r="A40" s="15" t="n"/>
      <c r="B40" s="16" t="n"/>
      <c r="C40" s="16" t="n"/>
      <c r="D40" s="16" t="n"/>
      <c r="E40" s="17" t="n"/>
      <c r="F40" s="16" t="n"/>
    </row>
    <row r="41">
      <c r="A41" s="15" t="n"/>
      <c r="B41" s="16" t="n"/>
      <c r="C41" s="16" t="n"/>
      <c r="D41" s="16" t="n"/>
      <c r="E41" s="17" t="n"/>
      <c r="F41" s="16" t="n"/>
    </row>
    <row r="42">
      <c r="A42" s="15" t="n"/>
      <c r="B42" s="16" t="n"/>
      <c r="C42" s="16" t="n"/>
      <c r="D42" s="16" t="n"/>
      <c r="E42" s="17" t="n"/>
      <c r="F42" s="16" t="n"/>
    </row>
    <row r="43">
      <c r="A43" s="15" t="n"/>
      <c r="B43" s="16" t="n"/>
      <c r="C43" s="16" t="n"/>
      <c r="D43" s="16" t="n"/>
      <c r="E43" s="17" t="n"/>
      <c r="F43" s="16" t="n"/>
    </row>
    <row r="44">
      <c r="A44" s="15" t="n"/>
      <c r="B44" s="16" t="n"/>
      <c r="C44" s="16" t="n"/>
      <c r="D44" s="16" t="n"/>
      <c r="E44" s="17" t="n"/>
      <c r="F44" s="16" t="n"/>
    </row>
    <row r="45">
      <c r="A45" s="15" t="n"/>
      <c r="B45" s="16" t="n"/>
      <c r="C45" s="16" t="n"/>
      <c r="D45" s="16" t="n"/>
      <c r="E45" s="17" t="n"/>
      <c r="F45" s="16" t="n"/>
    </row>
    <row r="46">
      <c r="A46" s="15" t="n"/>
      <c r="B46" s="16" t="n"/>
      <c r="C46" s="16" t="n"/>
      <c r="D46" s="16" t="n"/>
      <c r="E46" s="17" t="n"/>
      <c r="F46" s="16" t="n"/>
    </row>
    <row r="47">
      <c r="A47" s="15" t="n"/>
      <c r="B47" s="16" t="n"/>
      <c r="C47" s="16" t="n"/>
      <c r="D47" s="16" t="n"/>
      <c r="E47" s="17" t="n"/>
      <c r="F47" s="16" t="n"/>
    </row>
    <row r="48">
      <c r="A48" s="15" t="n"/>
      <c r="B48" s="16" t="n"/>
      <c r="C48" s="16" t="n"/>
      <c r="D48" s="16" t="n"/>
      <c r="E48" s="17" t="n"/>
      <c r="F48" s="16" t="n"/>
    </row>
    <row r="49">
      <c r="A49" s="15" t="n"/>
      <c r="B49" s="16" t="n"/>
      <c r="C49" s="16" t="n"/>
      <c r="D49" s="16" t="n"/>
      <c r="E49" s="17" t="n"/>
      <c r="F49" s="16" t="n"/>
    </row>
    <row r="50">
      <c r="A50" s="15" t="n"/>
      <c r="B50" s="16" t="n"/>
      <c r="C50" s="16" t="n"/>
      <c r="D50" s="16" t="n"/>
      <c r="E50" s="17" t="n"/>
      <c r="F50" s="16" t="n"/>
    </row>
    <row r="51">
      <c r="A51" s="15" t="n"/>
      <c r="B51" s="16" t="n"/>
      <c r="C51" s="16" t="n"/>
      <c r="D51" s="16" t="n"/>
      <c r="E51" s="17" t="n"/>
      <c r="F51" s="16" t="n"/>
    </row>
    <row r="52">
      <c r="A52" s="15" t="n"/>
      <c r="B52" s="16" t="n"/>
      <c r="C52" s="16" t="n"/>
      <c r="D52" s="16" t="n"/>
      <c r="E52" s="17" t="n"/>
      <c r="F52" s="16" t="n"/>
    </row>
    <row r="53">
      <c r="A53" s="15" t="n"/>
      <c r="B53" s="16" t="n"/>
      <c r="C53" s="16" t="n"/>
      <c r="D53" s="16" t="n"/>
      <c r="E53" s="17" t="n"/>
      <c r="F53" s="16" t="n"/>
    </row>
    <row r="54">
      <c r="A54" s="15" t="n"/>
      <c r="B54" s="16" t="n"/>
      <c r="C54" s="16" t="n"/>
      <c r="D54" s="16" t="n"/>
      <c r="E54" s="17" t="n"/>
      <c r="F54" s="16" t="n"/>
    </row>
    <row r="55">
      <c r="A55" s="15" t="n"/>
      <c r="B55" s="16" t="n"/>
      <c r="C55" s="16" t="n"/>
      <c r="D55" s="16" t="n"/>
      <c r="E55" s="17" t="n"/>
      <c r="F55" s="16" t="n"/>
    </row>
    <row r="56">
      <c r="A56" s="15" t="n"/>
      <c r="B56" s="16" t="n"/>
      <c r="C56" s="16" t="n"/>
      <c r="D56" s="16" t="n"/>
      <c r="E56" s="17" t="n"/>
      <c r="F56" s="16" t="n"/>
    </row>
    <row r="57">
      <c r="A57" s="15" t="n"/>
      <c r="B57" s="16" t="n"/>
      <c r="C57" s="16" t="n"/>
      <c r="D57" s="16" t="n"/>
      <c r="E57" s="17" t="n"/>
      <c r="F57" s="16" t="n"/>
    </row>
    <row r="58">
      <c r="A58" s="15" t="n"/>
      <c r="B58" s="16" t="n"/>
      <c r="C58" s="16" t="n"/>
      <c r="D58" s="16" t="n"/>
      <c r="E58" s="17" t="n"/>
      <c r="F58" s="16" t="n"/>
    </row>
    <row r="59">
      <c r="A59" s="15" t="n"/>
      <c r="B59" s="16" t="n"/>
      <c r="C59" s="16" t="n"/>
      <c r="D59" s="16" t="n"/>
      <c r="E59" s="17" t="n"/>
      <c r="F59" s="16" t="n"/>
    </row>
    <row r="60">
      <c r="A60" s="15" t="n"/>
      <c r="B60" s="16" t="n"/>
      <c r="C60" s="16" t="n"/>
      <c r="D60" s="16" t="n"/>
      <c r="E60" s="17" t="n"/>
      <c r="F60" s="16" t="n"/>
    </row>
    <row r="61">
      <c r="A61" s="15" t="n"/>
      <c r="B61" s="16" t="n"/>
      <c r="C61" s="16" t="n"/>
      <c r="D61" s="16" t="n"/>
      <c r="E61" s="17" t="n"/>
      <c r="F61" s="16" t="n"/>
    </row>
    <row r="62">
      <c r="A62" s="15" t="n"/>
      <c r="B62" s="16" t="n"/>
      <c r="C62" s="16" t="n"/>
      <c r="D62" s="16" t="n"/>
      <c r="E62" s="17" t="n"/>
      <c r="F62" s="16" t="n"/>
    </row>
    <row r="63">
      <c r="A63" s="15" t="n"/>
      <c r="B63" s="16" t="n"/>
      <c r="C63" s="16" t="n"/>
      <c r="D63" s="16" t="n"/>
      <c r="E63" s="17" t="n"/>
      <c r="F63" s="16" t="n"/>
    </row>
    <row r="64">
      <c r="A64" s="15" t="n"/>
      <c r="B64" s="16" t="n"/>
      <c r="C64" s="16" t="n"/>
      <c r="D64" s="16" t="n"/>
      <c r="E64" s="17" t="n"/>
      <c r="F64" s="16" t="n"/>
    </row>
  </sheetData>
  <conditionalFormatting sqref="E2:E64">
    <cfRule type="cellIs" priority="1" operator="lessThan" dxfId="0">
      <formula>0</formula>
    </cfRule>
  </conditionalFormatting>
  <dataValidations count="1">
    <dataValidation sqref="C2:C64" showDropDown="0" showInputMessage="0" showErrorMessage="0" allowBlank="1" type="list">
      <formula1>"Fixkosten,Personalkosten,Material,Veranstaltung,Sonstiges"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2" customWidth="1" min="5" max="5"/>
    <col width="25" customWidth="1" min="6" max="6"/>
  </cols>
  <sheetData>
    <row r="1" ht="32" customHeight="1">
      <c r="A1" s="14" t="inlineStr">
        <is>
          <t>Projekt</t>
        </is>
      </c>
      <c r="B1" s="14" t="inlineStr">
        <is>
          <t>Zielbetrag</t>
        </is>
      </c>
      <c r="C1" s="14" t="inlineStr">
        <is>
          <t>Startdatum</t>
        </is>
      </c>
      <c r="D1" s="14" t="inlineStr">
        <is>
          <t>Enddatum</t>
        </is>
      </c>
      <c r="E1" s="14" t="inlineStr">
        <is>
          <t>Bisher</t>
        </is>
      </c>
      <c r="F1" s="14" t="inlineStr">
        <is>
          <t>Prozent</t>
        </is>
      </c>
    </row>
    <row r="2">
      <c r="A2" s="16" t="inlineStr">
        <is>
          <t>Kinderspielplatz</t>
        </is>
      </c>
      <c r="B2" s="17" t="n">
        <v>5000</v>
      </c>
      <c r="C2" s="15" t="n">
        <v>46023</v>
      </c>
      <c r="D2" s="15" t="n">
        <v>46387</v>
      </c>
      <c r="E2" s="17" t="n">
        <v>1500</v>
      </c>
      <c r="F2" s="18">
        <f>E2/B2</f>
        <v/>
      </c>
    </row>
    <row r="3">
      <c r="A3" s="16" t="n"/>
      <c r="B3" s="17" t="n"/>
      <c r="C3" s="15" t="n"/>
      <c r="D3" s="15" t="n"/>
      <c r="E3" s="17" t="n"/>
      <c r="F3" s="18">
        <f>IF(A3="","",E3/B3)</f>
        <v/>
      </c>
    </row>
    <row r="4">
      <c r="A4" s="16" t="n"/>
      <c r="B4" s="17" t="n"/>
      <c r="C4" s="15" t="n"/>
      <c r="D4" s="15" t="n"/>
      <c r="E4" s="17" t="n"/>
      <c r="F4" s="18">
        <f>IF(A4="","",E4/B4)</f>
        <v/>
      </c>
    </row>
    <row r="5">
      <c r="A5" s="16" t="n"/>
      <c r="B5" s="17" t="n"/>
      <c r="C5" s="15" t="n"/>
      <c r="D5" s="15" t="n"/>
      <c r="E5" s="17" t="n"/>
      <c r="F5" s="18">
        <f>IF(A5="","",E5/B5)</f>
        <v/>
      </c>
    </row>
    <row r="6">
      <c r="A6" s="16" t="n"/>
      <c r="B6" s="17" t="n"/>
      <c r="C6" s="15" t="n"/>
      <c r="D6" s="15" t="n"/>
      <c r="E6" s="17" t="n"/>
      <c r="F6" s="18">
        <f>IF(A6="","",E6/B6)</f>
        <v/>
      </c>
    </row>
    <row r="7">
      <c r="A7" s="16" t="n"/>
      <c r="B7" s="17" t="n"/>
      <c r="C7" s="15" t="n"/>
      <c r="D7" s="15" t="n"/>
      <c r="E7" s="17" t="n"/>
      <c r="F7" s="18">
        <f>IF(A7="","",E7/B7)</f>
        <v/>
      </c>
    </row>
    <row r="8">
      <c r="A8" s="16" t="n"/>
      <c r="B8" s="17" t="n"/>
      <c r="C8" s="15" t="n"/>
      <c r="D8" s="15" t="n"/>
      <c r="E8" s="17" t="n"/>
      <c r="F8" s="18">
        <f>IF(A8="","",E8/B8)</f>
        <v/>
      </c>
    </row>
    <row r="9">
      <c r="A9" s="16" t="n"/>
      <c r="B9" s="17" t="n"/>
      <c r="C9" s="15" t="n"/>
      <c r="D9" s="15" t="n"/>
      <c r="E9" s="17" t="n"/>
      <c r="F9" s="18">
        <f>IF(A9="","",E9/B9)</f>
        <v/>
      </c>
    </row>
    <row r="10">
      <c r="A10" s="16" t="n"/>
      <c r="B10" s="17" t="n"/>
      <c r="C10" s="15" t="n"/>
      <c r="D10" s="15" t="n"/>
      <c r="E10" s="17" t="n"/>
      <c r="F10" s="18">
        <f>IF(A10="","",E10/B10)</f>
        <v/>
      </c>
    </row>
    <row r="11">
      <c r="A11" s="16" t="n"/>
      <c r="B11" s="17" t="n"/>
      <c r="C11" s="15" t="n"/>
      <c r="D11" s="15" t="n"/>
      <c r="E11" s="17" t="n"/>
      <c r="F11" s="18">
        <f>IF(A11="","",E11/B11)</f>
        <v/>
      </c>
    </row>
    <row r="12">
      <c r="A12" s="16" t="n"/>
      <c r="B12" s="17" t="n"/>
      <c r="C12" s="15" t="n"/>
      <c r="D12" s="15" t="n"/>
      <c r="E12" s="17" t="n"/>
      <c r="F12" s="18">
        <f>IF(A12="","",E12/B12)</f>
        <v/>
      </c>
    </row>
  </sheetData>
  <conditionalFormatting sqref="B2:B12">
    <cfRule type="cellIs" priority="1" operator="lessThan" dxfId="0">
      <formula>0</formula>
    </cfRule>
  </conditionalFormatting>
  <conditionalFormatting sqref="E2:E12">
    <cfRule type="cellIs" priority="2" operator="lessThan" dxfId="0">
      <formula>0</formula>
    </cfRule>
  </conditionalFormatting>
  <conditionalFormatting sqref="F2:F12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Vereinsfinanz-Tracker &amp; Spendenziel-Rechner</dc:title>
  <dcterms:created xsi:type="dcterms:W3CDTF">2026-10-11T19:08:41Z</dcterms:created>
  <dcterms:modified xsi:type="dcterms:W3CDTF">2026-10-11T19:08:41Z</dcterms:modified>
</cp:coreProperties>
</file>