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119" displayName="T_Itin_raire_2119" ref="A1:F56" headerRowCount="1">
  <autoFilter ref="A1:F56"/>
  <tableColumns count="6">
    <tableColumn id="1" name="Date"/>
    <tableColumn id="2" name="Activité"/>
    <tableColumn id="3" name="Lieu"/>
    <tableColumn id="4" name="Heure"/>
    <tableColumn id="5" name="Prix"/>
    <tableColumn id="6" name="Transport"/>
  </tableColumns>
  <tableStyleInfo name="TableStyleMedium7" showRowStripes="1"/>
</table>
</file>

<file path=xl/tables/table2.xml><?xml version="1.0" encoding="utf-8"?>
<table xmlns="http://schemas.openxmlformats.org/spreadsheetml/2006/main" id="2" name="T_Budget_3635" displayName="T_Budget_3635" ref="A1:E64" headerRowCount="1">
  <autoFilter ref="A1:E64"/>
  <tableColumns count="5">
    <tableColumn id="1" name="Date"/>
    <tableColumn id="2" name="Catégorie"/>
    <tableColumn id="3" name="Détail"/>
    <tableColumn id="4" name="Montant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à Berlin &amp; Potsdam : Suivi des Dépenses et Itinéraire</t>
        </is>
      </c>
    </row>
    <row r="3" ht="45" customHeight="1">
      <c r="C3" s="2" t="inlineStr">
        <is>
          <t>Organisez votre voyage parfait à Berlin et Potsdam avec ce tracker complet : budget, itinéraire et incontournables. Gain de temps garanti et dépenses sous contrôle.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Liste des sites à visiter avec horaires/périodes idéales</t>
        </is>
      </c>
    </row>
    <row r="7" ht="18" customHeight="1">
      <c r="B7" s="4" t="inlineStr">
        <is>
          <t>2.</t>
        </is>
      </c>
      <c r="C7" s="5" t="inlineStr">
        <is>
          <t>Budget quotidien personnalisable par catégorie</t>
        </is>
      </c>
    </row>
    <row r="8" ht="18" customHeight="1">
      <c r="B8" s="4" t="inlineStr">
        <is>
          <t>3.</t>
        </is>
      </c>
      <c r="C8" s="5" t="inlineStr">
        <is>
          <t>Options de transports (TP, vélo, marche) pré-remplies</t>
        </is>
      </c>
    </row>
    <row r="9" ht="18" customHeight="1">
      <c r="B9" s="4" t="inlineStr">
        <is>
          <t>4.</t>
        </is>
      </c>
      <c r="C9" s="5" t="inlineStr">
        <is>
          <t>Suggestions de restaurants/quartiers par budget</t>
        </is>
      </c>
    </row>
    <row r="10" ht="18" customHeight="1">
      <c r="B10" s="4" t="inlineStr">
        <is>
          <t>5.</t>
        </is>
      </c>
      <c r="C10" s="5" t="inlineStr">
        <is>
          <t>Suivi des dépenses en temps réel avec alertes</t>
        </is>
      </c>
    </row>
    <row r="11" ht="18" customHeight="1">
      <c r="B11" s="4" t="inlineStr">
        <is>
          <t>6.</t>
        </is>
      </c>
      <c r="C11" s="5" t="inlineStr">
        <is>
          <t>Export PDF pour plans mobiles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Itinéraire</t>
        </is>
      </c>
    </row>
    <row r="18">
      <c r="C18" s="7" t="inlineStr">
        <is>
          <t>→ Budget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à Berlin &amp; Potsdam : Suivi des Dépen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SUM(Budget!D2:D300)</f>
        <v/>
      </c>
    </row>
    <row r="6" ht="24" customHeight="1">
      <c r="B6" s="11" t="inlineStr">
        <is>
          <t>Dépenses culturelles</t>
        </is>
      </c>
      <c r="C6" s="12">
        <f>SUMIF(Budget!B2:B300,"Activités",Budget!D2:D300)</f>
        <v/>
      </c>
    </row>
    <row r="7" ht="24" customHeight="1">
      <c r="B7" s="11" t="inlineStr">
        <is>
          <t>Jours restants</t>
        </is>
      </c>
      <c r="C7" s="13">
        <f>MAX(Itinéraire!A2:A50)-TODAY()</f>
        <v/>
      </c>
    </row>
    <row r="8" ht="24" customHeight="1">
      <c r="B8" s="11" t="inlineStr">
        <is>
          <t>Activités planifiées</t>
        </is>
      </c>
      <c r="C8" s="13">
        <f>COUNTA(Itinéraire!B2:B50)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2" customWidth="1" min="4" max="4"/>
    <col width="40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Activité</t>
        </is>
      </c>
      <c r="C1" s="14" t="inlineStr">
        <is>
          <t>Lieu</t>
        </is>
      </c>
      <c r="D1" s="14" t="inlineStr">
        <is>
          <t>Heure</t>
        </is>
      </c>
      <c r="E1" s="14" t="inlineStr">
        <is>
          <t>Prix</t>
        </is>
      </c>
      <c r="F1" s="14" t="inlineStr">
        <is>
          <t>Transport</t>
        </is>
      </c>
    </row>
    <row r="2">
      <c r="A2" s="15" t="n">
        <v>46157</v>
      </c>
      <c r="B2" s="16" t="inlineStr">
        <is>
          <t>Musée de Pergame</t>
        </is>
      </c>
      <c r="C2" s="16" t="inlineStr">
        <is>
          <t>Museuminsel</t>
        </is>
      </c>
      <c r="D2" s="16" t="inlineStr">
        <is>
          <t>09:00</t>
        </is>
      </c>
      <c r="E2" s="17">
        <f>IF(E2&gt;20,"⚠️ Budget","OK")</f>
        <v/>
      </c>
      <c r="F2" s="16" t="inlineStr">
        <is>
          <t>Métro</t>
        </is>
      </c>
    </row>
    <row r="3">
      <c r="A3" s="15" t="n">
        <v>46157</v>
      </c>
      <c r="B3" s="16" t="inlineStr">
        <is>
          <t>Déjeuner</t>
        </is>
      </c>
      <c r="C3" s="16" t="inlineStr">
        <is>
          <t>Kreuzberg</t>
        </is>
      </c>
      <c r="D3" s="16" t="inlineStr">
        <is>
          <t>12:30</t>
        </is>
      </c>
      <c r="E3" s="17">
        <f>IF(E3&gt;20,"⚠️ Budget","OK")</f>
        <v/>
      </c>
      <c r="F3" s="16" t="inlineStr">
        <is>
          <t>Marche</t>
        </is>
      </c>
    </row>
    <row r="4">
      <c r="A4" s="15" t="n">
        <v>46157</v>
      </c>
      <c r="B4" s="16" t="inlineStr">
        <is>
          <t>Palais Sanssouci</t>
        </is>
      </c>
      <c r="C4" s="16" t="inlineStr">
        <is>
          <t>Potsdam</t>
        </is>
      </c>
      <c r="D4" s="16" t="inlineStr">
        <is>
          <t>14:30</t>
        </is>
      </c>
      <c r="E4" s="17">
        <f>IF(E4&gt;20,"⚠️ Budget","OK")</f>
        <v/>
      </c>
      <c r="F4" s="16" t="inlineStr">
        <is>
          <t>Train</t>
        </is>
      </c>
    </row>
    <row r="5">
      <c r="A5" s="15" t="n">
        <v>46158</v>
      </c>
      <c r="B5" s="16" t="inlineStr">
        <is>
          <t>Street art tour</t>
        </is>
      </c>
      <c r="C5" s="16" t="inlineStr">
        <is>
          <t>East Side Gallery</t>
        </is>
      </c>
      <c r="D5" s="16" t="inlineStr">
        <is>
          <t>10:00</t>
        </is>
      </c>
      <c r="E5" s="17">
        <f>IF(E5&gt;20,"⚠️ Budget","OK")</f>
        <v/>
      </c>
      <c r="F5" s="16" t="inlineStr">
        <is>
          <t>Marche</t>
        </is>
      </c>
    </row>
    <row r="6">
      <c r="A6" s="15" t="n">
        <v>46158</v>
      </c>
      <c r="B6" s="16" t="inlineStr">
        <is>
          <t>Croisière Spree</t>
        </is>
      </c>
      <c r="C6" s="16" t="inlineStr">
        <is>
          <t>Centre-ville</t>
        </is>
      </c>
      <c r="D6" s="16" t="inlineStr">
        <is>
          <t>15:00</t>
        </is>
      </c>
      <c r="E6" s="17">
        <f>IF(E6&gt;20,"⚠️ Budget","OK")</f>
        <v/>
      </c>
      <c r="F6" s="16" t="inlineStr">
        <is>
          <t>Bateau</t>
        </is>
      </c>
    </row>
    <row r="7">
      <c r="A7" s="15" t="n"/>
      <c r="B7" s="16" t="n"/>
      <c r="C7" s="16" t="n"/>
      <c r="D7" s="16" t="n"/>
      <c r="E7" s="17">
        <f>IF(A7="","",IF(E7&gt;20,"⚠️ Budget","OK"))</f>
        <v/>
      </c>
      <c r="F7" s="16" t="n"/>
    </row>
    <row r="8">
      <c r="A8" s="15" t="n"/>
      <c r="B8" s="16" t="n"/>
      <c r="C8" s="16" t="n"/>
      <c r="D8" s="16" t="n"/>
      <c r="E8" s="17">
        <f>IF(A8="","",IF(E8&gt;20,"⚠️ Budget","OK"))</f>
        <v/>
      </c>
      <c r="F8" s="16" t="n"/>
    </row>
    <row r="9">
      <c r="A9" s="15" t="n"/>
      <c r="B9" s="16" t="n"/>
      <c r="C9" s="16" t="n"/>
      <c r="D9" s="16" t="n"/>
      <c r="E9" s="17">
        <f>IF(A9="","",IF(E9&gt;20,"⚠️ Budget","OK"))</f>
        <v/>
      </c>
      <c r="F9" s="16" t="n"/>
    </row>
    <row r="10">
      <c r="A10" s="15" t="n"/>
      <c r="B10" s="16" t="n"/>
      <c r="C10" s="16" t="n"/>
      <c r="D10" s="16" t="n"/>
      <c r="E10" s="17">
        <f>IF(A10="","",IF(E10&gt;20,"⚠️ Budget","OK"))</f>
        <v/>
      </c>
      <c r="F10" s="16" t="n"/>
    </row>
    <row r="11">
      <c r="A11" s="15" t="n"/>
      <c r="B11" s="16" t="n"/>
      <c r="C11" s="16" t="n"/>
      <c r="D11" s="16" t="n"/>
      <c r="E11" s="17">
        <f>IF(A11="","",IF(E11&gt;20,"⚠️ Budget","OK"))</f>
        <v/>
      </c>
      <c r="F11" s="16" t="n"/>
    </row>
    <row r="12">
      <c r="A12" s="15" t="n"/>
      <c r="B12" s="16" t="n"/>
      <c r="C12" s="16" t="n"/>
      <c r="D12" s="16" t="n"/>
      <c r="E12" s="17">
        <f>IF(A12="","",IF(E12&gt;20,"⚠️ Budget","OK"))</f>
        <v/>
      </c>
      <c r="F12" s="16" t="n"/>
    </row>
    <row r="13">
      <c r="A13" s="15" t="n"/>
      <c r="B13" s="16" t="n"/>
      <c r="C13" s="16" t="n"/>
      <c r="D13" s="16" t="n"/>
      <c r="E13" s="17">
        <f>IF(A13="","",IF(E13&gt;20,"⚠️ Budget","OK"))</f>
        <v/>
      </c>
      <c r="F13" s="16" t="n"/>
    </row>
    <row r="14">
      <c r="A14" s="15" t="n"/>
      <c r="B14" s="16" t="n"/>
      <c r="C14" s="16" t="n"/>
      <c r="D14" s="16" t="n"/>
      <c r="E14" s="17">
        <f>IF(A14="","",IF(E14&gt;20,"⚠️ Budget","OK"))</f>
        <v/>
      </c>
      <c r="F14" s="16" t="n"/>
    </row>
    <row r="15">
      <c r="A15" s="15" t="n"/>
      <c r="B15" s="16" t="n"/>
      <c r="C15" s="16" t="n"/>
      <c r="D15" s="16" t="n"/>
      <c r="E15" s="17">
        <f>IF(A15="","",IF(E15&gt;20,"⚠️ Budget","OK"))</f>
        <v/>
      </c>
      <c r="F15" s="16" t="n"/>
    </row>
    <row r="16">
      <c r="A16" s="15" t="n"/>
      <c r="B16" s="16" t="n"/>
      <c r="C16" s="16" t="n"/>
      <c r="D16" s="16" t="n"/>
      <c r="E16" s="17">
        <f>IF(A16="","",IF(E16&gt;20,"⚠️ Budget","OK"))</f>
        <v/>
      </c>
      <c r="F16" s="16" t="n"/>
    </row>
    <row r="17">
      <c r="A17" s="15" t="n"/>
      <c r="B17" s="16" t="n"/>
      <c r="C17" s="16" t="n"/>
      <c r="D17" s="16" t="n"/>
      <c r="E17" s="17">
        <f>IF(A17="","",IF(E17&gt;20,"⚠️ Budget","OK"))</f>
        <v/>
      </c>
      <c r="F17" s="16" t="n"/>
    </row>
    <row r="18">
      <c r="A18" s="15" t="n"/>
      <c r="B18" s="16" t="n"/>
      <c r="C18" s="16" t="n"/>
      <c r="D18" s="16" t="n"/>
      <c r="E18" s="17">
        <f>IF(A18="","",IF(E18&gt;20,"⚠️ Budget","OK"))</f>
        <v/>
      </c>
      <c r="F18" s="16" t="n"/>
    </row>
    <row r="19">
      <c r="A19" s="15" t="n"/>
      <c r="B19" s="16" t="n"/>
      <c r="C19" s="16" t="n"/>
      <c r="D19" s="16" t="n"/>
      <c r="E19" s="17">
        <f>IF(A19="","",IF(E19&gt;20,"⚠️ Budget","OK"))</f>
        <v/>
      </c>
      <c r="F19" s="16" t="n"/>
    </row>
    <row r="20">
      <c r="A20" s="15" t="n"/>
      <c r="B20" s="16" t="n"/>
      <c r="C20" s="16" t="n"/>
      <c r="D20" s="16" t="n"/>
      <c r="E20" s="17">
        <f>IF(A20="","",IF(E20&gt;20,"⚠️ Budget","OK"))</f>
        <v/>
      </c>
      <c r="F20" s="16" t="n"/>
    </row>
    <row r="21">
      <c r="A21" s="15" t="n"/>
      <c r="B21" s="16" t="n"/>
      <c r="C21" s="16" t="n"/>
      <c r="D21" s="16" t="n"/>
      <c r="E21" s="17">
        <f>IF(A21="","",IF(E21&gt;20,"⚠️ Budget","OK"))</f>
        <v/>
      </c>
      <c r="F21" s="16" t="n"/>
    </row>
    <row r="22">
      <c r="A22" s="15" t="n"/>
      <c r="B22" s="16" t="n"/>
      <c r="C22" s="16" t="n"/>
      <c r="D22" s="16" t="n"/>
      <c r="E22" s="17">
        <f>IF(A22="","",IF(E22&gt;20,"⚠️ Budget","OK"))</f>
        <v/>
      </c>
      <c r="F22" s="16" t="n"/>
    </row>
    <row r="23">
      <c r="A23" s="15" t="n"/>
      <c r="B23" s="16" t="n"/>
      <c r="C23" s="16" t="n"/>
      <c r="D23" s="16" t="n"/>
      <c r="E23" s="17">
        <f>IF(A23="","",IF(E23&gt;20,"⚠️ Budget","OK"))</f>
        <v/>
      </c>
      <c r="F23" s="16" t="n"/>
    </row>
    <row r="24">
      <c r="A24" s="15" t="n"/>
      <c r="B24" s="16" t="n"/>
      <c r="C24" s="16" t="n"/>
      <c r="D24" s="16" t="n"/>
      <c r="E24" s="17">
        <f>IF(A24="","",IF(E24&gt;20,"⚠️ Budget","OK"))</f>
        <v/>
      </c>
      <c r="F24" s="16" t="n"/>
    </row>
    <row r="25">
      <c r="A25" s="15" t="n"/>
      <c r="B25" s="16" t="n"/>
      <c r="C25" s="16" t="n"/>
      <c r="D25" s="16" t="n"/>
      <c r="E25" s="17">
        <f>IF(A25="","",IF(E25&gt;20,"⚠️ Budget","OK"))</f>
        <v/>
      </c>
      <c r="F25" s="16" t="n"/>
    </row>
    <row r="26">
      <c r="A26" s="15" t="n"/>
      <c r="B26" s="16" t="n"/>
      <c r="C26" s="16" t="n"/>
      <c r="D26" s="16" t="n"/>
      <c r="E26" s="17">
        <f>IF(A26="","",IF(E26&gt;20,"⚠️ Budget","OK"))</f>
        <v/>
      </c>
      <c r="F26" s="16" t="n"/>
    </row>
    <row r="27">
      <c r="A27" s="15" t="n"/>
      <c r="B27" s="16" t="n"/>
      <c r="C27" s="16" t="n"/>
      <c r="D27" s="16" t="n"/>
      <c r="E27" s="17">
        <f>IF(A27="","",IF(E27&gt;20,"⚠️ Budget","OK"))</f>
        <v/>
      </c>
      <c r="F27" s="16" t="n"/>
    </row>
    <row r="28">
      <c r="A28" s="15" t="n"/>
      <c r="B28" s="16" t="n"/>
      <c r="C28" s="16" t="n"/>
      <c r="D28" s="16" t="n"/>
      <c r="E28" s="17">
        <f>IF(A28="","",IF(E28&gt;20,"⚠️ Budget","OK"))</f>
        <v/>
      </c>
      <c r="F28" s="16" t="n"/>
    </row>
    <row r="29">
      <c r="A29" s="15" t="n"/>
      <c r="B29" s="16" t="n"/>
      <c r="C29" s="16" t="n"/>
      <c r="D29" s="16" t="n"/>
      <c r="E29" s="17">
        <f>IF(A29="","",IF(E29&gt;20,"⚠️ Budget","OK"))</f>
        <v/>
      </c>
      <c r="F29" s="16" t="n"/>
    </row>
    <row r="30">
      <c r="A30" s="15" t="n"/>
      <c r="B30" s="16" t="n"/>
      <c r="C30" s="16" t="n"/>
      <c r="D30" s="16" t="n"/>
      <c r="E30" s="17">
        <f>IF(A30="","",IF(E30&gt;20,"⚠️ Budget","OK"))</f>
        <v/>
      </c>
      <c r="F30" s="16" t="n"/>
    </row>
    <row r="31">
      <c r="A31" s="15" t="n"/>
      <c r="B31" s="16" t="n"/>
      <c r="C31" s="16" t="n"/>
      <c r="D31" s="16" t="n"/>
      <c r="E31" s="17">
        <f>IF(A31="","",IF(E31&gt;20,"⚠️ Budget","OK"))</f>
        <v/>
      </c>
      <c r="F31" s="16" t="n"/>
    </row>
    <row r="32">
      <c r="A32" s="15" t="n"/>
      <c r="B32" s="16" t="n"/>
      <c r="C32" s="16" t="n"/>
      <c r="D32" s="16" t="n"/>
      <c r="E32" s="17">
        <f>IF(A32="","",IF(E32&gt;20,"⚠️ Budget","OK"))</f>
        <v/>
      </c>
      <c r="F32" s="16" t="n"/>
    </row>
    <row r="33">
      <c r="A33" s="15" t="n"/>
      <c r="B33" s="16" t="n"/>
      <c r="C33" s="16" t="n"/>
      <c r="D33" s="16" t="n"/>
      <c r="E33" s="17">
        <f>IF(A33="","",IF(E33&gt;20,"⚠️ Budget","OK"))</f>
        <v/>
      </c>
      <c r="F33" s="16" t="n"/>
    </row>
    <row r="34">
      <c r="A34" s="15" t="n"/>
      <c r="B34" s="16" t="n"/>
      <c r="C34" s="16" t="n"/>
      <c r="D34" s="16" t="n"/>
      <c r="E34" s="17">
        <f>IF(A34="","",IF(E34&gt;20,"⚠️ Budget","OK"))</f>
        <v/>
      </c>
      <c r="F34" s="16" t="n"/>
    </row>
    <row r="35">
      <c r="A35" s="15" t="n"/>
      <c r="B35" s="16" t="n"/>
      <c r="C35" s="16" t="n"/>
      <c r="D35" s="16" t="n"/>
      <c r="E35" s="17">
        <f>IF(A35="","",IF(E35&gt;20,"⚠️ Budget","OK"))</f>
        <v/>
      </c>
      <c r="F35" s="16" t="n"/>
    </row>
    <row r="36">
      <c r="A36" s="15" t="n"/>
      <c r="B36" s="16" t="n"/>
      <c r="C36" s="16" t="n"/>
      <c r="D36" s="16" t="n"/>
      <c r="E36" s="17">
        <f>IF(A36="","",IF(E36&gt;20,"⚠️ Budget","OK"))</f>
        <v/>
      </c>
      <c r="F36" s="16" t="n"/>
    </row>
    <row r="37">
      <c r="A37" s="15" t="n"/>
      <c r="B37" s="16" t="n"/>
      <c r="C37" s="16" t="n"/>
      <c r="D37" s="16" t="n"/>
      <c r="E37" s="17">
        <f>IF(A37="","",IF(E37&gt;20,"⚠️ Budget","OK"))</f>
        <v/>
      </c>
      <c r="F37" s="16" t="n"/>
    </row>
    <row r="38">
      <c r="A38" s="15" t="n"/>
      <c r="B38" s="16" t="n"/>
      <c r="C38" s="16" t="n"/>
      <c r="D38" s="16" t="n"/>
      <c r="E38" s="17">
        <f>IF(A38="","",IF(E38&gt;20,"⚠️ Budget","OK"))</f>
        <v/>
      </c>
      <c r="F38" s="16" t="n"/>
    </row>
    <row r="39">
      <c r="A39" s="15" t="n"/>
      <c r="B39" s="16" t="n"/>
      <c r="C39" s="16" t="n"/>
      <c r="D39" s="16" t="n"/>
      <c r="E39" s="17">
        <f>IF(A39="","",IF(E39&gt;20,"⚠️ Budget","OK"))</f>
        <v/>
      </c>
      <c r="F39" s="16" t="n"/>
    </row>
    <row r="40">
      <c r="A40" s="15" t="n"/>
      <c r="B40" s="16" t="n"/>
      <c r="C40" s="16" t="n"/>
      <c r="D40" s="16" t="n"/>
      <c r="E40" s="17">
        <f>IF(A40="","",IF(E40&gt;20,"⚠️ Budget","OK"))</f>
        <v/>
      </c>
      <c r="F40" s="16" t="n"/>
    </row>
    <row r="41">
      <c r="A41" s="15" t="n"/>
      <c r="B41" s="16" t="n"/>
      <c r="C41" s="16" t="n"/>
      <c r="D41" s="16" t="n"/>
      <c r="E41" s="17">
        <f>IF(A41="","",IF(E41&gt;20,"⚠️ Budget","OK"))</f>
        <v/>
      </c>
      <c r="F41" s="16" t="n"/>
    </row>
    <row r="42">
      <c r="A42" s="15" t="n"/>
      <c r="B42" s="16" t="n"/>
      <c r="C42" s="16" t="n"/>
      <c r="D42" s="16" t="n"/>
      <c r="E42" s="17">
        <f>IF(A42="","",IF(E42&gt;20,"⚠️ Budget","OK"))</f>
        <v/>
      </c>
      <c r="F42" s="16" t="n"/>
    </row>
    <row r="43">
      <c r="A43" s="15" t="n"/>
      <c r="B43" s="16" t="n"/>
      <c r="C43" s="16" t="n"/>
      <c r="D43" s="16" t="n"/>
      <c r="E43" s="17">
        <f>IF(A43="","",IF(E43&gt;20,"⚠️ Budget","OK"))</f>
        <v/>
      </c>
      <c r="F43" s="16" t="n"/>
    </row>
    <row r="44">
      <c r="A44" s="15" t="n"/>
      <c r="B44" s="16" t="n"/>
      <c r="C44" s="16" t="n"/>
      <c r="D44" s="16" t="n"/>
      <c r="E44" s="17">
        <f>IF(A44="","",IF(E44&gt;20,"⚠️ Budget","OK"))</f>
        <v/>
      </c>
      <c r="F44" s="16" t="n"/>
    </row>
    <row r="45">
      <c r="A45" s="15" t="n"/>
      <c r="B45" s="16" t="n"/>
      <c r="C45" s="16" t="n"/>
      <c r="D45" s="16" t="n"/>
      <c r="E45" s="17">
        <f>IF(A45="","",IF(E45&gt;20,"⚠️ Budget","OK"))</f>
        <v/>
      </c>
      <c r="F45" s="16" t="n"/>
    </row>
    <row r="46">
      <c r="A46" s="15" t="n"/>
      <c r="B46" s="16" t="n"/>
      <c r="C46" s="16" t="n"/>
      <c r="D46" s="16" t="n"/>
      <c r="E46" s="17">
        <f>IF(A46="","",IF(E46&gt;20,"⚠️ Budget","OK"))</f>
        <v/>
      </c>
      <c r="F46" s="16" t="n"/>
    </row>
    <row r="47">
      <c r="A47" s="15" t="n"/>
      <c r="B47" s="16" t="n"/>
      <c r="C47" s="16" t="n"/>
      <c r="D47" s="16" t="n"/>
      <c r="E47" s="17">
        <f>IF(A47="","",IF(E47&gt;20,"⚠️ Budget","OK"))</f>
        <v/>
      </c>
      <c r="F47" s="16" t="n"/>
    </row>
    <row r="48">
      <c r="A48" s="15" t="n"/>
      <c r="B48" s="16" t="n"/>
      <c r="C48" s="16" t="n"/>
      <c r="D48" s="16" t="n"/>
      <c r="E48" s="17">
        <f>IF(A48="","",IF(E48&gt;20,"⚠️ Budget","OK"))</f>
        <v/>
      </c>
      <c r="F48" s="16" t="n"/>
    </row>
    <row r="49">
      <c r="A49" s="15" t="n"/>
      <c r="B49" s="16" t="n"/>
      <c r="C49" s="16" t="n"/>
      <c r="D49" s="16" t="n"/>
      <c r="E49" s="17">
        <f>IF(A49="","",IF(E49&gt;20,"⚠️ Budget","OK"))</f>
        <v/>
      </c>
      <c r="F49" s="16" t="n"/>
    </row>
    <row r="50">
      <c r="A50" s="15" t="n"/>
      <c r="B50" s="16" t="n"/>
      <c r="C50" s="16" t="n"/>
      <c r="D50" s="16" t="n"/>
      <c r="E50" s="17">
        <f>IF(A50="","",IF(E50&gt;20,"⚠️ Budget","OK"))</f>
        <v/>
      </c>
      <c r="F50" s="16" t="n"/>
    </row>
    <row r="51">
      <c r="A51" s="15" t="n"/>
      <c r="B51" s="16" t="n"/>
      <c r="C51" s="16" t="n"/>
      <c r="D51" s="16" t="n"/>
      <c r="E51" s="17">
        <f>IF(A51="","",IF(E51&gt;20,"⚠️ Budget","OK"))</f>
        <v/>
      </c>
      <c r="F51" s="16" t="n"/>
    </row>
    <row r="52">
      <c r="A52" s="15" t="n"/>
      <c r="B52" s="16" t="n"/>
      <c r="C52" s="16" t="n"/>
      <c r="D52" s="16" t="n"/>
      <c r="E52" s="17">
        <f>IF(A52="","",IF(E52&gt;20,"⚠️ Budget","OK"))</f>
        <v/>
      </c>
      <c r="F52" s="16" t="n"/>
    </row>
    <row r="53">
      <c r="A53" s="15" t="n"/>
      <c r="B53" s="16" t="n"/>
      <c r="C53" s="16" t="n"/>
      <c r="D53" s="16" t="n"/>
      <c r="E53" s="17">
        <f>IF(A53="","",IF(E53&gt;20,"⚠️ Budget","OK"))</f>
        <v/>
      </c>
      <c r="F53" s="16" t="n"/>
    </row>
    <row r="54">
      <c r="A54" s="15" t="n"/>
      <c r="B54" s="16" t="n"/>
      <c r="C54" s="16" t="n"/>
      <c r="D54" s="16" t="n"/>
      <c r="E54" s="17">
        <f>IF(A54="","",IF(E54&gt;20,"⚠️ Budget","OK"))</f>
        <v/>
      </c>
      <c r="F54" s="16" t="n"/>
    </row>
    <row r="55">
      <c r="A55" s="15" t="n"/>
      <c r="B55" s="16" t="n"/>
      <c r="C55" s="16" t="n"/>
      <c r="D55" s="16" t="n"/>
      <c r="E55" s="17">
        <f>IF(A55="","",IF(E55&gt;20,"⚠️ Budget","OK"))</f>
        <v/>
      </c>
      <c r="F55" s="16" t="n"/>
    </row>
    <row r="56">
      <c r="A56" s="15" t="n"/>
      <c r="B56" s="16" t="n"/>
      <c r="C56" s="16" t="n"/>
      <c r="D56" s="16" t="n"/>
      <c r="E56" s="17">
        <f>IF(A56="","",IF(E56&gt;20,"⚠️ Budget","OK"))</f>
        <v/>
      </c>
      <c r="F56" s="16" t="n"/>
    </row>
  </sheetData>
  <conditionalFormatting sqref="E2:E56">
    <cfRule type="cellIs" priority="1" operator="lessThan" dxfId="0">
      <formula>0</formula>
    </cfRule>
  </conditionalFormatting>
  <dataValidations count="1">
    <dataValidation sqref="F2:F56" showDropDown="0" showInputMessage="0" showErrorMessage="0" allowBlank="1" type="list">
      <formula1>"Métro,Bus,Train,Marche,Vélo,Taxi,Bateau"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40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Détail</t>
        </is>
      </c>
      <c r="D1" s="14" t="inlineStr">
        <is>
          <t>Montant</t>
        </is>
      </c>
      <c r="E1" s="14" t="inlineStr">
        <is>
          <t>Notes</t>
        </is>
      </c>
    </row>
    <row r="2">
      <c r="A2" s="15" t="n">
        <v>46156</v>
      </c>
      <c r="B2" s="16" t="inlineStr">
        <is>
          <t>Transport</t>
        </is>
      </c>
      <c r="C2" s="16" t="inlineStr">
        <is>
          <t>Vol Paris-Berlin</t>
        </is>
      </c>
      <c r="D2" s="17">
        <f>IF(D2&gt;100,"Grosse dépense","")</f>
        <v/>
      </c>
      <c r="E2" s="16" t="inlineStr">
        <is>
          <t>Ryanair</t>
        </is>
      </c>
    </row>
    <row r="3">
      <c r="A3" s="15" t="n">
        <v>46156</v>
      </c>
      <c r="B3" s="16" t="inlineStr">
        <is>
          <t>Logement</t>
        </is>
      </c>
      <c r="C3" s="16" t="inlineStr">
        <is>
          <t>Hôtel 3 nuits</t>
        </is>
      </c>
      <c r="D3" s="17">
        <f>IF(D3&gt;100,"Grosse dépense","")</f>
        <v/>
      </c>
      <c r="E3" s="16" t="inlineStr">
        <is>
          <t>Kreuzberg</t>
        </is>
      </c>
    </row>
    <row r="4">
      <c r="A4" s="15" t="n">
        <v>46157</v>
      </c>
      <c r="B4" s="16" t="inlineStr">
        <is>
          <t>Nourriture</t>
        </is>
      </c>
      <c r="C4" s="16" t="inlineStr">
        <is>
          <t>Marché Turkish</t>
        </is>
      </c>
      <c r="D4" s="17">
        <f>IF(D4&gt;100,"Grosse dépense","")</f>
        <v/>
      </c>
      <c r="E4" s="16" t="inlineStr">
        <is>
          <t>Midi</t>
        </is>
      </c>
    </row>
    <row r="5">
      <c r="A5" s="15" t="n"/>
      <c r="B5" s="16" t="n"/>
      <c r="C5" s="16" t="n"/>
      <c r="D5" s="17">
        <f>IF(A5="","",IF(D5&gt;100,"Grosse dépense",""))</f>
        <v/>
      </c>
      <c r="E5" s="16" t="n"/>
    </row>
    <row r="6">
      <c r="A6" s="15" t="n"/>
      <c r="B6" s="16" t="n"/>
      <c r="C6" s="16" t="n"/>
      <c r="D6" s="17">
        <f>IF(A6="","",IF(D6&gt;100,"Grosse dépense",""))</f>
        <v/>
      </c>
      <c r="E6" s="16" t="n"/>
    </row>
    <row r="7">
      <c r="A7" s="15" t="n"/>
      <c r="B7" s="16" t="n"/>
      <c r="C7" s="16" t="n"/>
      <c r="D7" s="17">
        <f>IF(A7="","",IF(D7&gt;100,"Grosse dépense",""))</f>
        <v/>
      </c>
      <c r="E7" s="16" t="n"/>
    </row>
    <row r="8">
      <c r="A8" s="15" t="n"/>
      <c r="B8" s="16" t="n"/>
      <c r="C8" s="16" t="n"/>
      <c r="D8" s="17">
        <f>IF(A8="","",IF(D8&gt;100,"Grosse dépense",""))</f>
        <v/>
      </c>
      <c r="E8" s="16" t="n"/>
    </row>
    <row r="9">
      <c r="A9" s="15" t="n"/>
      <c r="B9" s="16" t="n"/>
      <c r="C9" s="16" t="n"/>
      <c r="D9" s="17">
        <f>IF(A9="","",IF(D9&gt;100,"Grosse dépense",""))</f>
        <v/>
      </c>
      <c r="E9" s="16" t="n"/>
    </row>
    <row r="10">
      <c r="A10" s="15" t="n"/>
      <c r="B10" s="16" t="n"/>
      <c r="C10" s="16" t="n"/>
      <c r="D10" s="17">
        <f>IF(A10="","",IF(D10&gt;100,"Grosse dépense",""))</f>
        <v/>
      </c>
      <c r="E10" s="16" t="n"/>
    </row>
    <row r="11">
      <c r="A11" s="15" t="n"/>
      <c r="B11" s="16" t="n"/>
      <c r="C11" s="16" t="n"/>
      <c r="D11" s="17">
        <f>IF(A11="","",IF(D11&gt;100,"Grosse dépense",""))</f>
        <v/>
      </c>
      <c r="E11" s="16" t="n"/>
    </row>
    <row r="12">
      <c r="A12" s="15" t="n"/>
      <c r="B12" s="16" t="n"/>
      <c r="C12" s="16" t="n"/>
      <c r="D12" s="17">
        <f>IF(A12="","",IF(D12&gt;100,"Grosse dépense",""))</f>
        <v/>
      </c>
      <c r="E12" s="16" t="n"/>
    </row>
    <row r="13">
      <c r="A13" s="15" t="n"/>
      <c r="B13" s="16" t="n"/>
      <c r="C13" s="16" t="n"/>
      <c r="D13" s="17">
        <f>IF(A13="","",IF(D13&gt;100,"Grosse dépense",""))</f>
        <v/>
      </c>
      <c r="E13" s="16" t="n"/>
    </row>
    <row r="14">
      <c r="A14" s="15" t="n"/>
      <c r="B14" s="16" t="n"/>
      <c r="C14" s="16" t="n"/>
      <c r="D14" s="17">
        <f>IF(A14="","",IF(D14&gt;100,"Grosse dépense",""))</f>
        <v/>
      </c>
      <c r="E14" s="16" t="n"/>
    </row>
    <row r="15">
      <c r="A15" s="15" t="n"/>
      <c r="B15" s="16" t="n"/>
      <c r="C15" s="16" t="n"/>
      <c r="D15" s="17">
        <f>IF(A15="","",IF(D15&gt;100,"Grosse dépense",""))</f>
        <v/>
      </c>
      <c r="E15" s="16" t="n"/>
    </row>
    <row r="16">
      <c r="A16" s="15" t="n"/>
      <c r="B16" s="16" t="n"/>
      <c r="C16" s="16" t="n"/>
      <c r="D16" s="17">
        <f>IF(A16="","",IF(D16&gt;100,"Grosse dépense",""))</f>
        <v/>
      </c>
      <c r="E16" s="16" t="n"/>
    </row>
    <row r="17">
      <c r="A17" s="15" t="n"/>
      <c r="B17" s="16" t="n"/>
      <c r="C17" s="16" t="n"/>
      <c r="D17" s="17">
        <f>IF(A17="","",IF(D17&gt;100,"Grosse dépense",""))</f>
        <v/>
      </c>
      <c r="E17" s="16" t="n"/>
    </row>
    <row r="18">
      <c r="A18" s="15" t="n"/>
      <c r="B18" s="16" t="n"/>
      <c r="C18" s="16" t="n"/>
      <c r="D18" s="17">
        <f>IF(A18="","",IF(D18&gt;100,"Grosse dépense",""))</f>
        <v/>
      </c>
      <c r="E18" s="16" t="n"/>
    </row>
    <row r="19">
      <c r="A19" s="15" t="n"/>
      <c r="B19" s="16" t="n"/>
      <c r="C19" s="16" t="n"/>
      <c r="D19" s="17">
        <f>IF(A19="","",IF(D19&gt;100,"Grosse dépense",""))</f>
        <v/>
      </c>
      <c r="E19" s="16" t="n"/>
    </row>
    <row r="20">
      <c r="A20" s="15" t="n"/>
      <c r="B20" s="16" t="n"/>
      <c r="C20" s="16" t="n"/>
      <c r="D20" s="17">
        <f>IF(A20="","",IF(D20&gt;100,"Grosse dépense",""))</f>
        <v/>
      </c>
      <c r="E20" s="16" t="n"/>
    </row>
    <row r="21">
      <c r="A21" s="15" t="n"/>
      <c r="B21" s="16" t="n"/>
      <c r="C21" s="16" t="n"/>
      <c r="D21" s="17">
        <f>IF(A21="","",IF(D21&gt;100,"Grosse dépense",""))</f>
        <v/>
      </c>
      <c r="E21" s="16" t="n"/>
    </row>
    <row r="22">
      <c r="A22" s="15" t="n"/>
      <c r="B22" s="16" t="n"/>
      <c r="C22" s="16" t="n"/>
      <c r="D22" s="17">
        <f>IF(A22="","",IF(D22&gt;100,"Grosse dépense",""))</f>
        <v/>
      </c>
      <c r="E22" s="16" t="n"/>
    </row>
    <row r="23">
      <c r="A23" s="15" t="n"/>
      <c r="B23" s="16" t="n"/>
      <c r="C23" s="16" t="n"/>
      <c r="D23" s="17">
        <f>IF(A23="","",IF(D23&gt;100,"Grosse dépense",""))</f>
        <v/>
      </c>
      <c r="E23" s="16" t="n"/>
    </row>
    <row r="24">
      <c r="A24" s="15" t="n"/>
      <c r="B24" s="16" t="n"/>
      <c r="C24" s="16" t="n"/>
      <c r="D24" s="17">
        <f>IF(A24="","",IF(D24&gt;100,"Grosse dépense",""))</f>
        <v/>
      </c>
      <c r="E24" s="16" t="n"/>
    </row>
    <row r="25">
      <c r="A25" s="15" t="n"/>
      <c r="B25" s="16" t="n"/>
      <c r="C25" s="16" t="n"/>
      <c r="D25" s="17">
        <f>IF(A25="","",IF(D25&gt;100,"Grosse dépense",""))</f>
        <v/>
      </c>
      <c r="E25" s="16" t="n"/>
    </row>
    <row r="26">
      <c r="A26" s="15" t="n"/>
      <c r="B26" s="16" t="n"/>
      <c r="C26" s="16" t="n"/>
      <c r="D26" s="17">
        <f>IF(A26="","",IF(D26&gt;100,"Grosse dépense",""))</f>
        <v/>
      </c>
      <c r="E26" s="16" t="n"/>
    </row>
    <row r="27">
      <c r="A27" s="15" t="n"/>
      <c r="B27" s="16" t="n"/>
      <c r="C27" s="16" t="n"/>
      <c r="D27" s="17">
        <f>IF(A27="","",IF(D27&gt;100,"Grosse dépense",""))</f>
        <v/>
      </c>
      <c r="E27" s="16" t="n"/>
    </row>
    <row r="28">
      <c r="A28" s="15" t="n"/>
      <c r="B28" s="16" t="n"/>
      <c r="C28" s="16" t="n"/>
      <c r="D28" s="17">
        <f>IF(A28="","",IF(D28&gt;100,"Grosse dépense",""))</f>
        <v/>
      </c>
      <c r="E28" s="16" t="n"/>
    </row>
    <row r="29">
      <c r="A29" s="15" t="n"/>
      <c r="B29" s="16" t="n"/>
      <c r="C29" s="16" t="n"/>
      <c r="D29" s="17">
        <f>IF(A29="","",IF(D29&gt;100,"Grosse dépense",""))</f>
        <v/>
      </c>
      <c r="E29" s="16" t="n"/>
    </row>
    <row r="30">
      <c r="A30" s="15" t="n"/>
      <c r="B30" s="16" t="n"/>
      <c r="C30" s="16" t="n"/>
      <c r="D30" s="17">
        <f>IF(A30="","",IF(D30&gt;100,"Grosse dépense",""))</f>
        <v/>
      </c>
      <c r="E30" s="16" t="n"/>
    </row>
    <row r="31">
      <c r="A31" s="15" t="n"/>
      <c r="B31" s="16" t="n"/>
      <c r="C31" s="16" t="n"/>
      <c r="D31" s="17">
        <f>IF(A31="","",IF(D31&gt;100,"Grosse dépense",""))</f>
        <v/>
      </c>
      <c r="E31" s="16" t="n"/>
    </row>
    <row r="32">
      <c r="A32" s="15" t="n"/>
      <c r="B32" s="16" t="n"/>
      <c r="C32" s="16" t="n"/>
      <c r="D32" s="17">
        <f>IF(A32="","",IF(D32&gt;100,"Grosse dépense",""))</f>
        <v/>
      </c>
      <c r="E32" s="16" t="n"/>
    </row>
    <row r="33">
      <c r="A33" s="15" t="n"/>
      <c r="B33" s="16" t="n"/>
      <c r="C33" s="16" t="n"/>
      <c r="D33" s="17">
        <f>IF(A33="","",IF(D33&gt;100,"Grosse dépense",""))</f>
        <v/>
      </c>
      <c r="E33" s="16" t="n"/>
    </row>
    <row r="34">
      <c r="A34" s="15" t="n"/>
      <c r="B34" s="16" t="n"/>
      <c r="C34" s="16" t="n"/>
      <c r="D34" s="17">
        <f>IF(A34="","",IF(D34&gt;100,"Grosse dépense",""))</f>
        <v/>
      </c>
      <c r="E34" s="16" t="n"/>
    </row>
    <row r="35">
      <c r="A35" s="15" t="n"/>
      <c r="B35" s="16" t="n"/>
      <c r="C35" s="16" t="n"/>
      <c r="D35" s="17">
        <f>IF(A35="","",IF(D35&gt;100,"Grosse dépense",""))</f>
        <v/>
      </c>
      <c r="E35" s="16" t="n"/>
    </row>
    <row r="36">
      <c r="A36" s="15" t="n"/>
      <c r="B36" s="16" t="n"/>
      <c r="C36" s="16" t="n"/>
      <c r="D36" s="17">
        <f>IF(A36="","",IF(D36&gt;100,"Grosse dépense",""))</f>
        <v/>
      </c>
      <c r="E36" s="16" t="n"/>
    </row>
    <row r="37">
      <c r="A37" s="15" t="n"/>
      <c r="B37" s="16" t="n"/>
      <c r="C37" s="16" t="n"/>
      <c r="D37" s="17">
        <f>IF(A37="","",IF(D37&gt;100,"Grosse dépense",""))</f>
        <v/>
      </c>
      <c r="E37" s="16" t="n"/>
    </row>
    <row r="38">
      <c r="A38" s="15" t="n"/>
      <c r="B38" s="16" t="n"/>
      <c r="C38" s="16" t="n"/>
      <c r="D38" s="17">
        <f>IF(A38="","",IF(D38&gt;100,"Grosse dépense",""))</f>
        <v/>
      </c>
      <c r="E38" s="16" t="n"/>
    </row>
    <row r="39">
      <c r="A39" s="15" t="n"/>
      <c r="B39" s="16" t="n"/>
      <c r="C39" s="16" t="n"/>
      <c r="D39" s="17">
        <f>IF(A39="","",IF(D39&gt;100,"Grosse dépense",""))</f>
        <v/>
      </c>
      <c r="E39" s="16" t="n"/>
    </row>
    <row r="40">
      <c r="A40" s="15" t="n"/>
      <c r="B40" s="16" t="n"/>
      <c r="C40" s="16" t="n"/>
      <c r="D40" s="17">
        <f>IF(A40="","",IF(D40&gt;100,"Grosse dépense",""))</f>
        <v/>
      </c>
      <c r="E40" s="16" t="n"/>
    </row>
    <row r="41">
      <c r="A41" s="15" t="n"/>
      <c r="B41" s="16" t="n"/>
      <c r="C41" s="16" t="n"/>
      <c r="D41" s="17">
        <f>IF(A41="","",IF(D41&gt;100,"Grosse dépense",""))</f>
        <v/>
      </c>
      <c r="E41" s="16" t="n"/>
    </row>
    <row r="42">
      <c r="A42" s="15" t="n"/>
      <c r="B42" s="16" t="n"/>
      <c r="C42" s="16" t="n"/>
      <c r="D42" s="17">
        <f>IF(A42="","",IF(D42&gt;100,"Grosse dépense",""))</f>
        <v/>
      </c>
      <c r="E42" s="16" t="n"/>
    </row>
    <row r="43">
      <c r="A43" s="15" t="n"/>
      <c r="B43" s="16" t="n"/>
      <c r="C43" s="16" t="n"/>
      <c r="D43" s="17">
        <f>IF(A43="","",IF(D43&gt;100,"Grosse dépense",""))</f>
        <v/>
      </c>
      <c r="E43" s="16" t="n"/>
    </row>
    <row r="44">
      <c r="A44" s="15" t="n"/>
      <c r="B44" s="16" t="n"/>
      <c r="C44" s="16" t="n"/>
      <c r="D44" s="17">
        <f>IF(A44="","",IF(D44&gt;100,"Grosse dépense",""))</f>
        <v/>
      </c>
      <c r="E44" s="16" t="n"/>
    </row>
    <row r="45">
      <c r="A45" s="15" t="n"/>
      <c r="B45" s="16" t="n"/>
      <c r="C45" s="16" t="n"/>
      <c r="D45" s="17">
        <f>IF(A45="","",IF(D45&gt;100,"Grosse dépense",""))</f>
        <v/>
      </c>
      <c r="E45" s="16" t="n"/>
    </row>
    <row r="46">
      <c r="A46" s="15" t="n"/>
      <c r="B46" s="16" t="n"/>
      <c r="C46" s="16" t="n"/>
      <c r="D46" s="17">
        <f>IF(A46="","",IF(D46&gt;100,"Grosse dépense",""))</f>
        <v/>
      </c>
      <c r="E46" s="16" t="n"/>
    </row>
    <row r="47">
      <c r="A47" s="15" t="n"/>
      <c r="B47" s="16" t="n"/>
      <c r="C47" s="16" t="n"/>
      <c r="D47" s="17">
        <f>IF(A47="","",IF(D47&gt;100,"Grosse dépense",""))</f>
        <v/>
      </c>
      <c r="E47" s="16" t="n"/>
    </row>
    <row r="48">
      <c r="A48" s="15" t="n"/>
      <c r="B48" s="16" t="n"/>
      <c r="C48" s="16" t="n"/>
      <c r="D48" s="17">
        <f>IF(A48="","",IF(D48&gt;100,"Grosse dépense",""))</f>
        <v/>
      </c>
      <c r="E48" s="16" t="n"/>
    </row>
    <row r="49">
      <c r="A49" s="15" t="n"/>
      <c r="B49" s="16" t="n"/>
      <c r="C49" s="16" t="n"/>
      <c r="D49" s="17">
        <f>IF(A49="","",IF(D49&gt;100,"Grosse dépense",""))</f>
        <v/>
      </c>
      <c r="E49" s="16" t="n"/>
    </row>
    <row r="50">
      <c r="A50" s="15" t="n"/>
      <c r="B50" s="16" t="n"/>
      <c r="C50" s="16" t="n"/>
      <c r="D50" s="17">
        <f>IF(A50="","",IF(D50&gt;100,"Grosse dépense",""))</f>
        <v/>
      </c>
      <c r="E50" s="16" t="n"/>
    </row>
    <row r="51">
      <c r="A51" s="15" t="n"/>
      <c r="B51" s="16" t="n"/>
      <c r="C51" s="16" t="n"/>
      <c r="D51" s="17">
        <f>IF(A51="","",IF(D51&gt;100,"Grosse dépense",""))</f>
        <v/>
      </c>
      <c r="E51" s="16" t="n"/>
    </row>
    <row r="52">
      <c r="A52" s="15" t="n"/>
      <c r="B52" s="16" t="n"/>
      <c r="C52" s="16" t="n"/>
      <c r="D52" s="17">
        <f>IF(A52="","",IF(D52&gt;100,"Grosse dépense",""))</f>
        <v/>
      </c>
      <c r="E52" s="16" t="n"/>
    </row>
    <row r="53">
      <c r="A53" s="15" t="n"/>
      <c r="B53" s="16" t="n"/>
      <c r="C53" s="16" t="n"/>
      <c r="D53" s="17">
        <f>IF(A53="","",IF(D53&gt;100,"Grosse dépense",""))</f>
        <v/>
      </c>
      <c r="E53" s="16" t="n"/>
    </row>
    <row r="54">
      <c r="A54" s="15" t="n"/>
      <c r="B54" s="16" t="n"/>
      <c r="C54" s="16" t="n"/>
      <c r="D54" s="17">
        <f>IF(A54="","",IF(D54&gt;100,"Grosse dépense",""))</f>
        <v/>
      </c>
      <c r="E54" s="16" t="n"/>
    </row>
    <row r="55">
      <c r="A55" s="15" t="n"/>
      <c r="B55" s="16" t="n"/>
      <c r="C55" s="16" t="n"/>
      <c r="D55" s="17">
        <f>IF(A55="","",IF(D55&gt;100,"Grosse dépense",""))</f>
        <v/>
      </c>
      <c r="E55" s="16" t="n"/>
    </row>
    <row r="56">
      <c r="A56" s="15" t="n"/>
      <c r="B56" s="16" t="n"/>
      <c r="C56" s="16" t="n"/>
      <c r="D56" s="17">
        <f>IF(A56="","",IF(D56&gt;100,"Grosse dépense",""))</f>
        <v/>
      </c>
      <c r="E56" s="16" t="n"/>
    </row>
    <row r="57">
      <c r="A57" s="15" t="n"/>
      <c r="B57" s="16" t="n"/>
      <c r="C57" s="16" t="n"/>
      <c r="D57" s="17">
        <f>IF(A57="","",IF(D57&gt;100,"Grosse dépense",""))</f>
        <v/>
      </c>
      <c r="E57" s="16" t="n"/>
    </row>
    <row r="58">
      <c r="A58" s="15" t="n"/>
      <c r="B58" s="16" t="n"/>
      <c r="C58" s="16" t="n"/>
      <c r="D58" s="17">
        <f>IF(A58="","",IF(D58&gt;100,"Grosse dépense",""))</f>
        <v/>
      </c>
      <c r="E58" s="16" t="n"/>
    </row>
    <row r="59">
      <c r="A59" s="15" t="n"/>
      <c r="B59" s="16" t="n"/>
      <c r="C59" s="16" t="n"/>
      <c r="D59" s="17">
        <f>IF(A59="","",IF(D59&gt;100,"Grosse dépense",""))</f>
        <v/>
      </c>
      <c r="E59" s="16" t="n"/>
    </row>
    <row r="60">
      <c r="A60" s="15" t="n"/>
      <c r="B60" s="16" t="n"/>
      <c r="C60" s="16" t="n"/>
      <c r="D60" s="17">
        <f>IF(A60="","",IF(D60&gt;100,"Grosse dépense",""))</f>
        <v/>
      </c>
      <c r="E60" s="16" t="n"/>
    </row>
    <row r="61">
      <c r="A61" s="15" t="n"/>
      <c r="B61" s="16" t="n"/>
      <c r="C61" s="16" t="n"/>
      <c r="D61" s="17">
        <f>IF(A61="","",IF(D61&gt;100,"Grosse dépense",""))</f>
        <v/>
      </c>
      <c r="E61" s="16" t="n"/>
    </row>
    <row r="62">
      <c r="A62" s="15" t="n"/>
      <c r="B62" s="16" t="n"/>
      <c r="C62" s="16" t="n"/>
      <c r="D62" s="17">
        <f>IF(A62="","",IF(D62&gt;100,"Grosse dépense",""))</f>
        <v/>
      </c>
      <c r="E62" s="16" t="n"/>
    </row>
    <row r="63">
      <c r="A63" s="15" t="n"/>
      <c r="B63" s="16" t="n"/>
      <c r="C63" s="16" t="n"/>
      <c r="D63" s="17">
        <f>IF(A63="","",IF(D63&gt;100,"Grosse dépense",""))</f>
        <v/>
      </c>
      <c r="E63" s="16" t="n"/>
    </row>
    <row r="64">
      <c r="A64" s="15" t="n"/>
      <c r="B64" s="16" t="n"/>
      <c r="C64" s="16" t="n"/>
      <c r="D64" s="17">
        <f>IF(A64="","",IF(D64&gt;100,"Grosse dépense",""))</f>
        <v/>
      </c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"Transport,Logement,Nourriture,Activités,Shopping,Autre"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à Berlin &amp; Potsdam : Suivi des Dépenses et Itinéraire</dc:title>
  <dcterms:created xsi:type="dcterms:W3CDTF">2026-10-19T20:02:56Z</dcterms:created>
  <dcterms:modified xsi:type="dcterms:W3CDTF">2026-10-19T20:02:56Z</dcterms:modified>
</cp:coreProperties>
</file>