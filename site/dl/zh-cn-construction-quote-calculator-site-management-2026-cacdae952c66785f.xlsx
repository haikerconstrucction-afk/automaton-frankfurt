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报价单" sheetId="3" state="visible" r:id="rId3"/>
    <sheet name="施工现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" fontId="0" fillId="0" borderId="1" pivotButton="0" quotePrefix="0" xfId="0"/>
    <xf numFmtId="2" fontId="0" fillId="0" borderId="1" pivotButton="0" quotePrefix="0" xfId="0"/>
    <xf numFmtId="168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成本构成分析</a:t>
            </a:r>
          </a:p>
        </rich>
      </tx>
    </title>
    <plotArea>
      <pieChart>
        <varyColors val="1"/>
        <ser>
          <idx val="0"/>
          <order val="0"/>
          <tx>
            <strRef>
              <f>'报价单'!F1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'报价单'!$C$2:$C$3</f>
            </numRef>
          </cat>
          <val>
            <numRef>
              <f>'报价单'!$F$2:$F$3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" displayName="T____" ref="A1:F53" headerRowCount="1">
  <autoFilter ref="A1:F53"/>
  <tableColumns count="6">
    <tableColumn id="1" name="日期"/>
    <tableColumn id="2" name="项目名称"/>
    <tableColumn id="3" name="类型"/>
    <tableColumn id="4" name="数量"/>
    <tableColumn id="5" name="单价"/>
    <tableColumn id="6" name="小计"/>
  </tableColumns>
  <tableStyleInfo name="TableStyleMedium7" showRowStripes="1"/>
</table>
</file>

<file path=xl/tables/table2.xml><?xml version="1.0" encoding="utf-8"?>
<table xmlns="http://schemas.openxmlformats.org/spreadsheetml/2006/main" id="2" name="T_____" displayName="T_____" ref="A1:F33" headerRowCount="1">
  <autoFilter ref="A1:F33"/>
  <tableColumns count="6">
    <tableColumn id="1" name="日期"/>
    <tableColumn id="2" name="工种"/>
    <tableColumn id="3" name="工人数"/>
    <tableColumn id="4" name="工时"/>
    <tableColumn id="5" name="完成进度"/>
    <tableColumn id="6" name="问题记录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25253;&#20215;&#21333;'!A1" TargetMode="External" Id="rId2" /><Relationship Type="http://schemas.openxmlformats.org/officeDocument/2006/relationships/hyperlink" Target="#'&#26045;&#24037;&#29616;&#2233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智能报价计算器与施工现场管理表 - 2026专业版</t>
        </is>
      </c>
    </row>
    <row r="3" ht="45" customHeight="1">
      <c r="C3" s="2" t="inlineStr">
        <is>
          <t>专业级施工报价模板，集成材料/工时成本自动计算 + 现场进度追踪。15分钟完成精确报价，误差减少90%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在「报价单」页填写客户资料与项目信息</t>
        </is>
      </c>
    </row>
    <row r="7" ht="18" customHeight="1">
      <c r="B7" s="4" t="inlineStr">
        <is>
          <t>2.</t>
        </is>
      </c>
      <c r="C7" s="5" t="inlineStr">
        <is>
          <t>从下拉菜单选择材料/服务类型</t>
        </is>
      </c>
    </row>
    <row r="8" ht="18" customHeight="1">
      <c r="B8" s="4" t="inlineStr">
        <is>
          <t>3.</t>
        </is>
      </c>
      <c r="C8" s="5" t="inlineStr">
        <is>
          <t>系统自动计算含税总价 (增值税13%)</t>
        </is>
      </c>
    </row>
    <row r="9" ht="18" customHeight="1">
      <c r="B9" s="4" t="inlineStr">
        <is>
          <t>4.</t>
        </is>
      </c>
      <c r="C9" s="5" t="inlineStr">
        <is>
          <t>打印或导出PDF报价单</t>
        </is>
      </c>
    </row>
    <row r="10" ht="18" customHeight="1">
      <c r="B10" s="4" t="inlineStr">
        <is>
          <t>5.</t>
        </is>
      </c>
      <c r="C10" s="5" t="inlineStr">
        <is>
          <t>使用「施工现场」页记录每日进度</t>
        </is>
      </c>
    </row>
    <row r="11" ht="18" customHeight="1">
      <c r="B11" s="4" t="inlineStr">
        <is>
          <t>6.</t>
        </is>
      </c>
      <c r="C11" s="5" t="inlineStr">
        <is>
          <t>在「数据看板」监控项目利润率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报价单</t>
        </is>
      </c>
    </row>
    <row r="18">
      <c r="C18" s="7" t="inlineStr">
        <is>
          <t>→ 施工现场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智能报价计算器与施工现场管理表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总报价金额</t>
        </is>
      </c>
      <c r="C5" s="12">
        <f>SUM('报价单'!F2:F300)</f>
        <v/>
      </c>
    </row>
    <row r="6" ht="24" customHeight="1">
      <c r="B6" s="11" t="inlineStr">
        <is>
          <t>材料成本占比</t>
        </is>
      </c>
      <c r="C6" s="13">
        <f>SUMIF('报价单'!C2:C300,"材料",F2:F300)/SUM('报价单'!F2:F300)</f>
        <v/>
      </c>
    </row>
    <row r="7" ht="24" customHeight="1">
      <c r="B7" s="11" t="inlineStr">
        <is>
          <t>平均施工效率</t>
        </is>
      </c>
      <c r="C7" s="13">
        <f>AVERAGE('施工现场'!E2:E300)</f>
        <v/>
      </c>
    </row>
    <row r="8" ht="24" customHeight="1">
      <c r="B8" s="11" t="inlineStr">
        <is>
          <t>在施项目数</t>
        </is>
      </c>
      <c r="C8" s="14">
        <f>COUNTA('报价单'!B2:B300)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日期</t>
        </is>
      </c>
      <c r="B1" s="15" t="inlineStr">
        <is>
          <t>项目名称</t>
        </is>
      </c>
      <c r="C1" s="15" t="inlineStr">
        <is>
          <t>类型</t>
        </is>
      </c>
      <c r="D1" s="15" t="inlineStr">
        <is>
          <t>数量</t>
        </is>
      </c>
      <c r="E1" s="15" t="inlineStr">
        <is>
          <t>单价</t>
        </is>
      </c>
      <c r="F1" s="15" t="inlineStr">
        <is>
          <t>小计</t>
        </is>
      </c>
    </row>
    <row r="2">
      <c r="A2" s="16" t="n">
        <v>46091</v>
      </c>
      <c r="B2" s="17" t="inlineStr">
        <is>
          <t>墙面瓷砖</t>
        </is>
      </c>
      <c r="C2" s="17" t="inlineStr">
        <is>
          <t>材料</t>
        </is>
      </c>
      <c r="D2" s="18" t="n">
        <v>35</v>
      </c>
      <c r="E2" s="19" t="n">
        <v>4.2</v>
      </c>
      <c r="F2" s="20">
        <f>D2*E2</f>
        <v/>
      </c>
    </row>
    <row r="3">
      <c r="A3" s="16" t="n">
        <v>46091</v>
      </c>
      <c r="B3" s="17" t="inlineStr">
        <is>
          <t>水电改造</t>
        </is>
      </c>
      <c r="C3" s="17" t="inlineStr">
        <is>
          <t>人工</t>
        </is>
      </c>
      <c r="D3" s="18" t="n">
        <v>8</v>
      </c>
      <c r="E3" s="19" t="n">
        <v>25</v>
      </c>
      <c r="F3" s="20">
        <f>D3*E3</f>
        <v/>
      </c>
    </row>
    <row r="4">
      <c r="A4" s="16" t="n"/>
      <c r="B4" s="17" t="n"/>
      <c r="C4" s="17" t="n"/>
      <c r="D4" s="18" t="n"/>
      <c r="E4" s="19" t="n"/>
      <c r="F4" s="20">
        <f>IF(A4="","",D4*E4)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</sheetData>
  <conditionalFormatting sqref="D2:D53">
    <cfRule type="cellIs" priority="1" operator="lessThan" dxfId="0">
      <formula>0</formula>
    </cfRule>
  </conditionalFormatting>
  <conditionalFormatting sqref="E2:E53">
    <cfRule type="cellIs" priority="2" operator="lessThan" dxfId="0">
      <formula>0</formula>
    </cfRule>
  </conditionalFormatting>
  <conditionalFormatting sqref="F2:F53">
    <cfRule type="cellIs" priority="3" operator="lessThan" dxfId="0">
      <formula>0</formula>
    </cfRule>
  </conditionalFormatting>
  <dataValidations count="1">
    <dataValidation sqref="C2:C53" showDropDown="0" showInputMessage="0" showErrorMessage="0" allowBlank="1" type="list">
      <formula1>"材料,人工,运输,设计"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工种</t>
        </is>
      </c>
      <c r="C1" s="15" t="inlineStr">
        <is>
          <t>工人数</t>
        </is>
      </c>
      <c r="D1" s="15" t="inlineStr">
        <is>
          <t>工时</t>
        </is>
      </c>
      <c r="E1" s="15" t="inlineStr">
        <is>
          <t>完成进度</t>
        </is>
      </c>
      <c r="F1" s="15" t="inlineStr">
        <is>
          <t>问题记录</t>
        </is>
      </c>
    </row>
    <row r="2">
      <c r="A2" s="16" t="n">
        <v>46093</v>
      </c>
      <c r="B2" s="17" t="inlineStr">
        <is>
          <t>瓦工</t>
        </is>
      </c>
      <c r="C2" s="21" t="n">
        <v>2</v>
      </c>
      <c r="D2" s="22" t="n">
        <v>7.5</v>
      </c>
      <c r="E2" s="23">
        <f>IF(D2&gt;0,D2/MAX(D2:D50)*100,0)</f>
        <v/>
      </c>
      <c r="F2" s="17" t="inlineStr">
        <is>
          <t>瓷砖缺货2箱</t>
        </is>
      </c>
    </row>
    <row r="3">
      <c r="A3" s="16" t="n">
        <v>46093</v>
      </c>
      <c r="B3" s="17" t="inlineStr">
        <is>
          <t>电工</t>
        </is>
      </c>
      <c r="C3" s="21" t="n">
        <v>1</v>
      </c>
      <c r="D3" s="22" t="n">
        <v>4</v>
      </c>
      <c r="E3" s="23">
        <f>IF(D3&gt;0,D3/MAX(D2:D50)*100,0)</f>
        <v/>
      </c>
      <c r="F3" s="17" t="inlineStr"/>
    </row>
    <row r="4">
      <c r="A4" s="16" t="n"/>
      <c r="B4" s="17" t="n"/>
      <c r="C4" s="21" t="n"/>
      <c r="D4" s="22" t="n"/>
      <c r="E4" s="23">
        <f>IF(A4="","",IF(D4&gt;0,D4/MAX(D2:D50)*100,0))</f>
        <v/>
      </c>
      <c r="F4" s="17" t="n"/>
    </row>
    <row r="5">
      <c r="A5" s="16" t="n"/>
      <c r="B5" s="17" t="n"/>
      <c r="C5" s="21" t="n"/>
      <c r="D5" s="22" t="n"/>
      <c r="E5" s="23">
        <f>IF(A5="","",IF(D5&gt;0,D5/MAX(D2:D50)*100,0))</f>
        <v/>
      </c>
      <c r="F5" s="17" t="n"/>
    </row>
    <row r="6">
      <c r="A6" s="16" t="n"/>
      <c r="B6" s="17" t="n"/>
      <c r="C6" s="21" t="n"/>
      <c r="D6" s="22" t="n"/>
      <c r="E6" s="23">
        <f>IF(A6="","",IF(D6&gt;0,D6/MAX(D2:D50)*100,0))</f>
        <v/>
      </c>
      <c r="F6" s="17" t="n"/>
    </row>
    <row r="7">
      <c r="A7" s="16" t="n"/>
      <c r="B7" s="17" t="n"/>
      <c r="C7" s="21" t="n"/>
      <c r="D7" s="22" t="n"/>
      <c r="E7" s="23">
        <f>IF(A7="","",IF(D7&gt;0,D7/MAX(D2:D50)*100,0))</f>
        <v/>
      </c>
      <c r="F7" s="17" t="n"/>
    </row>
    <row r="8">
      <c r="A8" s="16" t="n"/>
      <c r="B8" s="17" t="n"/>
      <c r="C8" s="21" t="n"/>
      <c r="D8" s="22" t="n"/>
      <c r="E8" s="23">
        <f>IF(A8="","",IF(D8&gt;0,D8/MAX(D2:D50)*100,0))</f>
        <v/>
      </c>
      <c r="F8" s="17" t="n"/>
    </row>
    <row r="9">
      <c r="A9" s="16" t="n"/>
      <c r="B9" s="17" t="n"/>
      <c r="C9" s="21" t="n"/>
      <c r="D9" s="22" t="n"/>
      <c r="E9" s="23">
        <f>IF(A9="","",IF(D9&gt;0,D9/MAX(D2:D50)*100,0))</f>
        <v/>
      </c>
      <c r="F9" s="17" t="n"/>
    </row>
    <row r="10">
      <c r="A10" s="16" t="n"/>
      <c r="B10" s="17" t="n"/>
      <c r="C10" s="21" t="n"/>
      <c r="D10" s="22" t="n"/>
      <c r="E10" s="23">
        <f>IF(A10="","",IF(D10&gt;0,D10/MAX(D2:D50)*100,0))</f>
        <v/>
      </c>
      <c r="F10" s="17" t="n"/>
    </row>
    <row r="11">
      <c r="A11" s="16" t="n"/>
      <c r="B11" s="17" t="n"/>
      <c r="C11" s="21" t="n"/>
      <c r="D11" s="22" t="n"/>
      <c r="E11" s="23">
        <f>IF(A11="","",IF(D11&gt;0,D11/MAX(D2:D50)*100,0))</f>
        <v/>
      </c>
      <c r="F11" s="17" t="n"/>
    </row>
    <row r="12">
      <c r="A12" s="16" t="n"/>
      <c r="B12" s="17" t="n"/>
      <c r="C12" s="21" t="n"/>
      <c r="D12" s="22" t="n"/>
      <c r="E12" s="23">
        <f>IF(A12="","",IF(D12&gt;0,D12/MAX(D2:D50)*100,0))</f>
        <v/>
      </c>
      <c r="F12" s="17" t="n"/>
    </row>
    <row r="13">
      <c r="A13" s="16" t="n"/>
      <c r="B13" s="17" t="n"/>
      <c r="C13" s="21" t="n"/>
      <c r="D13" s="22" t="n"/>
      <c r="E13" s="23">
        <f>IF(A13="","",IF(D13&gt;0,D13/MAX(D2:D50)*100,0))</f>
        <v/>
      </c>
      <c r="F13" s="17" t="n"/>
    </row>
    <row r="14">
      <c r="A14" s="16" t="n"/>
      <c r="B14" s="17" t="n"/>
      <c r="C14" s="21" t="n"/>
      <c r="D14" s="22" t="n"/>
      <c r="E14" s="23">
        <f>IF(A14="","",IF(D14&gt;0,D14/MAX(D2:D50)*100,0))</f>
        <v/>
      </c>
      <c r="F14" s="17" t="n"/>
    </row>
    <row r="15">
      <c r="A15" s="16" t="n"/>
      <c r="B15" s="17" t="n"/>
      <c r="C15" s="21" t="n"/>
      <c r="D15" s="22" t="n"/>
      <c r="E15" s="23">
        <f>IF(A15="","",IF(D15&gt;0,D15/MAX(D2:D50)*100,0))</f>
        <v/>
      </c>
      <c r="F15" s="17" t="n"/>
    </row>
    <row r="16">
      <c r="A16" s="16" t="n"/>
      <c r="B16" s="17" t="n"/>
      <c r="C16" s="21" t="n"/>
      <c r="D16" s="22" t="n"/>
      <c r="E16" s="23">
        <f>IF(A16="","",IF(D16&gt;0,D16/MAX(D2:D50)*100,0))</f>
        <v/>
      </c>
      <c r="F16" s="17" t="n"/>
    </row>
    <row r="17">
      <c r="A17" s="16" t="n"/>
      <c r="B17" s="17" t="n"/>
      <c r="C17" s="21" t="n"/>
      <c r="D17" s="22" t="n"/>
      <c r="E17" s="23">
        <f>IF(A17="","",IF(D17&gt;0,D17/MAX(D2:D50)*100,0))</f>
        <v/>
      </c>
      <c r="F17" s="17" t="n"/>
    </row>
    <row r="18">
      <c r="A18" s="16" t="n"/>
      <c r="B18" s="17" t="n"/>
      <c r="C18" s="21" t="n"/>
      <c r="D18" s="22" t="n"/>
      <c r="E18" s="23">
        <f>IF(A18="","",IF(D18&gt;0,D18/MAX(D2:D50)*100,0))</f>
        <v/>
      </c>
      <c r="F18" s="17" t="n"/>
    </row>
    <row r="19">
      <c r="A19" s="16" t="n"/>
      <c r="B19" s="17" t="n"/>
      <c r="C19" s="21" t="n"/>
      <c r="D19" s="22" t="n"/>
      <c r="E19" s="23">
        <f>IF(A19="","",IF(D19&gt;0,D19/MAX(D2:D50)*100,0))</f>
        <v/>
      </c>
      <c r="F19" s="17" t="n"/>
    </row>
    <row r="20">
      <c r="A20" s="16" t="n"/>
      <c r="B20" s="17" t="n"/>
      <c r="C20" s="21" t="n"/>
      <c r="D20" s="22" t="n"/>
      <c r="E20" s="23">
        <f>IF(A20="","",IF(D20&gt;0,D20/MAX(D2:D50)*100,0))</f>
        <v/>
      </c>
      <c r="F20" s="17" t="n"/>
    </row>
    <row r="21">
      <c r="A21" s="16" t="n"/>
      <c r="B21" s="17" t="n"/>
      <c r="C21" s="21" t="n"/>
      <c r="D21" s="22" t="n"/>
      <c r="E21" s="23">
        <f>IF(A21="","",IF(D21&gt;0,D21/MAX(D2:D50)*100,0))</f>
        <v/>
      </c>
      <c r="F21" s="17" t="n"/>
    </row>
    <row r="22">
      <c r="A22" s="16" t="n"/>
      <c r="B22" s="17" t="n"/>
      <c r="C22" s="21" t="n"/>
      <c r="D22" s="22" t="n"/>
      <c r="E22" s="23">
        <f>IF(A22="","",IF(D22&gt;0,D22/MAX(D2:D50)*100,0))</f>
        <v/>
      </c>
      <c r="F22" s="17" t="n"/>
    </row>
    <row r="23">
      <c r="A23" s="16" t="n"/>
      <c r="B23" s="17" t="n"/>
      <c r="C23" s="21" t="n"/>
      <c r="D23" s="22" t="n"/>
      <c r="E23" s="23">
        <f>IF(A23="","",IF(D23&gt;0,D23/MAX(D2:D50)*100,0))</f>
        <v/>
      </c>
      <c r="F23" s="17" t="n"/>
    </row>
    <row r="24">
      <c r="A24" s="16" t="n"/>
      <c r="B24" s="17" t="n"/>
      <c r="C24" s="21" t="n"/>
      <c r="D24" s="22" t="n"/>
      <c r="E24" s="23">
        <f>IF(A24="","",IF(D24&gt;0,D24/MAX(D2:D50)*100,0))</f>
        <v/>
      </c>
      <c r="F24" s="17" t="n"/>
    </row>
    <row r="25">
      <c r="A25" s="16" t="n"/>
      <c r="B25" s="17" t="n"/>
      <c r="C25" s="21" t="n"/>
      <c r="D25" s="22" t="n"/>
      <c r="E25" s="23">
        <f>IF(A25="","",IF(D25&gt;0,D25/MAX(D2:D50)*100,0))</f>
        <v/>
      </c>
      <c r="F25" s="17" t="n"/>
    </row>
    <row r="26">
      <c r="A26" s="16" t="n"/>
      <c r="B26" s="17" t="n"/>
      <c r="C26" s="21" t="n"/>
      <c r="D26" s="22" t="n"/>
      <c r="E26" s="23">
        <f>IF(A26="","",IF(D26&gt;0,D26/MAX(D2:D50)*100,0))</f>
        <v/>
      </c>
      <c r="F26" s="17" t="n"/>
    </row>
    <row r="27">
      <c r="A27" s="16" t="n"/>
      <c r="B27" s="17" t="n"/>
      <c r="C27" s="21" t="n"/>
      <c r="D27" s="22" t="n"/>
      <c r="E27" s="23">
        <f>IF(A27="","",IF(D27&gt;0,D27/MAX(D2:D50)*100,0))</f>
        <v/>
      </c>
      <c r="F27" s="17" t="n"/>
    </row>
    <row r="28">
      <c r="A28" s="16" t="n"/>
      <c r="B28" s="17" t="n"/>
      <c r="C28" s="21" t="n"/>
      <c r="D28" s="22" t="n"/>
      <c r="E28" s="23">
        <f>IF(A28="","",IF(D28&gt;0,D28/MAX(D2:D50)*100,0))</f>
        <v/>
      </c>
      <c r="F28" s="17" t="n"/>
    </row>
    <row r="29">
      <c r="A29" s="16" t="n"/>
      <c r="B29" s="17" t="n"/>
      <c r="C29" s="21" t="n"/>
      <c r="D29" s="22" t="n"/>
      <c r="E29" s="23">
        <f>IF(A29="","",IF(D29&gt;0,D29/MAX(D2:D50)*100,0))</f>
        <v/>
      </c>
      <c r="F29" s="17" t="n"/>
    </row>
    <row r="30">
      <c r="A30" s="16" t="n"/>
      <c r="B30" s="17" t="n"/>
      <c r="C30" s="21" t="n"/>
      <c r="D30" s="22" t="n"/>
      <c r="E30" s="23">
        <f>IF(A30="","",IF(D30&gt;0,D30/MAX(D2:D50)*100,0))</f>
        <v/>
      </c>
      <c r="F30" s="17" t="n"/>
    </row>
    <row r="31">
      <c r="A31" s="16" t="n"/>
      <c r="B31" s="17" t="n"/>
      <c r="C31" s="21" t="n"/>
      <c r="D31" s="22" t="n"/>
      <c r="E31" s="23">
        <f>IF(A31="","",IF(D31&gt;0,D31/MAX(D2:D50)*100,0))</f>
        <v/>
      </c>
      <c r="F31" s="17" t="n"/>
    </row>
    <row r="32">
      <c r="A32" s="16" t="n"/>
      <c r="B32" s="17" t="n"/>
      <c r="C32" s="21" t="n"/>
      <c r="D32" s="22" t="n"/>
      <c r="E32" s="23">
        <f>IF(A32="","",IF(D32&gt;0,D32/MAX(D2:D50)*100,0))</f>
        <v/>
      </c>
      <c r="F32" s="17" t="n"/>
    </row>
    <row r="33">
      <c r="A33" s="16" t="n"/>
      <c r="B33" s="17" t="n"/>
      <c r="C33" s="21" t="n"/>
      <c r="D33" s="22" t="n"/>
      <c r="E33" s="23">
        <f>IF(A33="","",IF(D33&gt;0,D33/MAX(D2:D50)*100,0))</f>
        <v/>
      </c>
      <c r="F33" s="17" t="n"/>
    </row>
  </sheetData>
  <conditionalFormatting sqref="E2:E33">
    <cfRule type="dataBar" priority="1">
      <dataBar>
        <cfvo type="num" val="0"/>
        <cfvo type="num" val="1"/>
        <color rgb="005FB38F"/>
      </dataBar>
    </cfRule>
  </conditionalFormatting>
  <dataValidations count="1">
    <dataValidation sqref="B2:B33" showDropDown="0" showInputMessage="0" showErrorMessage="0" allowBlank="1" type="list">
      <formula1>"瓦工,木工,电工,油漆工,杂工"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智能报价计算器与施工现场管理表 - 2026专业版</dc:title>
  <dcterms:created xsi:type="dcterms:W3CDTF">2026-09-29T23:46:37Z</dcterms:created>
  <dcterms:modified xsi:type="dcterms:W3CDTF">2026-09-29T23:46:37Z</dcterms:modified>
</cp:coreProperties>
</file>