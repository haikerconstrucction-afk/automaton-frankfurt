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Wedding Budget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'Summary'!C1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'Summary'!$A$2:$A$1</f>
            </numRef>
          </cat>
          <val>
            <numRef>
              <f>'Summary'!$D$1:$C$1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502" displayName="T_Budget_2502" ref="A1:G103" headerRowCount="1">
  <autoFilter ref="A1:G103"/>
  <tableColumns count="7">
    <tableColumn id="1" name="Date"/>
    <tableColumn id="2" name="Vendor"/>
    <tableColumn id="3" name="Category"/>
    <tableColumn id="4" name="Estimated"/>
    <tableColumn id="5" name="Paid"/>
    <tableColumn id="6" name="Due Date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Summary_3337" displayName="T_Summary_3337" ref="A1:E16" headerRowCount="1">
  <autoFilter ref="A1:E16"/>
  <tableColumns count="5">
    <tableColumn id="1" name="Category"/>
    <tableColumn id="2" name="Budgeted"/>
    <tableColumn id="3" name="Spent"/>
    <tableColumn id="4" name="Remaining"/>
    <tableColumn id="5" name="% Us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Summ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&amp; Vendor Tracker</t>
        </is>
      </c>
    </row>
    <row r="3" ht="45" customHeight="1">
      <c r="C3" s="2" t="inlineStr">
        <is>
          <t>Track all wedding expenses, compare vendor quotes, and stay on budget with this professional planner.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total budget</t>
        </is>
      </c>
    </row>
    <row r="7" ht="18" customHeight="1">
      <c r="B7" s="4" t="inlineStr">
        <is>
          <t>2.</t>
        </is>
      </c>
      <c r="C7" s="5" t="inlineStr">
        <is>
          <t>Add vendor quotes as received</t>
        </is>
      </c>
    </row>
    <row r="8" ht="18" customHeight="1">
      <c r="B8" s="4" t="inlineStr">
        <is>
          <t>3.</t>
        </is>
      </c>
      <c r="C8" s="5" t="inlineStr">
        <is>
          <t>Log payments with dates</t>
        </is>
      </c>
    </row>
    <row r="9" ht="18" customHeight="1">
      <c r="B9" s="4" t="inlineStr">
        <is>
          <t>4.</t>
        </is>
      </c>
      <c r="C9" s="5" t="inlineStr">
        <is>
          <t>Use dropdowns to categorize</t>
        </is>
      </c>
    </row>
    <row r="10" ht="18" customHeight="1">
      <c r="B10" s="4" t="inlineStr">
        <is>
          <t>5.</t>
        </is>
      </c>
      <c r="C10" s="5" t="inlineStr">
        <is>
          <t>Check KPIs for real-time updates</t>
        </is>
      </c>
    </row>
    <row r="11" ht="18" customHeight="1">
      <c r="B11" s="4" t="inlineStr">
        <is>
          <t>6.</t>
        </is>
      </c>
      <c r="C11" s="5" t="inlineStr">
        <is>
          <t>Adjust plans using the insights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</t>
        </is>
      </c>
    </row>
    <row r="18">
      <c r="C18" s="7" t="inlineStr">
        <is>
          <t>→ Summary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&amp; Vendor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SUM(Summary!B2:B15)</f>
        <v/>
      </c>
    </row>
    <row r="6" ht="24" customHeight="1">
      <c r="B6" s="11" t="inlineStr">
        <is>
          <t>Total Spent</t>
        </is>
      </c>
      <c r="C6" s="12">
        <f>SUM(Summary!C2:C15)</f>
        <v/>
      </c>
    </row>
    <row r="7" ht="24" customHeight="1">
      <c r="B7" s="11" t="inlineStr">
        <is>
          <t>Remaining</t>
        </is>
      </c>
      <c r="C7" s="12">
        <f>SUM(Summary!D2:D15)</f>
        <v/>
      </c>
    </row>
    <row r="8" ht="24" customHeight="1">
      <c r="B8" s="11" t="inlineStr">
        <is>
          <t>Vendors Booked</t>
        </is>
      </c>
      <c r="C8" s="13">
        <f>COUNTIF(Budget!G2:G100,"*Paid")</f>
        <v/>
      </c>
    </row>
    <row r="9" ht="24" customHeight="1">
      <c r="B9" s="11" t="inlineStr">
        <is>
          <t>Over Budget</t>
        </is>
      </c>
      <c r="C9" s="13">
        <f>COUNTIF(Summary!E2:E15,"&gt;1")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40" customWidth="1" min="7" max="7"/>
  </cols>
  <sheetData>
    <row r="1" ht="32" customHeight="1">
      <c r="A1" s="14" t="inlineStr">
        <is>
          <t>Date</t>
        </is>
      </c>
      <c r="B1" s="14" t="inlineStr">
        <is>
          <t>Vendor</t>
        </is>
      </c>
      <c r="C1" s="14" t="inlineStr">
        <is>
          <t>Category</t>
        </is>
      </c>
      <c r="D1" s="14" t="inlineStr">
        <is>
          <t>Estimated</t>
        </is>
      </c>
      <c r="E1" s="14" t="inlineStr">
        <is>
          <t>Paid</t>
        </is>
      </c>
      <c r="F1" s="14" t="inlineStr">
        <is>
          <t>Due Date</t>
        </is>
      </c>
      <c r="G1" s="14" t="inlineStr">
        <is>
          <t>Status</t>
        </is>
      </c>
    </row>
    <row r="2">
      <c r="A2" s="15" t="n">
        <v>46096</v>
      </c>
      <c r="B2" s="16" t="inlineStr">
        <is>
          <t>Flower Co</t>
        </is>
      </c>
      <c r="C2" s="16" t="inlineStr">
        <is>
          <t>Decor</t>
        </is>
      </c>
      <c r="D2" s="17" t="n">
        <v>1200</v>
      </c>
      <c r="E2" s="17" t="n">
        <v>400</v>
      </c>
      <c r="F2" s="15" t="n">
        <v>46162</v>
      </c>
      <c r="G2" s="18">
        <f>IF(E2=0,"Pending",IF(E2&lt;D2,"Deposit","Paid"))</f>
        <v/>
      </c>
    </row>
    <row r="3">
      <c r="A3" s="15" t="n">
        <v>46101</v>
      </c>
      <c r="B3" s="16" t="inlineStr">
        <is>
          <t>Venue</t>
        </is>
      </c>
      <c r="C3" s="16" t="inlineStr">
        <is>
          <t>Location</t>
        </is>
      </c>
      <c r="D3" s="17" t="n">
        <v>5000</v>
      </c>
      <c r="E3" s="17" t="n">
        <v>1500</v>
      </c>
      <c r="F3" s="15" t="n">
        <v>46188</v>
      </c>
      <c r="G3" s="18">
        <f>IF(E3=0,"Pending",IF(E3&lt;D3,"Deposit","Paid"))</f>
        <v/>
      </c>
    </row>
    <row r="4">
      <c r="A4" s="15" t="n"/>
      <c r="B4" s="16" t="n"/>
      <c r="C4" s="16" t="n"/>
      <c r="D4" s="17" t="n"/>
      <c r="E4" s="17" t="n"/>
      <c r="F4" s="15" t="n"/>
      <c r="G4" s="18">
        <f>IF(A4="","",IF(E4=0,"Pending",IF(E4&lt;D4,"Deposit","Paid")))</f>
        <v/>
      </c>
    </row>
    <row r="5">
      <c r="A5" s="15" t="n"/>
      <c r="B5" s="16" t="n"/>
      <c r="C5" s="16" t="n"/>
      <c r="D5" s="17" t="n"/>
      <c r="E5" s="17" t="n"/>
      <c r="F5" s="15" t="n"/>
      <c r="G5" s="18">
        <f>IF(A5="","",IF(E5=0,"Pending",IF(E5&lt;D5,"Deposit","Paid")))</f>
        <v/>
      </c>
    </row>
    <row r="6">
      <c r="A6" s="15" t="n"/>
      <c r="B6" s="16" t="n"/>
      <c r="C6" s="16" t="n"/>
      <c r="D6" s="17" t="n"/>
      <c r="E6" s="17" t="n"/>
      <c r="F6" s="15" t="n"/>
      <c r="G6" s="18">
        <f>IF(A6="","",IF(E6=0,"Pending",IF(E6&lt;D6,"Deposit","Paid")))</f>
        <v/>
      </c>
    </row>
    <row r="7">
      <c r="A7" s="15" t="n"/>
      <c r="B7" s="16" t="n"/>
      <c r="C7" s="16" t="n"/>
      <c r="D7" s="17" t="n"/>
      <c r="E7" s="17" t="n"/>
      <c r="F7" s="15" t="n"/>
      <c r="G7" s="18">
        <f>IF(A7="","",IF(E7=0,"Pending",IF(E7&lt;D7,"Deposit","Paid")))</f>
        <v/>
      </c>
    </row>
    <row r="8">
      <c r="A8" s="15" t="n"/>
      <c r="B8" s="16" t="n"/>
      <c r="C8" s="16" t="n"/>
      <c r="D8" s="17" t="n"/>
      <c r="E8" s="17" t="n"/>
      <c r="F8" s="15" t="n"/>
      <c r="G8" s="18">
        <f>IF(A8="","",IF(E8=0,"Pending",IF(E8&lt;D8,"Deposit","Paid")))</f>
        <v/>
      </c>
    </row>
    <row r="9">
      <c r="A9" s="15" t="n"/>
      <c r="B9" s="16" t="n"/>
      <c r="C9" s="16" t="n"/>
      <c r="D9" s="17" t="n"/>
      <c r="E9" s="17" t="n"/>
      <c r="F9" s="15" t="n"/>
      <c r="G9" s="18">
        <f>IF(A9="","",IF(E9=0,"Pending",IF(E9&lt;D9,"Deposit","Paid")))</f>
        <v/>
      </c>
    </row>
    <row r="10">
      <c r="A10" s="15" t="n"/>
      <c r="B10" s="16" t="n"/>
      <c r="C10" s="16" t="n"/>
      <c r="D10" s="17" t="n"/>
      <c r="E10" s="17" t="n"/>
      <c r="F10" s="15" t="n"/>
      <c r="G10" s="18">
        <f>IF(A10="","",IF(E10=0,"Pending",IF(E10&lt;D10,"Deposit","Paid")))</f>
        <v/>
      </c>
    </row>
    <row r="11">
      <c r="A11" s="15" t="n"/>
      <c r="B11" s="16" t="n"/>
      <c r="C11" s="16" t="n"/>
      <c r="D11" s="17" t="n"/>
      <c r="E11" s="17" t="n"/>
      <c r="F11" s="15" t="n"/>
      <c r="G11" s="18">
        <f>IF(A11="","",IF(E11=0,"Pending",IF(E11&lt;D11,"Deposit","Paid")))</f>
        <v/>
      </c>
    </row>
    <row r="12">
      <c r="A12" s="15" t="n"/>
      <c r="B12" s="16" t="n"/>
      <c r="C12" s="16" t="n"/>
      <c r="D12" s="17" t="n"/>
      <c r="E12" s="17" t="n"/>
      <c r="F12" s="15" t="n"/>
      <c r="G12" s="18">
        <f>IF(A12="","",IF(E12=0,"Pending",IF(E12&lt;D12,"Deposit","Paid")))</f>
        <v/>
      </c>
    </row>
    <row r="13">
      <c r="A13" s="15" t="n"/>
      <c r="B13" s="16" t="n"/>
      <c r="C13" s="16" t="n"/>
      <c r="D13" s="17" t="n"/>
      <c r="E13" s="17" t="n"/>
      <c r="F13" s="15" t="n"/>
      <c r="G13" s="18">
        <f>IF(A13="","",IF(E13=0,"Pending",IF(E13&lt;D13,"Deposit","Paid")))</f>
        <v/>
      </c>
    </row>
    <row r="14">
      <c r="A14" s="15" t="n"/>
      <c r="B14" s="16" t="n"/>
      <c r="C14" s="16" t="n"/>
      <c r="D14" s="17" t="n"/>
      <c r="E14" s="17" t="n"/>
      <c r="F14" s="15" t="n"/>
      <c r="G14" s="18">
        <f>IF(A14="","",IF(E14=0,"Pending",IF(E14&lt;D14,"Deposit","Paid")))</f>
        <v/>
      </c>
    </row>
    <row r="15">
      <c r="A15" s="15" t="n"/>
      <c r="B15" s="16" t="n"/>
      <c r="C15" s="16" t="n"/>
      <c r="D15" s="17" t="n"/>
      <c r="E15" s="17" t="n"/>
      <c r="F15" s="15" t="n"/>
      <c r="G15" s="18">
        <f>IF(A15="","",IF(E15=0,"Pending",IF(E15&lt;D15,"Deposit","Paid")))</f>
        <v/>
      </c>
    </row>
    <row r="16">
      <c r="A16" s="15" t="n"/>
      <c r="B16" s="16" t="n"/>
      <c r="C16" s="16" t="n"/>
      <c r="D16" s="17" t="n"/>
      <c r="E16" s="17" t="n"/>
      <c r="F16" s="15" t="n"/>
      <c r="G16" s="18">
        <f>IF(A16="","",IF(E16=0,"Pending",IF(E16&lt;D16,"Deposit","Paid")))</f>
        <v/>
      </c>
    </row>
    <row r="17">
      <c r="A17" s="15" t="n"/>
      <c r="B17" s="16" t="n"/>
      <c r="C17" s="16" t="n"/>
      <c r="D17" s="17" t="n"/>
      <c r="E17" s="17" t="n"/>
      <c r="F17" s="15" t="n"/>
      <c r="G17" s="18">
        <f>IF(A17="","",IF(E17=0,"Pending",IF(E17&lt;D17,"Deposit","Paid")))</f>
        <v/>
      </c>
    </row>
    <row r="18">
      <c r="A18" s="15" t="n"/>
      <c r="B18" s="16" t="n"/>
      <c r="C18" s="16" t="n"/>
      <c r="D18" s="17" t="n"/>
      <c r="E18" s="17" t="n"/>
      <c r="F18" s="15" t="n"/>
      <c r="G18" s="18">
        <f>IF(A18="","",IF(E18=0,"Pending",IF(E18&lt;D18,"Deposit","Paid")))</f>
        <v/>
      </c>
    </row>
    <row r="19">
      <c r="A19" s="15" t="n"/>
      <c r="B19" s="16" t="n"/>
      <c r="C19" s="16" t="n"/>
      <c r="D19" s="17" t="n"/>
      <c r="E19" s="17" t="n"/>
      <c r="F19" s="15" t="n"/>
      <c r="G19" s="18">
        <f>IF(A19="","",IF(E19=0,"Pending",IF(E19&lt;D19,"Deposit","Paid")))</f>
        <v/>
      </c>
    </row>
    <row r="20">
      <c r="A20" s="15" t="n"/>
      <c r="B20" s="16" t="n"/>
      <c r="C20" s="16" t="n"/>
      <c r="D20" s="17" t="n"/>
      <c r="E20" s="17" t="n"/>
      <c r="F20" s="15" t="n"/>
      <c r="G20" s="18">
        <f>IF(A20="","",IF(E20=0,"Pending",IF(E20&lt;D20,"Deposit","Paid")))</f>
        <v/>
      </c>
    </row>
    <row r="21">
      <c r="A21" s="15" t="n"/>
      <c r="B21" s="16" t="n"/>
      <c r="C21" s="16" t="n"/>
      <c r="D21" s="17" t="n"/>
      <c r="E21" s="17" t="n"/>
      <c r="F21" s="15" t="n"/>
      <c r="G21" s="18">
        <f>IF(A21="","",IF(E21=0,"Pending",IF(E21&lt;D21,"Deposit","Paid")))</f>
        <v/>
      </c>
    </row>
    <row r="22">
      <c r="A22" s="15" t="n"/>
      <c r="B22" s="16" t="n"/>
      <c r="C22" s="16" t="n"/>
      <c r="D22" s="17" t="n"/>
      <c r="E22" s="17" t="n"/>
      <c r="F22" s="15" t="n"/>
      <c r="G22" s="18">
        <f>IF(A22="","",IF(E22=0,"Pending",IF(E22&lt;D22,"Deposit","Paid")))</f>
        <v/>
      </c>
    </row>
    <row r="23">
      <c r="A23" s="15" t="n"/>
      <c r="B23" s="16" t="n"/>
      <c r="C23" s="16" t="n"/>
      <c r="D23" s="17" t="n"/>
      <c r="E23" s="17" t="n"/>
      <c r="F23" s="15" t="n"/>
      <c r="G23" s="18">
        <f>IF(A23="","",IF(E23=0,"Pending",IF(E23&lt;D23,"Deposit","Paid")))</f>
        <v/>
      </c>
    </row>
    <row r="24">
      <c r="A24" s="15" t="n"/>
      <c r="B24" s="16" t="n"/>
      <c r="C24" s="16" t="n"/>
      <c r="D24" s="17" t="n"/>
      <c r="E24" s="17" t="n"/>
      <c r="F24" s="15" t="n"/>
      <c r="G24" s="18">
        <f>IF(A24="","",IF(E24=0,"Pending",IF(E24&lt;D24,"Deposit","Paid")))</f>
        <v/>
      </c>
    </row>
    <row r="25">
      <c r="A25" s="15" t="n"/>
      <c r="B25" s="16" t="n"/>
      <c r="C25" s="16" t="n"/>
      <c r="D25" s="17" t="n"/>
      <c r="E25" s="17" t="n"/>
      <c r="F25" s="15" t="n"/>
      <c r="G25" s="18">
        <f>IF(A25="","",IF(E25=0,"Pending",IF(E25&lt;D25,"Deposit","Paid")))</f>
        <v/>
      </c>
    </row>
    <row r="26">
      <c r="A26" s="15" t="n"/>
      <c r="B26" s="16" t="n"/>
      <c r="C26" s="16" t="n"/>
      <c r="D26" s="17" t="n"/>
      <c r="E26" s="17" t="n"/>
      <c r="F26" s="15" t="n"/>
      <c r="G26" s="18">
        <f>IF(A26="","",IF(E26=0,"Pending",IF(E26&lt;D26,"Deposit","Paid")))</f>
        <v/>
      </c>
    </row>
    <row r="27">
      <c r="A27" s="15" t="n"/>
      <c r="B27" s="16" t="n"/>
      <c r="C27" s="16" t="n"/>
      <c r="D27" s="17" t="n"/>
      <c r="E27" s="17" t="n"/>
      <c r="F27" s="15" t="n"/>
      <c r="G27" s="18">
        <f>IF(A27="","",IF(E27=0,"Pending",IF(E27&lt;D27,"Deposit","Paid")))</f>
        <v/>
      </c>
    </row>
    <row r="28">
      <c r="A28" s="15" t="n"/>
      <c r="B28" s="16" t="n"/>
      <c r="C28" s="16" t="n"/>
      <c r="D28" s="17" t="n"/>
      <c r="E28" s="17" t="n"/>
      <c r="F28" s="15" t="n"/>
      <c r="G28" s="18">
        <f>IF(A28="","",IF(E28=0,"Pending",IF(E28&lt;D28,"Deposit","Paid")))</f>
        <v/>
      </c>
    </row>
    <row r="29">
      <c r="A29" s="15" t="n"/>
      <c r="B29" s="16" t="n"/>
      <c r="C29" s="16" t="n"/>
      <c r="D29" s="17" t="n"/>
      <c r="E29" s="17" t="n"/>
      <c r="F29" s="15" t="n"/>
      <c r="G29" s="18">
        <f>IF(A29="","",IF(E29=0,"Pending",IF(E29&lt;D29,"Deposit","Paid")))</f>
        <v/>
      </c>
    </row>
    <row r="30">
      <c r="A30" s="15" t="n"/>
      <c r="B30" s="16" t="n"/>
      <c r="C30" s="16" t="n"/>
      <c r="D30" s="17" t="n"/>
      <c r="E30" s="17" t="n"/>
      <c r="F30" s="15" t="n"/>
      <c r="G30" s="18">
        <f>IF(A30="","",IF(E30=0,"Pending",IF(E30&lt;D30,"Deposit","Paid")))</f>
        <v/>
      </c>
    </row>
    <row r="31">
      <c r="A31" s="15" t="n"/>
      <c r="B31" s="16" t="n"/>
      <c r="C31" s="16" t="n"/>
      <c r="D31" s="17" t="n"/>
      <c r="E31" s="17" t="n"/>
      <c r="F31" s="15" t="n"/>
      <c r="G31" s="18">
        <f>IF(A31="","",IF(E31=0,"Pending",IF(E31&lt;D31,"Deposit","Paid")))</f>
        <v/>
      </c>
    </row>
    <row r="32">
      <c r="A32" s="15" t="n"/>
      <c r="B32" s="16" t="n"/>
      <c r="C32" s="16" t="n"/>
      <c r="D32" s="17" t="n"/>
      <c r="E32" s="17" t="n"/>
      <c r="F32" s="15" t="n"/>
      <c r="G32" s="18">
        <f>IF(A32="","",IF(E32=0,"Pending",IF(E32&lt;D32,"Deposit","Paid")))</f>
        <v/>
      </c>
    </row>
    <row r="33">
      <c r="A33" s="15" t="n"/>
      <c r="B33" s="16" t="n"/>
      <c r="C33" s="16" t="n"/>
      <c r="D33" s="17" t="n"/>
      <c r="E33" s="17" t="n"/>
      <c r="F33" s="15" t="n"/>
      <c r="G33" s="18">
        <f>IF(A33="","",IF(E33=0,"Pending",IF(E33&lt;D33,"Deposit","Paid")))</f>
        <v/>
      </c>
    </row>
    <row r="34">
      <c r="A34" s="15" t="n"/>
      <c r="B34" s="16" t="n"/>
      <c r="C34" s="16" t="n"/>
      <c r="D34" s="17" t="n"/>
      <c r="E34" s="17" t="n"/>
      <c r="F34" s="15" t="n"/>
      <c r="G34" s="18">
        <f>IF(A34="","",IF(E34=0,"Pending",IF(E34&lt;D34,"Deposit","Paid")))</f>
        <v/>
      </c>
    </row>
    <row r="35">
      <c r="A35" s="15" t="n"/>
      <c r="B35" s="16" t="n"/>
      <c r="C35" s="16" t="n"/>
      <c r="D35" s="17" t="n"/>
      <c r="E35" s="17" t="n"/>
      <c r="F35" s="15" t="n"/>
      <c r="G35" s="18">
        <f>IF(A35="","",IF(E35=0,"Pending",IF(E35&lt;D35,"Deposit","Paid")))</f>
        <v/>
      </c>
    </row>
    <row r="36">
      <c r="A36" s="15" t="n"/>
      <c r="B36" s="16" t="n"/>
      <c r="C36" s="16" t="n"/>
      <c r="D36" s="17" t="n"/>
      <c r="E36" s="17" t="n"/>
      <c r="F36" s="15" t="n"/>
      <c r="G36" s="18">
        <f>IF(A36="","",IF(E36=0,"Pending",IF(E36&lt;D36,"Deposit","Paid")))</f>
        <v/>
      </c>
    </row>
    <row r="37">
      <c r="A37" s="15" t="n"/>
      <c r="B37" s="16" t="n"/>
      <c r="C37" s="16" t="n"/>
      <c r="D37" s="17" t="n"/>
      <c r="E37" s="17" t="n"/>
      <c r="F37" s="15" t="n"/>
      <c r="G37" s="18">
        <f>IF(A37="","",IF(E37=0,"Pending",IF(E37&lt;D37,"Deposit","Paid")))</f>
        <v/>
      </c>
    </row>
    <row r="38">
      <c r="A38" s="15" t="n"/>
      <c r="B38" s="16" t="n"/>
      <c r="C38" s="16" t="n"/>
      <c r="D38" s="17" t="n"/>
      <c r="E38" s="17" t="n"/>
      <c r="F38" s="15" t="n"/>
      <c r="G38" s="18">
        <f>IF(A38="","",IF(E38=0,"Pending",IF(E38&lt;D38,"Deposit","Paid")))</f>
        <v/>
      </c>
    </row>
    <row r="39">
      <c r="A39" s="15" t="n"/>
      <c r="B39" s="16" t="n"/>
      <c r="C39" s="16" t="n"/>
      <c r="D39" s="17" t="n"/>
      <c r="E39" s="17" t="n"/>
      <c r="F39" s="15" t="n"/>
      <c r="G39" s="18">
        <f>IF(A39="","",IF(E39=0,"Pending",IF(E39&lt;D39,"Deposit","Paid")))</f>
        <v/>
      </c>
    </row>
    <row r="40">
      <c r="A40" s="15" t="n"/>
      <c r="B40" s="16" t="n"/>
      <c r="C40" s="16" t="n"/>
      <c r="D40" s="17" t="n"/>
      <c r="E40" s="17" t="n"/>
      <c r="F40" s="15" t="n"/>
      <c r="G40" s="18">
        <f>IF(A40="","",IF(E40=0,"Pending",IF(E40&lt;D40,"Deposit","Paid")))</f>
        <v/>
      </c>
    </row>
    <row r="41">
      <c r="A41" s="15" t="n"/>
      <c r="B41" s="16" t="n"/>
      <c r="C41" s="16" t="n"/>
      <c r="D41" s="17" t="n"/>
      <c r="E41" s="17" t="n"/>
      <c r="F41" s="15" t="n"/>
      <c r="G41" s="18">
        <f>IF(A41="","",IF(E41=0,"Pending",IF(E41&lt;D41,"Deposit","Paid")))</f>
        <v/>
      </c>
    </row>
    <row r="42">
      <c r="A42" s="15" t="n"/>
      <c r="B42" s="16" t="n"/>
      <c r="C42" s="16" t="n"/>
      <c r="D42" s="17" t="n"/>
      <c r="E42" s="17" t="n"/>
      <c r="F42" s="15" t="n"/>
      <c r="G42" s="18">
        <f>IF(A42="","",IF(E42=0,"Pending",IF(E42&lt;D42,"Deposit","Paid")))</f>
        <v/>
      </c>
    </row>
    <row r="43">
      <c r="A43" s="15" t="n"/>
      <c r="B43" s="16" t="n"/>
      <c r="C43" s="16" t="n"/>
      <c r="D43" s="17" t="n"/>
      <c r="E43" s="17" t="n"/>
      <c r="F43" s="15" t="n"/>
      <c r="G43" s="18">
        <f>IF(A43="","",IF(E43=0,"Pending",IF(E43&lt;D43,"Deposit","Paid")))</f>
        <v/>
      </c>
    </row>
    <row r="44">
      <c r="A44" s="15" t="n"/>
      <c r="B44" s="16" t="n"/>
      <c r="C44" s="16" t="n"/>
      <c r="D44" s="17" t="n"/>
      <c r="E44" s="17" t="n"/>
      <c r="F44" s="15" t="n"/>
      <c r="G44" s="18">
        <f>IF(A44="","",IF(E44=0,"Pending",IF(E44&lt;D44,"Deposit","Paid")))</f>
        <v/>
      </c>
    </row>
    <row r="45">
      <c r="A45" s="15" t="n"/>
      <c r="B45" s="16" t="n"/>
      <c r="C45" s="16" t="n"/>
      <c r="D45" s="17" t="n"/>
      <c r="E45" s="17" t="n"/>
      <c r="F45" s="15" t="n"/>
      <c r="G45" s="18">
        <f>IF(A45="","",IF(E45=0,"Pending",IF(E45&lt;D45,"Deposit","Paid")))</f>
        <v/>
      </c>
    </row>
    <row r="46">
      <c r="A46" s="15" t="n"/>
      <c r="B46" s="16" t="n"/>
      <c r="C46" s="16" t="n"/>
      <c r="D46" s="17" t="n"/>
      <c r="E46" s="17" t="n"/>
      <c r="F46" s="15" t="n"/>
      <c r="G46" s="18">
        <f>IF(A46="","",IF(E46=0,"Pending",IF(E46&lt;D46,"Deposit","Paid")))</f>
        <v/>
      </c>
    </row>
    <row r="47">
      <c r="A47" s="15" t="n"/>
      <c r="B47" s="16" t="n"/>
      <c r="C47" s="16" t="n"/>
      <c r="D47" s="17" t="n"/>
      <c r="E47" s="17" t="n"/>
      <c r="F47" s="15" t="n"/>
      <c r="G47" s="18">
        <f>IF(A47="","",IF(E47=0,"Pending",IF(E47&lt;D47,"Deposit","Paid")))</f>
        <v/>
      </c>
    </row>
    <row r="48">
      <c r="A48" s="15" t="n"/>
      <c r="B48" s="16" t="n"/>
      <c r="C48" s="16" t="n"/>
      <c r="D48" s="17" t="n"/>
      <c r="E48" s="17" t="n"/>
      <c r="F48" s="15" t="n"/>
      <c r="G48" s="18">
        <f>IF(A48="","",IF(E48=0,"Pending",IF(E48&lt;D48,"Deposit","Paid")))</f>
        <v/>
      </c>
    </row>
    <row r="49">
      <c r="A49" s="15" t="n"/>
      <c r="B49" s="16" t="n"/>
      <c r="C49" s="16" t="n"/>
      <c r="D49" s="17" t="n"/>
      <c r="E49" s="17" t="n"/>
      <c r="F49" s="15" t="n"/>
      <c r="G49" s="18">
        <f>IF(A49="","",IF(E49=0,"Pending",IF(E49&lt;D49,"Deposit","Paid")))</f>
        <v/>
      </c>
    </row>
    <row r="50">
      <c r="A50" s="15" t="n"/>
      <c r="B50" s="16" t="n"/>
      <c r="C50" s="16" t="n"/>
      <c r="D50" s="17" t="n"/>
      <c r="E50" s="17" t="n"/>
      <c r="F50" s="15" t="n"/>
      <c r="G50" s="18">
        <f>IF(A50="","",IF(E50=0,"Pending",IF(E50&lt;D50,"Deposit","Paid")))</f>
        <v/>
      </c>
    </row>
    <row r="51">
      <c r="A51" s="15" t="n"/>
      <c r="B51" s="16" t="n"/>
      <c r="C51" s="16" t="n"/>
      <c r="D51" s="17" t="n"/>
      <c r="E51" s="17" t="n"/>
      <c r="F51" s="15" t="n"/>
      <c r="G51" s="18">
        <f>IF(A51="","",IF(E51=0,"Pending",IF(E51&lt;D51,"Deposit","Paid")))</f>
        <v/>
      </c>
    </row>
    <row r="52">
      <c r="A52" s="15" t="n"/>
      <c r="B52" s="16" t="n"/>
      <c r="C52" s="16" t="n"/>
      <c r="D52" s="17" t="n"/>
      <c r="E52" s="17" t="n"/>
      <c r="F52" s="15" t="n"/>
      <c r="G52" s="18">
        <f>IF(A52="","",IF(E52=0,"Pending",IF(E52&lt;D52,"Deposit","Paid")))</f>
        <v/>
      </c>
    </row>
    <row r="53">
      <c r="A53" s="15" t="n"/>
      <c r="B53" s="16" t="n"/>
      <c r="C53" s="16" t="n"/>
      <c r="D53" s="17" t="n"/>
      <c r="E53" s="17" t="n"/>
      <c r="F53" s="15" t="n"/>
      <c r="G53" s="18">
        <f>IF(A53="","",IF(E53=0,"Pending",IF(E53&lt;D53,"Deposit","Paid")))</f>
        <v/>
      </c>
    </row>
    <row r="54">
      <c r="A54" s="15" t="n"/>
      <c r="B54" s="16" t="n"/>
      <c r="C54" s="16" t="n"/>
      <c r="D54" s="17" t="n"/>
      <c r="E54" s="17" t="n"/>
      <c r="F54" s="15" t="n"/>
      <c r="G54" s="18">
        <f>IF(A54="","",IF(E54=0,"Pending",IF(E54&lt;D54,"Deposit","Paid")))</f>
        <v/>
      </c>
    </row>
    <row r="55">
      <c r="A55" s="15" t="n"/>
      <c r="B55" s="16" t="n"/>
      <c r="C55" s="16" t="n"/>
      <c r="D55" s="17" t="n"/>
      <c r="E55" s="17" t="n"/>
      <c r="F55" s="15" t="n"/>
      <c r="G55" s="18">
        <f>IF(A55="","",IF(E55=0,"Pending",IF(E55&lt;D55,"Deposit","Paid")))</f>
        <v/>
      </c>
    </row>
    <row r="56">
      <c r="A56" s="15" t="n"/>
      <c r="B56" s="16" t="n"/>
      <c r="C56" s="16" t="n"/>
      <c r="D56" s="17" t="n"/>
      <c r="E56" s="17" t="n"/>
      <c r="F56" s="15" t="n"/>
      <c r="G56" s="18">
        <f>IF(A56="","",IF(E56=0,"Pending",IF(E56&lt;D56,"Deposit","Paid")))</f>
        <v/>
      </c>
    </row>
    <row r="57">
      <c r="A57" s="15" t="n"/>
      <c r="B57" s="16" t="n"/>
      <c r="C57" s="16" t="n"/>
      <c r="D57" s="17" t="n"/>
      <c r="E57" s="17" t="n"/>
      <c r="F57" s="15" t="n"/>
      <c r="G57" s="18">
        <f>IF(A57="","",IF(E57=0,"Pending",IF(E57&lt;D57,"Deposit","Paid")))</f>
        <v/>
      </c>
    </row>
    <row r="58">
      <c r="A58" s="15" t="n"/>
      <c r="B58" s="16" t="n"/>
      <c r="C58" s="16" t="n"/>
      <c r="D58" s="17" t="n"/>
      <c r="E58" s="17" t="n"/>
      <c r="F58" s="15" t="n"/>
      <c r="G58" s="18">
        <f>IF(A58="","",IF(E58=0,"Pending",IF(E58&lt;D58,"Deposit","Paid")))</f>
        <v/>
      </c>
    </row>
    <row r="59">
      <c r="A59" s="15" t="n"/>
      <c r="B59" s="16" t="n"/>
      <c r="C59" s="16" t="n"/>
      <c r="D59" s="17" t="n"/>
      <c r="E59" s="17" t="n"/>
      <c r="F59" s="15" t="n"/>
      <c r="G59" s="18">
        <f>IF(A59="","",IF(E59=0,"Pending",IF(E59&lt;D59,"Deposit","Paid")))</f>
        <v/>
      </c>
    </row>
    <row r="60">
      <c r="A60" s="15" t="n"/>
      <c r="B60" s="16" t="n"/>
      <c r="C60" s="16" t="n"/>
      <c r="D60" s="17" t="n"/>
      <c r="E60" s="17" t="n"/>
      <c r="F60" s="15" t="n"/>
      <c r="G60" s="18">
        <f>IF(A60="","",IF(E60=0,"Pending",IF(E60&lt;D60,"Deposit","Paid")))</f>
        <v/>
      </c>
    </row>
    <row r="61">
      <c r="A61" s="15" t="n"/>
      <c r="B61" s="16" t="n"/>
      <c r="C61" s="16" t="n"/>
      <c r="D61" s="17" t="n"/>
      <c r="E61" s="17" t="n"/>
      <c r="F61" s="15" t="n"/>
      <c r="G61" s="18">
        <f>IF(A61="","",IF(E61=0,"Pending",IF(E61&lt;D61,"Deposit","Paid")))</f>
        <v/>
      </c>
    </row>
    <row r="62">
      <c r="A62" s="15" t="n"/>
      <c r="B62" s="16" t="n"/>
      <c r="C62" s="16" t="n"/>
      <c r="D62" s="17" t="n"/>
      <c r="E62" s="17" t="n"/>
      <c r="F62" s="15" t="n"/>
      <c r="G62" s="18">
        <f>IF(A62="","",IF(E62=0,"Pending",IF(E62&lt;D62,"Deposit","Paid")))</f>
        <v/>
      </c>
    </row>
    <row r="63">
      <c r="A63" s="15" t="n"/>
      <c r="B63" s="16" t="n"/>
      <c r="C63" s="16" t="n"/>
      <c r="D63" s="17" t="n"/>
      <c r="E63" s="17" t="n"/>
      <c r="F63" s="15" t="n"/>
      <c r="G63" s="18">
        <f>IF(A63="","",IF(E63=0,"Pending",IF(E63&lt;D63,"Deposit","Paid")))</f>
        <v/>
      </c>
    </row>
    <row r="64">
      <c r="A64" s="15" t="n"/>
      <c r="B64" s="16" t="n"/>
      <c r="C64" s="16" t="n"/>
      <c r="D64" s="17" t="n"/>
      <c r="E64" s="17" t="n"/>
      <c r="F64" s="15" t="n"/>
      <c r="G64" s="18">
        <f>IF(A64="","",IF(E64=0,"Pending",IF(E64&lt;D64,"Deposit","Paid")))</f>
        <v/>
      </c>
    </row>
    <row r="65">
      <c r="A65" s="15" t="n"/>
      <c r="B65" s="16" t="n"/>
      <c r="C65" s="16" t="n"/>
      <c r="D65" s="17" t="n"/>
      <c r="E65" s="17" t="n"/>
      <c r="F65" s="15" t="n"/>
      <c r="G65" s="18">
        <f>IF(A65="","",IF(E65=0,"Pending",IF(E65&lt;D65,"Deposit","Paid")))</f>
        <v/>
      </c>
    </row>
    <row r="66">
      <c r="A66" s="15" t="n"/>
      <c r="B66" s="16" t="n"/>
      <c r="C66" s="16" t="n"/>
      <c r="D66" s="17" t="n"/>
      <c r="E66" s="17" t="n"/>
      <c r="F66" s="15" t="n"/>
      <c r="G66" s="18">
        <f>IF(A66="","",IF(E66=0,"Pending",IF(E66&lt;D66,"Deposit","Paid")))</f>
        <v/>
      </c>
    </row>
    <row r="67">
      <c r="A67" s="15" t="n"/>
      <c r="B67" s="16" t="n"/>
      <c r="C67" s="16" t="n"/>
      <c r="D67" s="17" t="n"/>
      <c r="E67" s="17" t="n"/>
      <c r="F67" s="15" t="n"/>
      <c r="G67" s="18">
        <f>IF(A67="","",IF(E67=0,"Pending",IF(E67&lt;D67,"Deposit","Paid")))</f>
        <v/>
      </c>
    </row>
    <row r="68">
      <c r="A68" s="15" t="n"/>
      <c r="B68" s="16" t="n"/>
      <c r="C68" s="16" t="n"/>
      <c r="D68" s="17" t="n"/>
      <c r="E68" s="17" t="n"/>
      <c r="F68" s="15" t="n"/>
      <c r="G68" s="18">
        <f>IF(A68="","",IF(E68=0,"Pending",IF(E68&lt;D68,"Deposit","Paid")))</f>
        <v/>
      </c>
    </row>
    <row r="69">
      <c r="A69" s="15" t="n"/>
      <c r="B69" s="16" t="n"/>
      <c r="C69" s="16" t="n"/>
      <c r="D69" s="17" t="n"/>
      <c r="E69" s="17" t="n"/>
      <c r="F69" s="15" t="n"/>
      <c r="G69" s="18">
        <f>IF(A69="","",IF(E69=0,"Pending",IF(E69&lt;D69,"Deposit","Paid")))</f>
        <v/>
      </c>
    </row>
    <row r="70">
      <c r="A70" s="15" t="n"/>
      <c r="B70" s="16" t="n"/>
      <c r="C70" s="16" t="n"/>
      <c r="D70" s="17" t="n"/>
      <c r="E70" s="17" t="n"/>
      <c r="F70" s="15" t="n"/>
      <c r="G70" s="18">
        <f>IF(A70="","",IF(E70=0,"Pending",IF(E70&lt;D70,"Deposit","Paid")))</f>
        <v/>
      </c>
    </row>
    <row r="71">
      <c r="A71" s="15" t="n"/>
      <c r="B71" s="16" t="n"/>
      <c r="C71" s="16" t="n"/>
      <c r="D71" s="17" t="n"/>
      <c r="E71" s="17" t="n"/>
      <c r="F71" s="15" t="n"/>
      <c r="G71" s="18">
        <f>IF(A71="","",IF(E71=0,"Pending",IF(E71&lt;D71,"Deposit","Paid")))</f>
        <v/>
      </c>
    </row>
    <row r="72">
      <c r="A72" s="15" t="n"/>
      <c r="B72" s="16" t="n"/>
      <c r="C72" s="16" t="n"/>
      <c r="D72" s="17" t="n"/>
      <c r="E72" s="17" t="n"/>
      <c r="F72" s="15" t="n"/>
      <c r="G72" s="18">
        <f>IF(A72="","",IF(E72=0,"Pending",IF(E72&lt;D72,"Deposit","Paid")))</f>
        <v/>
      </c>
    </row>
    <row r="73">
      <c r="A73" s="15" t="n"/>
      <c r="B73" s="16" t="n"/>
      <c r="C73" s="16" t="n"/>
      <c r="D73" s="17" t="n"/>
      <c r="E73" s="17" t="n"/>
      <c r="F73" s="15" t="n"/>
      <c r="G73" s="18">
        <f>IF(A73="","",IF(E73=0,"Pending",IF(E73&lt;D73,"Deposit","Paid")))</f>
        <v/>
      </c>
    </row>
    <row r="74">
      <c r="A74" s="15" t="n"/>
      <c r="B74" s="16" t="n"/>
      <c r="C74" s="16" t="n"/>
      <c r="D74" s="17" t="n"/>
      <c r="E74" s="17" t="n"/>
      <c r="F74" s="15" t="n"/>
      <c r="G74" s="18">
        <f>IF(A74="","",IF(E74=0,"Pending",IF(E74&lt;D74,"Deposit","Paid")))</f>
        <v/>
      </c>
    </row>
    <row r="75">
      <c r="A75" s="15" t="n"/>
      <c r="B75" s="16" t="n"/>
      <c r="C75" s="16" t="n"/>
      <c r="D75" s="17" t="n"/>
      <c r="E75" s="17" t="n"/>
      <c r="F75" s="15" t="n"/>
      <c r="G75" s="18">
        <f>IF(A75="","",IF(E75=0,"Pending",IF(E75&lt;D75,"Deposit","Paid")))</f>
        <v/>
      </c>
    </row>
    <row r="76">
      <c r="A76" s="15" t="n"/>
      <c r="B76" s="16" t="n"/>
      <c r="C76" s="16" t="n"/>
      <c r="D76" s="17" t="n"/>
      <c r="E76" s="17" t="n"/>
      <c r="F76" s="15" t="n"/>
      <c r="G76" s="18">
        <f>IF(A76="","",IF(E76=0,"Pending",IF(E76&lt;D76,"Deposit","Paid")))</f>
        <v/>
      </c>
    </row>
    <row r="77">
      <c r="A77" s="15" t="n"/>
      <c r="B77" s="16" t="n"/>
      <c r="C77" s="16" t="n"/>
      <c r="D77" s="17" t="n"/>
      <c r="E77" s="17" t="n"/>
      <c r="F77" s="15" t="n"/>
      <c r="G77" s="18">
        <f>IF(A77="","",IF(E77=0,"Pending",IF(E77&lt;D77,"Deposit","Paid")))</f>
        <v/>
      </c>
    </row>
    <row r="78">
      <c r="A78" s="15" t="n"/>
      <c r="B78" s="16" t="n"/>
      <c r="C78" s="16" t="n"/>
      <c r="D78" s="17" t="n"/>
      <c r="E78" s="17" t="n"/>
      <c r="F78" s="15" t="n"/>
      <c r="G78" s="18">
        <f>IF(A78="","",IF(E78=0,"Pending",IF(E78&lt;D78,"Deposit","Paid")))</f>
        <v/>
      </c>
    </row>
    <row r="79">
      <c r="A79" s="15" t="n"/>
      <c r="B79" s="16" t="n"/>
      <c r="C79" s="16" t="n"/>
      <c r="D79" s="17" t="n"/>
      <c r="E79" s="17" t="n"/>
      <c r="F79" s="15" t="n"/>
      <c r="G79" s="18">
        <f>IF(A79="","",IF(E79=0,"Pending",IF(E79&lt;D79,"Deposit","Paid")))</f>
        <v/>
      </c>
    </row>
    <row r="80">
      <c r="A80" s="15" t="n"/>
      <c r="B80" s="16" t="n"/>
      <c r="C80" s="16" t="n"/>
      <c r="D80" s="17" t="n"/>
      <c r="E80" s="17" t="n"/>
      <c r="F80" s="15" t="n"/>
      <c r="G80" s="18">
        <f>IF(A80="","",IF(E80=0,"Pending",IF(E80&lt;D80,"Deposit","Paid")))</f>
        <v/>
      </c>
    </row>
    <row r="81">
      <c r="A81" s="15" t="n"/>
      <c r="B81" s="16" t="n"/>
      <c r="C81" s="16" t="n"/>
      <c r="D81" s="17" t="n"/>
      <c r="E81" s="17" t="n"/>
      <c r="F81" s="15" t="n"/>
      <c r="G81" s="18">
        <f>IF(A81="","",IF(E81=0,"Pending",IF(E81&lt;D81,"Deposit","Paid")))</f>
        <v/>
      </c>
    </row>
    <row r="82">
      <c r="A82" s="15" t="n"/>
      <c r="B82" s="16" t="n"/>
      <c r="C82" s="16" t="n"/>
      <c r="D82" s="17" t="n"/>
      <c r="E82" s="17" t="n"/>
      <c r="F82" s="15" t="n"/>
      <c r="G82" s="18">
        <f>IF(A82="","",IF(E82=0,"Pending",IF(E82&lt;D82,"Deposit","Paid")))</f>
        <v/>
      </c>
    </row>
    <row r="83">
      <c r="A83" s="15" t="n"/>
      <c r="B83" s="16" t="n"/>
      <c r="C83" s="16" t="n"/>
      <c r="D83" s="17" t="n"/>
      <c r="E83" s="17" t="n"/>
      <c r="F83" s="15" t="n"/>
      <c r="G83" s="18">
        <f>IF(A83="","",IF(E83=0,"Pending",IF(E83&lt;D83,"Deposit","Paid")))</f>
        <v/>
      </c>
    </row>
    <row r="84">
      <c r="A84" s="15" t="n"/>
      <c r="B84" s="16" t="n"/>
      <c r="C84" s="16" t="n"/>
      <c r="D84" s="17" t="n"/>
      <c r="E84" s="17" t="n"/>
      <c r="F84" s="15" t="n"/>
      <c r="G84" s="18">
        <f>IF(A84="","",IF(E84=0,"Pending",IF(E84&lt;D84,"Deposit","Paid")))</f>
        <v/>
      </c>
    </row>
    <row r="85">
      <c r="A85" s="15" t="n"/>
      <c r="B85" s="16" t="n"/>
      <c r="C85" s="16" t="n"/>
      <c r="D85" s="17" t="n"/>
      <c r="E85" s="17" t="n"/>
      <c r="F85" s="15" t="n"/>
      <c r="G85" s="18">
        <f>IF(A85="","",IF(E85=0,"Pending",IF(E85&lt;D85,"Deposit","Paid")))</f>
        <v/>
      </c>
    </row>
    <row r="86">
      <c r="A86" s="15" t="n"/>
      <c r="B86" s="16" t="n"/>
      <c r="C86" s="16" t="n"/>
      <c r="D86" s="17" t="n"/>
      <c r="E86" s="17" t="n"/>
      <c r="F86" s="15" t="n"/>
      <c r="G86" s="18">
        <f>IF(A86="","",IF(E86=0,"Pending",IF(E86&lt;D86,"Deposit","Paid")))</f>
        <v/>
      </c>
    </row>
    <row r="87">
      <c r="A87" s="15" t="n"/>
      <c r="B87" s="16" t="n"/>
      <c r="C87" s="16" t="n"/>
      <c r="D87" s="17" t="n"/>
      <c r="E87" s="17" t="n"/>
      <c r="F87" s="15" t="n"/>
      <c r="G87" s="18">
        <f>IF(A87="","",IF(E87=0,"Pending",IF(E87&lt;D87,"Deposit","Paid")))</f>
        <v/>
      </c>
    </row>
    <row r="88">
      <c r="A88" s="15" t="n"/>
      <c r="B88" s="16" t="n"/>
      <c r="C88" s="16" t="n"/>
      <c r="D88" s="17" t="n"/>
      <c r="E88" s="17" t="n"/>
      <c r="F88" s="15" t="n"/>
      <c r="G88" s="18">
        <f>IF(A88="","",IF(E88=0,"Pending",IF(E88&lt;D88,"Deposit","Paid")))</f>
        <v/>
      </c>
    </row>
    <row r="89">
      <c r="A89" s="15" t="n"/>
      <c r="B89" s="16" t="n"/>
      <c r="C89" s="16" t="n"/>
      <c r="D89" s="17" t="n"/>
      <c r="E89" s="17" t="n"/>
      <c r="F89" s="15" t="n"/>
      <c r="G89" s="18">
        <f>IF(A89="","",IF(E89=0,"Pending",IF(E89&lt;D89,"Deposit","Paid")))</f>
        <v/>
      </c>
    </row>
    <row r="90">
      <c r="A90" s="15" t="n"/>
      <c r="B90" s="16" t="n"/>
      <c r="C90" s="16" t="n"/>
      <c r="D90" s="17" t="n"/>
      <c r="E90" s="17" t="n"/>
      <c r="F90" s="15" t="n"/>
      <c r="G90" s="18">
        <f>IF(A90="","",IF(E90=0,"Pending",IF(E90&lt;D90,"Deposit","Paid")))</f>
        <v/>
      </c>
    </row>
    <row r="91">
      <c r="A91" s="15" t="n"/>
      <c r="B91" s="16" t="n"/>
      <c r="C91" s="16" t="n"/>
      <c r="D91" s="17" t="n"/>
      <c r="E91" s="17" t="n"/>
      <c r="F91" s="15" t="n"/>
      <c r="G91" s="18">
        <f>IF(A91="","",IF(E91=0,"Pending",IF(E91&lt;D91,"Deposit","Paid")))</f>
        <v/>
      </c>
    </row>
    <row r="92">
      <c r="A92" s="15" t="n"/>
      <c r="B92" s="16" t="n"/>
      <c r="C92" s="16" t="n"/>
      <c r="D92" s="17" t="n"/>
      <c r="E92" s="17" t="n"/>
      <c r="F92" s="15" t="n"/>
      <c r="G92" s="18">
        <f>IF(A92="","",IF(E92=0,"Pending",IF(E92&lt;D92,"Deposit","Paid")))</f>
        <v/>
      </c>
    </row>
    <row r="93">
      <c r="A93" s="15" t="n"/>
      <c r="B93" s="16" t="n"/>
      <c r="C93" s="16" t="n"/>
      <c r="D93" s="17" t="n"/>
      <c r="E93" s="17" t="n"/>
      <c r="F93" s="15" t="n"/>
      <c r="G93" s="18">
        <f>IF(A93="","",IF(E93=0,"Pending",IF(E93&lt;D93,"Deposit","Paid")))</f>
        <v/>
      </c>
    </row>
    <row r="94">
      <c r="A94" s="15" t="n"/>
      <c r="B94" s="16" t="n"/>
      <c r="C94" s="16" t="n"/>
      <c r="D94" s="17" t="n"/>
      <c r="E94" s="17" t="n"/>
      <c r="F94" s="15" t="n"/>
      <c r="G94" s="18">
        <f>IF(A94="","",IF(E94=0,"Pending",IF(E94&lt;D94,"Deposit","Paid")))</f>
        <v/>
      </c>
    </row>
    <row r="95">
      <c r="A95" s="15" t="n"/>
      <c r="B95" s="16" t="n"/>
      <c r="C95" s="16" t="n"/>
      <c r="D95" s="17" t="n"/>
      <c r="E95" s="17" t="n"/>
      <c r="F95" s="15" t="n"/>
      <c r="G95" s="18">
        <f>IF(A95="","",IF(E95=0,"Pending",IF(E95&lt;D95,"Deposit","Paid")))</f>
        <v/>
      </c>
    </row>
    <row r="96">
      <c r="A96" s="15" t="n"/>
      <c r="B96" s="16" t="n"/>
      <c r="C96" s="16" t="n"/>
      <c r="D96" s="17" t="n"/>
      <c r="E96" s="17" t="n"/>
      <c r="F96" s="15" t="n"/>
      <c r="G96" s="18">
        <f>IF(A96="","",IF(E96=0,"Pending",IF(E96&lt;D96,"Deposit","Paid")))</f>
        <v/>
      </c>
    </row>
    <row r="97">
      <c r="A97" s="15" t="n"/>
      <c r="B97" s="16" t="n"/>
      <c r="C97" s="16" t="n"/>
      <c r="D97" s="17" t="n"/>
      <c r="E97" s="17" t="n"/>
      <c r="F97" s="15" t="n"/>
      <c r="G97" s="18">
        <f>IF(A97="","",IF(E97=0,"Pending",IF(E97&lt;D97,"Deposit","Paid")))</f>
        <v/>
      </c>
    </row>
    <row r="98">
      <c r="A98" s="15" t="n"/>
      <c r="B98" s="16" t="n"/>
      <c r="C98" s="16" t="n"/>
      <c r="D98" s="17" t="n"/>
      <c r="E98" s="17" t="n"/>
      <c r="F98" s="15" t="n"/>
      <c r="G98" s="18">
        <f>IF(A98="","",IF(E98=0,"Pending",IF(E98&lt;D98,"Deposit","Paid")))</f>
        <v/>
      </c>
    </row>
    <row r="99">
      <c r="A99" s="15" t="n"/>
      <c r="B99" s="16" t="n"/>
      <c r="C99" s="16" t="n"/>
      <c r="D99" s="17" t="n"/>
      <c r="E99" s="17" t="n"/>
      <c r="F99" s="15" t="n"/>
      <c r="G99" s="18">
        <f>IF(A99="","",IF(E99=0,"Pending",IF(E99&lt;D99,"Deposit","Paid")))</f>
        <v/>
      </c>
    </row>
    <row r="100">
      <c r="A100" s="15" t="n"/>
      <c r="B100" s="16" t="n"/>
      <c r="C100" s="16" t="n"/>
      <c r="D100" s="17" t="n"/>
      <c r="E100" s="17" t="n"/>
      <c r="F100" s="15" t="n"/>
      <c r="G100" s="18">
        <f>IF(A100="","",IF(E100=0,"Pending",IF(E100&lt;D100,"Deposit","Paid")))</f>
        <v/>
      </c>
    </row>
    <row r="101">
      <c r="A101" s="15" t="n"/>
      <c r="B101" s="16" t="n"/>
      <c r="C101" s="16" t="n"/>
      <c r="D101" s="17" t="n"/>
      <c r="E101" s="17" t="n"/>
      <c r="F101" s="15" t="n"/>
      <c r="G101" s="18">
        <f>IF(A101="","",IF(E101=0,"Pending",IF(E101&lt;D101,"Deposit","Paid")))</f>
        <v/>
      </c>
    </row>
    <row r="102">
      <c r="A102" s="15" t="n"/>
      <c r="B102" s="16" t="n"/>
      <c r="C102" s="16" t="n"/>
      <c r="D102" s="17" t="n"/>
      <c r="E102" s="17" t="n"/>
      <c r="F102" s="15" t="n"/>
      <c r="G102" s="18">
        <f>IF(A102="","",IF(E102=0,"Pending",IF(E102&lt;D102,"Deposit","Paid")))</f>
        <v/>
      </c>
    </row>
    <row r="103">
      <c r="A103" s="15" t="n"/>
      <c r="B103" s="16" t="n"/>
      <c r="C103" s="16" t="n"/>
      <c r="D103" s="17" t="n"/>
      <c r="E103" s="17" t="n"/>
      <c r="F103" s="15" t="n"/>
      <c r="G103" s="18">
        <f>IF(A103="","",IF(E103=0,"Pending",IF(E103&lt;D103,"Deposit","Paid")))</f>
        <v/>
      </c>
    </row>
  </sheetData>
  <conditionalFormatting sqref="D2:D103">
    <cfRule type="cellIs" priority="1" operator="lessThan" dxfId="0">
      <formula>0</formula>
    </cfRule>
  </conditionalFormatting>
  <conditionalFormatting sqref="E2:E103">
    <cfRule type="cellIs" priority="2" operator="lessThan" dxfId="0">
      <formula>0</formula>
    </cfRule>
  </conditionalFormatting>
  <dataValidations count="2">
    <dataValidation sqref="C2:C103" showDropDown="0" showInputMessage="0" showErrorMessage="0" allowBlank="1" type="list">
      <formula1>"Venue,Catering,Attire,Flowers,Photography,Music,Other"</formula1>
    </dataValidation>
    <dataValidation sqref="G2:G103" showDropDown="0" showInputMessage="0" showErrorMessage="0" allowBlank="1" type="list">
      <formula1>"Pending,Quoted,Deposit,Paid,Cancelled"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Category</t>
        </is>
      </c>
      <c r="B1" s="14" t="inlineStr">
        <is>
          <t>Budgeted</t>
        </is>
      </c>
      <c r="C1" s="14" t="inlineStr">
        <is>
          <t>Spent</t>
        </is>
      </c>
      <c r="D1" s="14" t="inlineStr">
        <is>
          <t>Remaining</t>
        </is>
      </c>
      <c r="E1" s="14" t="inlineStr">
        <is>
          <t>% Used</t>
        </is>
      </c>
    </row>
    <row r="2">
      <c r="A2" s="16" t="n"/>
      <c r="B2" s="17" t="n"/>
      <c r="C2" s="17" t="n"/>
      <c r="D2" s="17" t="n"/>
      <c r="E2" s="19" t="n"/>
    </row>
    <row r="3">
      <c r="A3" s="16" t="n"/>
      <c r="B3" s="17" t="n"/>
      <c r="C3" s="17" t="n"/>
      <c r="D3" s="17" t="n"/>
      <c r="E3" s="19" t="n"/>
    </row>
    <row r="4">
      <c r="A4" s="16" t="n"/>
      <c r="B4" s="17" t="n"/>
      <c r="C4" s="17" t="n"/>
      <c r="D4" s="17" t="n"/>
      <c r="E4" s="19" t="n"/>
    </row>
    <row r="5">
      <c r="A5" s="16" t="n"/>
      <c r="B5" s="17" t="n"/>
      <c r="C5" s="17" t="n"/>
      <c r="D5" s="17" t="n"/>
      <c r="E5" s="19" t="n"/>
    </row>
    <row r="6">
      <c r="A6" s="16" t="n"/>
      <c r="B6" s="17" t="n"/>
      <c r="C6" s="17" t="n"/>
      <c r="D6" s="17" t="n"/>
      <c r="E6" s="19" t="n"/>
    </row>
    <row r="7">
      <c r="A7" s="16" t="n"/>
      <c r="B7" s="17" t="n"/>
      <c r="C7" s="17" t="n"/>
      <c r="D7" s="17" t="n"/>
      <c r="E7" s="19" t="n"/>
    </row>
    <row r="8">
      <c r="A8" s="16" t="n"/>
      <c r="B8" s="17" t="n"/>
      <c r="C8" s="17" t="n"/>
      <c r="D8" s="17" t="n"/>
      <c r="E8" s="19" t="n"/>
    </row>
    <row r="9">
      <c r="A9" s="16" t="n"/>
      <c r="B9" s="17" t="n"/>
      <c r="C9" s="17" t="n"/>
      <c r="D9" s="17" t="n"/>
      <c r="E9" s="19" t="n"/>
    </row>
    <row r="10">
      <c r="A10" s="16" t="n"/>
      <c r="B10" s="17" t="n"/>
      <c r="C10" s="17" t="n"/>
      <c r="D10" s="17" t="n"/>
      <c r="E10" s="19" t="n"/>
    </row>
    <row r="11">
      <c r="A11" s="16" t="n"/>
      <c r="B11" s="17" t="n"/>
      <c r="C11" s="17" t="n"/>
      <c r="D11" s="17" t="n"/>
      <c r="E11" s="19" t="n"/>
    </row>
    <row r="12">
      <c r="A12" s="16" t="n"/>
      <c r="B12" s="17" t="n"/>
      <c r="C12" s="17" t="n"/>
      <c r="D12" s="17" t="n"/>
      <c r="E12" s="19" t="n"/>
    </row>
    <row r="13">
      <c r="A13" s="16" t="n"/>
      <c r="B13" s="17" t="n"/>
      <c r="C13" s="17" t="n"/>
      <c r="D13" s="17" t="n"/>
      <c r="E13" s="19" t="n"/>
    </row>
    <row r="14">
      <c r="A14" s="16" t="n"/>
      <c r="B14" s="17" t="n"/>
      <c r="C14" s="17" t="n"/>
      <c r="D14" s="17" t="n"/>
      <c r="E14" s="19" t="n"/>
    </row>
    <row r="15">
      <c r="A15" s="16" t="n"/>
      <c r="B15" s="17" t="n"/>
      <c r="C15" s="17" t="n"/>
      <c r="D15" s="17" t="n"/>
      <c r="E15" s="19" t="n"/>
    </row>
    <row r="16">
      <c r="A16" s="16" t="n"/>
      <c r="B16" s="17" t="n"/>
      <c r="C16" s="17" t="n"/>
      <c r="D16" s="17" t="n"/>
      <c r="E16" s="19" t="n"/>
    </row>
  </sheetData>
  <conditionalFormatting sqref="B2:B16">
    <cfRule type="cellIs" priority="1" operator="lessThan" dxfId="0">
      <formula>0</formula>
    </cfRule>
  </conditionalFormatting>
  <conditionalFormatting sqref="C2:C16">
    <cfRule type="cellIs" priority="2" operator="lessThan" dxfId="0">
      <formula>0</formula>
    </cfRule>
  </conditionalFormatting>
  <conditionalFormatting sqref="D2:D16">
    <cfRule type="cellIs" priority="3" operator="lessThan" dxfId="0">
      <formula>0</formula>
    </cfRule>
  </conditionalFormatting>
  <conditionalFormatting sqref="E2:E16">
    <cfRule type="dataBar" priority="4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&amp; Vendor Tracker</dc:title>
  <dcterms:created xsi:type="dcterms:W3CDTF">2026-10-30T19:26:45Z</dcterms:created>
  <dcterms:modified xsi:type="dcterms:W3CDTF">2026-10-30T19:26:45Z</dcterms:modified>
</cp:coreProperties>
</file>