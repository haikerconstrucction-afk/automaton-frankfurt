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Contenido" sheetId="3" state="visible" r:id="rId3"/>
    <sheet name="Rendimiento" sheetId="4" state="visible" r:id="rId4"/>
    <sheet name="Presupue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8" fontId="7" fillId="3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Visitas por video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'Rendimiento'!C1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'Rendimiento'!$B$2:$B$5</f>
            </numRef>
          </cat>
          <val>
            <numRef>
              <f>'Rendimiento'!$C$2:$C$5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ontenido_2756" displayName="T_Contenido_2756" ref="A1:F35" headerRowCount="1">
  <autoFilter ref="A1:F35"/>
  <tableColumns count="6">
    <tableColumn id="1" name="Fecha"/>
    <tableColumn id="2" name="Tipo"/>
    <tableColumn id="3" name="Título"/>
    <tableColumn id="4" name="Duración (min)"/>
    <tableColumn id="5" name="Estado"/>
    <tableColumn id="6" name="URL"/>
  </tableColumns>
  <tableStyleInfo name="TableStyleMedium7" showRowStripes="1"/>
</table>
</file>

<file path=xl/tables/table2.xml><?xml version="1.0" encoding="utf-8"?>
<table xmlns="http://schemas.openxmlformats.org/spreadsheetml/2006/main" id="2" name="T_Rendimiento_3447" displayName="T_Rendimiento_3447" ref="A1:F35" headerRowCount="1">
  <autoFilter ref="A1:F35"/>
  <tableColumns count="6">
    <tableColumn id="1" name="Fecha"/>
    <tableColumn id="2" name="Título"/>
    <tableColumn id="3" name="Visitas"/>
    <tableColumn id="4" name="Tiempo (min)"/>
    <tableColumn id="5" name="Ingresos"/>
    <tableColumn id="6" name="ROI"/>
  </tableColumns>
  <tableStyleInfo name="TableStyleMedium7" showRowStripes="1"/>
</table>
</file>

<file path=xl/tables/table3.xml><?xml version="1.0" encoding="utf-8"?>
<table xmlns="http://schemas.openxmlformats.org/spreadsheetml/2006/main" id="3" name="T_Presupuesto_4994" displayName="T_Presupuesto_4994" ref="A1:F35" headerRowCount="1">
  <autoFilter ref="A1:F35"/>
  <tableColumns count="6">
    <tableColumn id="1" name="Fecha"/>
    <tableColumn id="2" name="Concepto"/>
    <tableColumn id="3" name="Categoría"/>
    <tableColumn id="4" name="Cantidad"/>
    <tableColumn id="5" name="Precio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Contenido'!A1" TargetMode="External" Id="rId2" /><Relationship Type="http://schemas.openxmlformats.org/officeDocument/2006/relationships/hyperlink" Target="#'Rendimiento'!A1" TargetMode="External" Id="rId3" /><Relationship Type="http://schemas.openxmlformats.org/officeDocument/2006/relationships/hyperlink" Target="#'Presupuesto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Tracker &amp; Budget Planner 2026</t>
        </is>
      </c>
    </row>
    <row r="3" ht="45" customHeight="1">
      <c r="C3" s="2" t="inlineStr">
        <is>
          <t>Controla la rentabilidad de cada video y optimiza tu presupuesto de contenido con esta herramienta profesional para creadores.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Planifica tu calendario mensual en la pestaña 'Contenido'</t>
        </is>
      </c>
    </row>
    <row r="7" ht="18" customHeight="1">
      <c r="B7" s="4" t="inlineStr">
        <is>
          <t>2.</t>
        </is>
      </c>
      <c r="C7" s="5" t="inlineStr">
        <is>
          <t>Registra métricas clave después de publicar cada video</t>
        </is>
      </c>
    </row>
    <row r="8" ht="18" customHeight="1">
      <c r="B8" s="4" t="inlineStr">
        <is>
          <t>3.</t>
        </is>
      </c>
      <c r="C8" s="5" t="inlineStr">
        <is>
          <t>Analiza el ROI por video en la pestaña 'Rendimiento'</t>
        </is>
      </c>
    </row>
    <row r="9" ht="18" customHeight="1">
      <c r="B9" s="4" t="inlineStr">
        <is>
          <t>4.</t>
        </is>
      </c>
      <c r="C9" s="5" t="inlineStr">
        <is>
          <t>Ajusta tu estrategia basada en los datos</t>
        </is>
      </c>
    </row>
    <row r="10" ht="18" customHeight="1">
      <c r="B10" s="4" t="inlineStr">
        <is>
          <t>5.</t>
        </is>
      </c>
      <c r="C10" s="5" t="inlineStr">
        <is>
          <t>Controla tus gastos en la pestaña 'Presupuesto'</t>
        </is>
      </c>
    </row>
    <row r="11" ht="18" customHeight="1">
      <c r="B11" s="4" t="inlineStr">
        <is>
          <t>6.</t>
        </is>
      </c>
      <c r="C11" s="5" t="inlineStr">
        <is>
          <t>Revisa el dashboard para insights clave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Contenido</t>
        </is>
      </c>
    </row>
    <row r="18">
      <c r="C18" s="7" t="inlineStr">
        <is>
          <t>→ Rendimiento</t>
        </is>
      </c>
    </row>
    <row r="19">
      <c r="C19" s="7" t="inlineStr">
        <is>
          <t>→ Presupuesto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YouTube Content ROI Tracker &amp; Budget Planner 2026</t>
        </is>
      </c>
    </row>
    <row r="4">
      <c r="B4" s="10" t="inlineStr">
        <is>
          <t>Indicadores</t>
        </is>
      </c>
    </row>
    <row r="5" ht="24" customHeight="1">
      <c r="B5" s="11" t="inlineStr">
        <is>
          <t>Ingresos totales</t>
        </is>
      </c>
      <c r="C5" s="12">
        <f>SUM(Rendimiento!E2:E100)</f>
        <v/>
      </c>
    </row>
    <row r="6" ht="24" customHeight="1">
      <c r="B6" s="11" t="inlineStr">
        <is>
          <t>Promedio tiempo de visionado</t>
        </is>
      </c>
      <c r="C6" s="13">
        <f>AVERAGE(Rendimiento!D2:D100)</f>
        <v/>
      </c>
    </row>
    <row r="7" ht="24" customHeight="1">
      <c r="B7" s="11" t="inlineStr">
        <is>
          <t>Videos publicados</t>
        </is>
      </c>
      <c r="C7" s="14">
        <f>COUNTIF(Contenido!E2:E100,'Publicado')</f>
        <v/>
      </c>
    </row>
    <row r="8" ht="24" customHeight="1">
      <c r="B8" s="11" t="inlineStr">
        <is>
          <t>Gasto total equipos</t>
        </is>
      </c>
      <c r="C8" s="12">
        <f>SUMIF(Presupuesto!C2:C100,'Equipo',Presupuesto!F2:F100)</f>
        <v/>
      </c>
    </row>
    <row r="9" ht="24" customHeight="1">
      <c r="B9" s="11" t="inlineStr">
        <is>
          <t>ROI promedio</t>
        </is>
      </c>
      <c r="C9" s="15">
        <f>AVERAGE(Rendimiento!F2:F100)</f>
        <v/>
      </c>
    </row>
    <row r="10" ht="24" customHeight="1">
      <c r="B10" s="11" t="inlineStr">
        <is>
          <t>Visitas totales</t>
        </is>
      </c>
      <c r="C10" s="14">
        <f>SUM(Rendimiento!C2:C100)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7" customWidth="1" min="4" max="4"/>
    <col width="14" customWidth="1" min="5" max="5"/>
    <col width="12" customWidth="1" min="6" max="6"/>
  </cols>
  <sheetData>
    <row r="1" ht="32" customHeight="1">
      <c r="A1" s="16" t="inlineStr">
        <is>
          <t>Fecha</t>
        </is>
      </c>
      <c r="B1" s="16" t="inlineStr">
        <is>
          <t>Tipo</t>
        </is>
      </c>
      <c r="C1" s="16" t="inlineStr">
        <is>
          <t>Título</t>
        </is>
      </c>
      <c r="D1" s="16" t="inlineStr">
        <is>
          <t>Duración (min)</t>
        </is>
      </c>
      <c r="E1" s="16" t="inlineStr">
        <is>
          <t>Estado</t>
        </is>
      </c>
      <c r="F1" s="16" t="inlineStr">
        <is>
          <t>URL</t>
        </is>
      </c>
    </row>
    <row r="2">
      <c r="A2" s="17" t="n">
        <v>46082</v>
      </c>
      <c r="B2" s="18" t="inlineStr">
        <is>
          <t>Tutorial</t>
        </is>
      </c>
      <c r="C2" s="18" t="inlineStr">
        <is>
          <t>Cómo optimizar miniaturas</t>
        </is>
      </c>
      <c r="D2" s="19" t="n">
        <v>12</v>
      </c>
      <c r="E2" s="18" t="inlineStr">
        <is>
          <t>Publicado</t>
        </is>
      </c>
      <c r="F2" s="18" t="inlineStr"/>
    </row>
    <row r="3">
      <c r="A3" s="17" t="n">
        <v>46089</v>
      </c>
      <c r="B3" s="18" t="inlineStr">
        <is>
          <t>Review</t>
        </is>
      </c>
      <c r="C3" s="18" t="inlineStr">
        <is>
          <t>Nueva cámara 2026</t>
        </is>
      </c>
      <c r="D3" s="19" t="n">
        <v>15</v>
      </c>
      <c r="E3" s="18" t="inlineStr">
        <is>
          <t>Grabando</t>
        </is>
      </c>
      <c r="F3" s="18" t="inlineStr"/>
    </row>
    <row r="4">
      <c r="A4" s="17" t="n">
        <v>46096</v>
      </c>
      <c r="B4" s="18" t="inlineStr">
        <is>
          <t>Vlog</t>
        </is>
      </c>
      <c r="C4" s="18" t="inlineStr">
        <is>
          <t>Detrás de escenas</t>
        </is>
      </c>
      <c r="D4" s="19" t="n">
        <v>8</v>
      </c>
      <c r="E4" s="18" t="inlineStr">
        <is>
          <t>Editando</t>
        </is>
      </c>
      <c r="F4" s="18" t="inlineStr"/>
    </row>
    <row r="5">
      <c r="A5" s="17" t="n">
        <v>46103</v>
      </c>
      <c r="B5" s="18" t="inlineStr">
        <is>
          <t>Tutorial</t>
        </is>
      </c>
      <c r="C5" s="18" t="inlineStr">
        <is>
          <t>Edición avanzada</t>
        </is>
      </c>
      <c r="D5" s="19" t="n">
        <v>18</v>
      </c>
      <c r="E5" s="18" t="inlineStr">
        <is>
          <t>Planificado</t>
        </is>
      </c>
      <c r="F5" s="18" t="inlineStr"/>
    </row>
    <row r="6">
      <c r="A6" s="17" t="n"/>
      <c r="B6" s="18" t="n"/>
      <c r="C6" s="18" t="n"/>
      <c r="D6" s="19" t="n"/>
      <c r="E6" s="18" t="n"/>
      <c r="F6" s="18" t="n"/>
    </row>
    <row r="7">
      <c r="A7" s="17" t="n"/>
      <c r="B7" s="18" t="n"/>
      <c r="C7" s="18" t="n"/>
      <c r="D7" s="19" t="n"/>
      <c r="E7" s="18" t="n"/>
      <c r="F7" s="18" t="n"/>
    </row>
    <row r="8">
      <c r="A8" s="17" t="n"/>
      <c r="B8" s="18" t="n"/>
      <c r="C8" s="18" t="n"/>
      <c r="D8" s="19" t="n"/>
      <c r="E8" s="18" t="n"/>
      <c r="F8" s="18" t="n"/>
    </row>
    <row r="9">
      <c r="A9" s="17" t="n"/>
      <c r="B9" s="18" t="n"/>
      <c r="C9" s="18" t="n"/>
      <c r="D9" s="19" t="n"/>
      <c r="E9" s="18" t="n"/>
      <c r="F9" s="18" t="n"/>
    </row>
    <row r="10">
      <c r="A10" s="17" t="n"/>
      <c r="B10" s="18" t="n"/>
      <c r="C10" s="18" t="n"/>
      <c r="D10" s="19" t="n"/>
      <c r="E10" s="18" t="n"/>
      <c r="F10" s="18" t="n"/>
    </row>
    <row r="11">
      <c r="A11" s="17" t="n"/>
      <c r="B11" s="18" t="n"/>
      <c r="C11" s="18" t="n"/>
      <c r="D11" s="19" t="n"/>
      <c r="E11" s="18" t="n"/>
      <c r="F11" s="18" t="n"/>
    </row>
    <row r="12">
      <c r="A12" s="17" t="n"/>
      <c r="B12" s="18" t="n"/>
      <c r="C12" s="18" t="n"/>
      <c r="D12" s="19" t="n"/>
      <c r="E12" s="18" t="n"/>
      <c r="F12" s="18" t="n"/>
    </row>
    <row r="13">
      <c r="A13" s="17" t="n"/>
      <c r="B13" s="18" t="n"/>
      <c r="C13" s="18" t="n"/>
      <c r="D13" s="19" t="n"/>
      <c r="E13" s="18" t="n"/>
      <c r="F13" s="18" t="n"/>
    </row>
    <row r="14">
      <c r="A14" s="17" t="n"/>
      <c r="B14" s="18" t="n"/>
      <c r="C14" s="18" t="n"/>
      <c r="D14" s="19" t="n"/>
      <c r="E14" s="18" t="n"/>
      <c r="F14" s="18" t="n"/>
    </row>
    <row r="15">
      <c r="A15" s="17" t="n"/>
      <c r="B15" s="18" t="n"/>
      <c r="C15" s="18" t="n"/>
      <c r="D15" s="19" t="n"/>
      <c r="E15" s="18" t="n"/>
      <c r="F15" s="18" t="n"/>
    </row>
    <row r="16">
      <c r="A16" s="17" t="n"/>
      <c r="B16" s="18" t="n"/>
      <c r="C16" s="18" t="n"/>
      <c r="D16" s="19" t="n"/>
      <c r="E16" s="18" t="n"/>
      <c r="F16" s="18" t="n"/>
    </row>
    <row r="17">
      <c r="A17" s="17" t="n"/>
      <c r="B17" s="18" t="n"/>
      <c r="C17" s="18" t="n"/>
      <c r="D17" s="19" t="n"/>
      <c r="E17" s="18" t="n"/>
      <c r="F17" s="18" t="n"/>
    </row>
    <row r="18">
      <c r="A18" s="17" t="n"/>
      <c r="B18" s="18" t="n"/>
      <c r="C18" s="18" t="n"/>
      <c r="D18" s="19" t="n"/>
      <c r="E18" s="18" t="n"/>
      <c r="F18" s="18" t="n"/>
    </row>
    <row r="19">
      <c r="A19" s="17" t="n"/>
      <c r="B19" s="18" t="n"/>
      <c r="C19" s="18" t="n"/>
      <c r="D19" s="19" t="n"/>
      <c r="E19" s="18" t="n"/>
      <c r="F19" s="18" t="n"/>
    </row>
    <row r="20">
      <c r="A20" s="17" t="n"/>
      <c r="B20" s="18" t="n"/>
      <c r="C20" s="18" t="n"/>
      <c r="D20" s="19" t="n"/>
      <c r="E20" s="18" t="n"/>
      <c r="F20" s="18" t="n"/>
    </row>
    <row r="21">
      <c r="A21" s="17" t="n"/>
      <c r="B21" s="18" t="n"/>
      <c r="C21" s="18" t="n"/>
      <c r="D21" s="19" t="n"/>
      <c r="E21" s="18" t="n"/>
      <c r="F21" s="18" t="n"/>
    </row>
    <row r="22">
      <c r="A22" s="17" t="n"/>
      <c r="B22" s="18" t="n"/>
      <c r="C22" s="18" t="n"/>
      <c r="D22" s="19" t="n"/>
      <c r="E22" s="18" t="n"/>
      <c r="F22" s="18" t="n"/>
    </row>
    <row r="23">
      <c r="A23" s="17" t="n"/>
      <c r="B23" s="18" t="n"/>
      <c r="C23" s="18" t="n"/>
      <c r="D23" s="19" t="n"/>
      <c r="E23" s="18" t="n"/>
      <c r="F23" s="18" t="n"/>
    </row>
    <row r="24">
      <c r="A24" s="17" t="n"/>
      <c r="B24" s="18" t="n"/>
      <c r="C24" s="18" t="n"/>
      <c r="D24" s="19" t="n"/>
      <c r="E24" s="18" t="n"/>
      <c r="F24" s="18" t="n"/>
    </row>
    <row r="25">
      <c r="A25" s="17" t="n"/>
      <c r="B25" s="18" t="n"/>
      <c r="C25" s="18" t="n"/>
      <c r="D25" s="19" t="n"/>
      <c r="E25" s="18" t="n"/>
      <c r="F25" s="18" t="n"/>
    </row>
    <row r="26">
      <c r="A26" s="17" t="n"/>
      <c r="B26" s="18" t="n"/>
      <c r="C26" s="18" t="n"/>
      <c r="D26" s="19" t="n"/>
      <c r="E26" s="18" t="n"/>
      <c r="F26" s="18" t="n"/>
    </row>
    <row r="27">
      <c r="A27" s="17" t="n"/>
      <c r="B27" s="18" t="n"/>
      <c r="C27" s="18" t="n"/>
      <c r="D27" s="19" t="n"/>
      <c r="E27" s="18" t="n"/>
      <c r="F27" s="18" t="n"/>
    </row>
    <row r="28">
      <c r="A28" s="17" t="n"/>
      <c r="B28" s="18" t="n"/>
      <c r="C28" s="18" t="n"/>
      <c r="D28" s="19" t="n"/>
      <c r="E28" s="18" t="n"/>
      <c r="F28" s="18" t="n"/>
    </row>
    <row r="29">
      <c r="A29" s="17" t="n"/>
      <c r="B29" s="18" t="n"/>
      <c r="C29" s="18" t="n"/>
      <c r="D29" s="19" t="n"/>
      <c r="E29" s="18" t="n"/>
      <c r="F29" s="18" t="n"/>
    </row>
    <row r="30">
      <c r="A30" s="17" t="n"/>
      <c r="B30" s="18" t="n"/>
      <c r="C30" s="18" t="n"/>
      <c r="D30" s="19" t="n"/>
      <c r="E30" s="18" t="n"/>
      <c r="F30" s="18" t="n"/>
    </row>
    <row r="31">
      <c r="A31" s="17" t="n"/>
      <c r="B31" s="18" t="n"/>
      <c r="C31" s="18" t="n"/>
      <c r="D31" s="19" t="n"/>
      <c r="E31" s="18" t="n"/>
      <c r="F31" s="18" t="n"/>
    </row>
    <row r="32">
      <c r="A32" s="17" t="n"/>
      <c r="B32" s="18" t="n"/>
      <c r="C32" s="18" t="n"/>
      <c r="D32" s="19" t="n"/>
      <c r="E32" s="18" t="n"/>
      <c r="F32" s="18" t="n"/>
    </row>
    <row r="33">
      <c r="A33" s="17" t="n"/>
      <c r="B33" s="18" t="n"/>
      <c r="C33" s="18" t="n"/>
      <c r="D33" s="19" t="n"/>
      <c r="E33" s="18" t="n"/>
      <c r="F33" s="18" t="n"/>
    </row>
    <row r="34">
      <c r="A34" s="17" t="n"/>
      <c r="B34" s="18" t="n"/>
      <c r="C34" s="18" t="n"/>
      <c r="D34" s="19" t="n"/>
      <c r="E34" s="18" t="n"/>
      <c r="F34" s="18" t="n"/>
    </row>
    <row r="35">
      <c r="A35" s="17" t="n"/>
      <c r="B35" s="18" t="n"/>
      <c r="C35" s="18" t="n"/>
      <c r="D35" s="19" t="n"/>
      <c r="E35" s="18" t="n"/>
      <c r="F35" s="18" t="n"/>
    </row>
  </sheetData>
  <conditionalFormatting sqref="D2:D35">
    <cfRule type="cellIs" priority="1" operator="lessThan" dxfId="0">
      <formula>0</formula>
    </cfRule>
  </conditionalFormatting>
  <dataValidations count="2">
    <dataValidation sqref="B2:B35" showDropDown="0" showInputMessage="0" showErrorMessage="0" allowBlank="1" type="list">
      <formula1>"Tutorial,Review,Vlog,Entrevista,Colaboración"</formula1>
    </dataValidation>
    <dataValidation sqref="E2:E35" showDropDown="0" showInputMessage="0" showErrorMessage="0" allowBlank="1" type="list">
      <formula1>"Idea,Planificado,Grabando,Editando,Publicado"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5" customWidth="1" min="4" max="4"/>
    <col width="12" customWidth="1" min="5" max="5"/>
    <col width="28" customWidth="1" min="6" max="6"/>
  </cols>
  <sheetData>
    <row r="1" ht="32" customHeight="1">
      <c r="A1" s="16" t="inlineStr">
        <is>
          <t>Fecha</t>
        </is>
      </c>
      <c r="B1" s="16" t="inlineStr">
        <is>
          <t>Título</t>
        </is>
      </c>
      <c r="C1" s="16" t="inlineStr">
        <is>
          <t>Visitas</t>
        </is>
      </c>
      <c r="D1" s="16" t="inlineStr">
        <is>
          <t>Tiempo (min)</t>
        </is>
      </c>
      <c r="E1" s="16" t="inlineStr">
        <is>
          <t>Ingresos</t>
        </is>
      </c>
      <c r="F1" s="16" t="inlineStr">
        <is>
          <t>ROI</t>
        </is>
      </c>
    </row>
    <row r="2">
      <c r="A2" s="17" t="n">
        <v>46054</v>
      </c>
      <c r="B2" s="18" t="inlineStr">
        <is>
          <t>Guía SEO YouTube</t>
        </is>
      </c>
      <c r="C2" s="20" t="n">
        <v>12500</v>
      </c>
      <c r="D2" s="19" t="n">
        <v>32500</v>
      </c>
      <c r="E2" s="21" t="n">
        <v>58.3</v>
      </c>
      <c r="F2" s="22">
        <f>E2/20*100</f>
        <v/>
      </c>
    </row>
    <row r="3">
      <c r="A3" s="17" t="n">
        <v>46061</v>
      </c>
      <c r="B3" s="18" t="inlineStr">
        <is>
          <t>Mejor micrófono 2026</t>
        </is>
      </c>
      <c r="C3" s="20" t="n">
        <v>8700</v>
      </c>
      <c r="D3" s="19" t="n">
        <v>21000</v>
      </c>
      <c r="E3" s="21" t="n">
        <v>42.15</v>
      </c>
      <c r="F3" s="22">
        <f>E3/20*100</f>
        <v/>
      </c>
    </row>
    <row r="4">
      <c r="A4" s="17" t="n">
        <v>46068</v>
      </c>
      <c r="B4" s="18" t="inlineStr">
        <is>
          <t>Setup estudio pequeño</t>
        </is>
      </c>
      <c r="C4" s="20" t="n">
        <v>14300</v>
      </c>
      <c r="D4" s="19" t="n">
        <v>40100</v>
      </c>
      <c r="E4" s="21" t="n">
        <v>72.8</v>
      </c>
      <c r="F4" s="22">
        <f>E4/20*100</f>
        <v/>
      </c>
    </row>
    <row r="5">
      <c r="A5" s="17" t="n">
        <v>46075</v>
      </c>
      <c r="B5" s="18" t="inlineStr">
        <is>
          <t>Trucos iluminación</t>
        </is>
      </c>
      <c r="C5" s="20" t="n">
        <v>9600</v>
      </c>
      <c r="D5" s="19" t="n">
        <v>24500</v>
      </c>
      <c r="E5" s="21" t="n">
        <v>51.2</v>
      </c>
      <c r="F5" s="22">
        <f>E5/20*100</f>
        <v/>
      </c>
    </row>
    <row r="6">
      <c r="A6" s="17" t="n"/>
      <c r="B6" s="18" t="n"/>
      <c r="C6" s="20" t="n"/>
      <c r="D6" s="19" t="n"/>
      <c r="E6" s="21" t="n"/>
      <c r="F6" s="22">
        <f>IF(A6="","",E6/20*100)</f>
        <v/>
      </c>
    </row>
    <row r="7">
      <c r="A7" s="17" t="n"/>
      <c r="B7" s="18" t="n"/>
      <c r="C7" s="20" t="n"/>
      <c r="D7" s="19" t="n"/>
      <c r="E7" s="21" t="n"/>
      <c r="F7" s="22">
        <f>IF(A7="","",E7/20*100)</f>
        <v/>
      </c>
    </row>
    <row r="8">
      <c r="A8" s="17" t="n"/>
      <c r="B8" s="18" t="n"/>
      <c r="C8" s="20" t="n"/>
      <c r="D8" s="19" t="n"/>
      <c r="E8" s="21" t="n"/>
      <c r="F8" s="22">
        <f>IF(A8="","",E8/20*100)</f>
        <v/>
      </c>
    </row>
    <row r="9">
      <c r="A9" s="17" t="n"/>
      <c r="B9" s="18" t="n"/>
      <c r="C9" s="20" t="n"/>
      <c r="D9" s="19" t="n"/>
      <c r="E9" s="21" t="n"/>
      <c r="F9" s="22">
        <f>IF(A9="","",E9/20*100)</f>
        <v/>
      </c>
    </row>
    <row r="10">
      <c r="A10" s="17" t="n"/>
      <c r="B10" s="18" t="n"/>
      <c r="C10" s="20" t="n"/>
      <c r="D10" s="19" t="n"/>
      <c r="E10" s="21" t="n"/>
      <c r="F10" s="22">
        <f>IF(A10="","",E10/20*100)</f>
        <v/>
      </c>
    </row>
    <row r="11">
      <c r="A11" s="17" t="n"/>
      <c r="B11" s="18" t="n"/>
      <c r="C11" s="20" t="n"/>
      <c r="D11" s="19" t="n"/>
      <c r="E11" s="21" t="n"/>
      <c r="F11" s="22">
        <f>IF(A11="","",E11/20*100)</f>
        <v/>
      </c>
    </row>
    <row r="12">
      <c r="A12" s="17" t="n"/>
      <c r="B12" s="18" t="n"/>
      <c r="C12" s="20" t="n"/>
      <c r="D12" s="19" t="n"/>
      <c r="E12" s="21" t="n"/>
      <c r="F12" s="22">
        <f>IF(A12="","",E12/20*100)</f>
        <v/>
      </c>
    </row>
    <row r="13">
      <c r="A13" s="17" t="n"/>
      <c r="B13" s="18" t="n"/>
      <c r="C13" s="20" t="n"/>
      <c r="D13" s="19" t="n"/>
      <c r="E13" s="21" t="n"/>
      <c r="F13" s="22">
        <f>IF(A13="","",E13/20*100)</f>
        <v/>
      </c>
    </row>
    <row r="14">
      <c r="A14" s="17" t="n"/>
      <c r="B14" s="18" t="n"/>
      <c r="C14" s="20" t="n"/>
      <c r="D14" s="19" t="n"/>
      <c r="E14" s="21" t="n"/>
      <c r="F14" s="22">
        <f>IF(A14="","",E14/20*100)</f>
        <v/>
      </c>
    </row>
    <row r="15">
      <c r="A15" s="17" t="n"/>
      <c r="B15" s="18" t="n"/>
      <c r="C15" s="20" t="n"/>
      <c r="D15" s="19" t="n"/>
      <c r="E15" s="21" t="n"/>
      <c r="F15" s="22">
        <f>IF(A15="","",E15/20*100)</f>
        <v/>
      </c>
    </row>
    <row r="16">
      <c r="A16" s="17" t="n"/>
      <c r="B16" s="18" t="n"/>
      <c r="C16" s="20" t="n"/>
      <c r="D16" s="19" t="n"/>
      <c r="E16" s="21" t="n"/>
      <c r="F16" s="22">
        <f>IF(A16="","",E16/20*100)</f>
        <v/>
      </c>
    </row>
    <row r="17">
      <c r="A17" s="17" t="n"/>
      <c r="B17" s="18" t="n"/>
      <c r="C17" s="20" t="n"/>
      <c r="D17" s="19" t="n"/>
      <c r="E17" s="21" t="n"/>
      <c r="F17" s="22">
        <f>IF(A17="","",E17/20*100)</f>
        <v/>
      </c>
    </row>
    <row r="18">
      <c r="A18" s="17" t="n"/>
      <c r="B18" s="18" t="n"/>
      <c r="C18" s="20" t="n"/>
      <c r="D18" s="19" t="n"/>
      <c r="E18" s="21" t="n"/>
      <c r="F18" s="22">
        <f>IF(A18="","",E18/20*100)</f>
        <v/>
      </c>
    </row>
    <row r="19">
      <c r="A19" s="17" t="n"/>
      <c r="B19" s="18" t="n"/>
      <c r="C19" s="20" t="n"/>
      <c r="D19" s="19" t="n"/>
      <c r="E19" s="21" t="n"/>
      <c r="F19" s="22">
        <f>IF(A19="","",E19/20*100)</f>
        <v/>
      </c>
    </row>
    <row r="20">
      <c r="A20" s="17" t="n"/>
      <c r="B20" s="18" t="n"/>
      <c r="C20" s="20" t="n"/>
      <c r="D20" s="19" t="n"/>
      <c r="E20" s="21" t="n"/>
      <c r="F20" s="22">
        <f>IF(A20="","",E20/20*100)</f>
        <v/>
      </c>
    </row>
    <row r="21">
      <c r="A21" s="17" t="n"/>
      <c r="B21" s="18" t="n"/>
      <c r="C21" s="20" t="n"/>
      <c r="D21" s="19" t="n"/>
      <c r="E21" s="21" t="n"/>
      <c r="F21" s="22">
        <f>IF(A21="","",E21/20*100)</f>
        <v/>
      </c>
    </row>
    <row r="22">
      <c r="A22" s="17" t="n"/>
      <c r="B22" s="18" t="n"/>
      <c r="C22" s="20" t="n"/>
      <c r="D22" s="19" t="n"/>
      <c r="E22" s="21" t="n"/>
      <c r="F22" s="22">
        <f>IF(A22="","",E22/20*100)</f>
        <v/>
      </c>
    </row>
    <row r="23">
      <c r="A23" s="17" t="n"/>
      <c r="B23" s="18" t="n"/>
      <c r="C23" s="20" t="n"/>
      <c r="D23" s="19" t="n"/>
      <c r="E23" s="21" t="n"/>
      <c r="F23" s="22">
        <f>IF(A23="","",E23/20*100)</f>
        <v/>
      </c>
    </row>
    <row r="24">
      <c r="A24" s="17" t="n"/>
      <c r="B24" s="18" t="n"/>
      <c r="C24" s="20" t="n"/>
      <c r="D24" s="19" t="n"/>
      <c r="E24" s="21" t="n"/>
      <c r="F24" s="22">
        <f>IF(A24="","",E24/20*100)</f>
        <v/>
      </c>
    </row>
    <row r="25">
      <c r="A25" s="17" t="n"/>
      <c r="B25" s="18" t="n"/>
      <c r="C25" s="20" t="n"/>
      <c r="D25" s="19" t="n"/>
      <c r="E25" s="21" t="n"/>
      <c r="F25" s="22">
        <f>IF(A25="","",E25/20*100)</f>
        <v/>
      </c>
    </row>
    <row r="26">
      <c r="A26" s="17" t="n"/>
      <c r="B26" s="18" t="n"/>
      <c r="C26" s="20" t="n"/>
      <c r="D26" s="19" t="n"/>
      <c r="E26" s="21" t="n"/>
      <c r="F26" s="22">
        <f>IF(A26="","",E26/20*100)</f>
        <v/>
      </c>
    </row>
    <row r="27">
      <c r="A27" s="17" t="n"/>
      <c r="B27" s="18" t="n"/>
      <c r="C27" s="20" t="n"/>
      <c r="D27" s="19" t="n"/>
      <c r="E27" s="21" t="n"/>
      <c r="F27" s="22">
        <f>IF(A27="","",E27/20*100)</f>
        <v/>
      </c>
    </row>
    <row r="28">
      <c r="A28" s="17" t="n"/>
      <c r="B28" s="18" t="n"/>
      <c r="C28" s="20" t="n"/>
      <c r="D28" s="19" t="n"/>
      <c r="E28" s="21" t="n"/>
      <c r="F28" s="22">
        <f>IF(A28="","",E28/20*100)</f>
        <v/>
      </c>
    </row>
    <row r="29">
      <c r="A29" s="17" t="n"/>
      <c r="B29" s="18" t="n"/>
      <c r="C29" s="20" t="n"/>
      <c r="D29" s="19" t="n"/>
      <c r="E29" s="21" t="n"/>
      <c r="F29" s="22">
        <f>IF(A29="","",E29/20*100)</f>
        <v/>
      </c>
    </row>
    <row r="30">
      <c r="A30" s="17" t="n"/>
      <c r="B30" s="18" t="n"/>
      <c r="C30" s="20" t="n"/>
      <c r="D30" s="19" t="n"/>
      <c r="E30" s="21" t="n"/>
      <c r="F30" s="22">
        <f>IF(A30="","",E30/20*100)</f>
        <v/>
      </c>
    </row>
    <row r="31">
      <c r="A31" s="17" t="n"/>
      <c r="B31" s="18" t="n"/>
      <c r="C31" s="20" t="n"/>
      <c r="D31" s="19" t="n"/>
      <c r="E31" s="21" t="n"/>
      <c r="F31" s="22">
        <f>IF(A31="","",E31/20*100)</f>
        <v/>
      </c>
    </row>
    <row r="32">
      <c r="A32" s="17" t="n"/>
      <c r="B32" s="18" t="n"/>
      <c r="C32" s="20" t="n"/>
      <c r="D32" s="19" t="n"/>
      <c r="E32" s="21" t="n"/>
      <c r="F32" s="22">
        <f>IF(A32="","",E32/20*100)</f>
        <v/>
      </c>
    </row>
    <row r="33">
      <c r="A33" s="17" t="n"/>
      <c r="B33" s="18" t="n"/>
      <c r="C33" s="20" t="n"/>
      <c r="D33" s="19" t="n"/>
      <c r="E33" s="21" t="n"/>
      <c r="F33" s="22">
        <f>IF(A33="","",E33/20*100)</f>
        <v/>
      </c>
    </row>
    <row r="34">
      <c r="A34" s="17" t="n"/>
      <c r="B34" s="18" t="n"/>
      <c r="C34" s="20" t="n"/>
      <c r="D34" s="19" t="n"/>
      <c r="E34" s="21" t="n"/>
      <c r="F34" s="22">
        <f>IF(A34="","",E34/20*100)</f>
        <v/>
      </c>
    </row>
    <row r="35">
      <c r="A35" s="17" t="n"/>
      <c r="B35" s="18" t="n"/>
      <c r="C35" s="20" t="n"/>
      <c r="D35" s="19" t="n"/>
      <c r="E35" s="21" t="n"/>
      <c r="F35" s="22">
        <f>IF(A35="","",E35/20*100)</f>
        <v/>
      </c>
    </row>
  </sheetData>
  <conditionalFormatting sqref="D2:D35">
    <cfRule type="cellIs" priority="1" operator="lessThan" dxfId="0">
      <formula>0</formula>
    </cfRule>
  </conditionalFormatting>
  <conditionalFormatting sqref="E2:E35">
    <cfRule type="cellIs" priority="2" operator="lessThan" dxfId="0">
      <formula>0</formula>
    </cfRule>
  </conditionalFormatting>
  <conditionalFormatting sqref="F2:F35">
    <cfRule type="dataBar" priority="3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Fecha</t>
        </is>
      </c>
      <c r="B1" s="16" t="inlineStr">
        <is>
          <t>Concepto</t>
        </is>
      </c>
      <c r="C1" s="16" t="inlineStr">
        <is>
          <t>Categoría</t>
        </is>
      </c>
      <c r="D1" s="16" t="inlineStr">
        <is>
          <t>Cantidad</t>
        </is>
      </c>
      <c r="E1" s="16" t="inlineStr">
        <is>
          <t>Precio</t>
        </is>
      </c>
      <c r="F1" s="16" t="inlineStr">
        <is>
          <t>Total</t>
        </is>
      </c>
    </row>
    <row r="2">
      <c r="A2" s="17" t="n">
        <v>46082</v>
      </c>
      <c r="B2" s="18" t="inlineStr">
        <is>
          <t>SD Card 128GB</t>
        </is>
      </c>
      <c r="C2" s="18" t="inlineStr">
        <is>
          <t>Equipo</t>
        </is>
      </c>
      <c r="D2" s="19" t="n">
        <v>2</v>
      </c>
      <c r="E2" s="21" t="n">
        <v>29.99</v>
      </c>
      <c r="F2" s="23">
        <f>D2*E2</f>
        <v/>
      </c>
    </row>
    <row r="3">
      <c r="A3" s="17" t="n">
        <v>46086</v>
      </c>
      <c r="B3" s="18" t="inlineStr">
        <is>
          <t>Suscripción Adobe</t>
        </is>
      </c>
      <c r="C3" s="18" t="inlineStr">
        <is>
          <t>Software</t>
        </is>
      </c>
      <c r="D3" s="19" t="n">
        <v>1</v>
      </c>
      <c r="E3" s="21" t="n">
        <v>22.99</v>
      </c>
      <c r="F3" s="23">
        <f>D3*E3</f>
        <v/>
      </c>
    </row>
    <row r="4">
      <c r="A4" s="17" t="n">
        <v>46093</v>
      </c>
      <c r="B4" s="18" t="inlineStr">
        <is>
          <t>Viaje locación</t>
        </is>
      </c>
      <c r="C4" s="18" t="inlineStr">
        <is>
          <t>Producción</t>
        </is>
      </c>
      <c r="D4" s="19" t="n">
        <v>1</v>
      </c>
      <c r="E4" s="21" t="n">
        <v>85</v>
      </c>
      <c r="F4" s="23">
        <f>D4*E4</f>
        <v/>
      </c>
    </row>
    <row r="5">
      <c r="A5" s="17" t="n">
        <v>46101</v>
      </c>
      <c r="B5" s="18" t="inlineStr">
        <is>
          <t>Microfondo verde</t>
        </is>
      </c>
      <c r="C5" s="18" t="inlineStr">
        <is>
          <t>Equipo</t>
        </is>
      </c>
      <c r="D5" s="19" t="n">
        <v>1</v>
      </c>
      <c r="E5" s="21" t="n">
        <v>45.5</v>
      </c>
      <c r="F5" s="23">
        <f>D5*E5</f>
        <v/>
      </c>
    </row>
    <row r="6">
      <c r="A6" s="17" t="n"/>
      <c r="B6" s="18" t="n"/>
      <c r="C6" s="18" t="n"/>
      <c r="D6" s="19" t="n"/>
      <c r="E6" s="21" t="n"/>
      <c r="F6" s="23">
        <f>IF(A6="","",D6*E6)</f>
        <v/>
      </c>
    </row>
    <row r="7">
      <c r="A7" s="17" t="n"/>
      <c r="B7" s="18" t="n"/>
      <c r="C7" s="18" t="n"/>
      <c r="D7" s="19" t="n"/>
      <c r="E7" s="21" t="n"/>
      <c r="F7" s="23">
        <f>IF(A7="","",D7*E7)</f>
        <v/>
      </c>
    </row>
    <row r="8">
      <c r="A8" s="17" t="n"/>
      <c r="B8" s="18" t="n"/>
      <c r="C8" s="18" t="n"/>
      <c r="D8" s="19" t="n"/>
      <c r="E8" s="21" t="n"/>
      <c r="F8" s="23">
        <f>IF(A8="","",D8*E8)</f>
        <v/>
      </c>
    </row>
    <row r="9">
      <c r="A9" s="17" t="n"/>
      <c r="B9" s="18" t="n"/>
      <c r="C9" s="18" t="n"/>
      <c r="D9" s="19" t="n"/>
      <c r="E9" s="21" t="n"/>
      <c r="F9" s="23">
        <f>IF(A9="","",D9*E9)</f>
        <v/>
      </c>
    </row>
    <row r="10">
      <c r="A10" s="17" t="n"/>
      <c r="B10" s="18" t="n"/>
      <c r="C10" s="18" t="n"/>
      <c r="D10" s="19" t="n"/>
      <c r="E10" s="21" t="n"/>
      <c r="F10" s="23">
        <f>IF(A10="","",D10*E10)</f>
        <v/>
      </c>
    </row>
    <row r="11">
      <c r="A11" s="17" t="n"/>
      <c r="B11" s="18" t="n"/>
      <c r="C11" s="18" t="n"/>
      <c r="D11" s="19" t="n"/>
      <c r="E11" s="21" t="n"/>
      <c r="F11" s="23">
        <f>IF(A11="","",D11*E11)</f>
        <v/>
      </c>
    </row>
    <row r="12">
      <c r="A12" s="17" t="n"/>
      <c r="B12" s="18" t="n"/>
      <c r="C12" s="18" t="n"/>
      <c r="D12" s="19" t="n"/>
      <c r="E12" s="21" t="n"/>
      <c r="F12" s="23">
        <f>IF(A12="","",D12*E12)</f>
        <v/>
      </c>
    </row>
    <row r="13">
      <c r="A13" s="17" t="n"/>
      <c r="B13" s="18" t="n"/>
      <c r="C13" s="18" t="n"/>
      <c r="D13" s="19" t="n"/>
      <c r="E13" s="21" t="n"/>
      <c r="F13" s="23">
        <f>IF(A13="","",D13*E13)</f>
        <v/>
      </c>
    </row>
    <row r="14">
      <c r="A14" s="17" t="n"/>
      <c r="B14" s="18" t="n"/>
      <c r="C14" s="18" t="n"/>
      <c r="D14" s="19" t="n"/>
      <c r="E14" s="21" t="n"/>
      <c r="F14" s="23">
        <f>IF(A14="","",D14*E14)</f>
        <v/>
      </c>
    </row>
    <row r="15">
      <c r="A15" s="17" t="n"/>
      <c r="B15" s="18" t="n"/>
      <c r="C15" s="18" t="n"/>
      <c r="D15" s="19" t="n"/>
      <c r="E15" s="21" t="n"/>
      <c r="F15" s="23">
        <f>IF(A15="","",D15*E15)</f>
        <v/>
      </c>
    </row>
    <row r="16">
      <c r="A16" s="17" t="n"/>
      <c r="B16" s="18" t="n"/>
      <c r="C16" s="18" t="n"/>
      <c r="D16" s="19" t="n"/>
      <c r="E16" s="21" t="n"/>
      <c r="F16" s="23">
        <f>IF(A16="","",D16*E16)</f>
        <v/>
      </c>
    </row>
    <row r="17">
      <c r="A17" s="17" t="n"/>
      <c r="B17" s="18" t="n"/>
      <c r="C17" s="18" t="n"/>
      <c r="D17" s="19" t="n"/>
      <c r="E17" s="21" t="n"/>
      <c r="F17" s="23">
        <f>IF(A17="","",D17*E17)</f>
        <v/>
      </c>
    </row>
    <row r="18">
      <c r="A18" s="17" t="n"/>
      <c r="B18" s="18" t="n"/>
      <c r="C18" s="18" t="n"/>
      <c r="D18" s="19" t="n"/>
      <c r="E18" s="21" t="n"/>
      <c r="F18" s="23">
        <f>IF(A18="","",D18*E18)</f>
        <v/>
      </c>
    </row>
    <row r="19">
      <c r="A19" s="17" t="n"/>
      <c r="B19" s="18" t="n"/>
      <c r="C19" s="18" t="n"/>
      <c r="D19" s="19" t="n"/>
      <c r="E19" s="21" t="n"/>
      <c r="F19" s="23">
        <f>IF(A19="","",D19*E19)</f>
        <v/>
      </c>
    </row>
    <row r="20">
      <c r="A20" s="17" t="n"/>
      <c r="B20" s="18" t="n"/>
      <c r="C20" s="18" t="n"/>
      <c r="D20" s="19" t="n"/>
      <c r="E20" s="21" t="n"/>
      <c r="F20" s="23">
        <f>IF(A20="","",D20*E20)</f>
        <v/>
      </c>
    </row>
    <row r="21">
      <c r="A21" s="17" t="n"/>
      <c r="B21" s="18" t="n"/>
      <c r="C21" s="18" t="n"/>
      <c r="D21" s="19" t="n"/>
      <c r="E21" s="21" t="n"/>
      <c r="F21" s="23">
        <f>IF(A21="","",D21*E21)</f>
        <v/>
      </c>
    </row>
    <row r="22">
      <c r="A22" s="17" t="n"/>
      <c r="B22" s="18" t="n"/>
      <c r="C22" s="18" t="n"/>
      <c r="D22" s="19" t="n"/>
      <c r="E22" s="21" t="n"/>
      <c r="F22" s="23">
        <f>IF(A22="","",D22*E22)</f>
        <v/>
      </c>
    </row>
    <row r="23">
      <c r="A23" s="17" t="n"/>
      <c r="B23" s="18" t="n"/>
      <c r="C23" s="18" t="n"/>
      <c r="D23" s="19" t="n"/>
      <c r="E23" s="21" t="n"/>
      <c r="F23" s="23">
        <f>IF(A23="","",D23*E23)</f>
        <v/>
      </c>
    </row>
    <row r="24">
      <c r="A24" s="17" t="n"/>
      <c r="B24" s="18" t="n"/>
      <c r="C24" s="18" t="n"/>
      <c r="D24" s="19" t="n"/>
      <c r="E24" s="21" t="n"/>
      <c r="F24" s="23">
        <f>IF(A24="","",D24*E24)</f>
        <v/>
      </c>
    </row>
    <row r="25">
      <c r="A25" s="17" t="n"/>
      <c r="B25" s="18" t="n"/>
      <c r="C25" s="18" t="n"/>
      <c r="D25" s="19" t="n"/>
      <c r="E25" s="21" t="n"/>
      <c r="F25" s="23">
        <f>IF(A25="","",D25*E25)</f>
        <v/>
      </c>
    </row>
    <row r="26">
      <c r="A26" s="17" t="n"/>
      <c r="B26" s="18" t="n"/>
      <c r="C26" s="18" t="n"/>
      <c r="D26" s="19" t="n"/>
      <c r="E26" s="21" t="n"/>
      <c r="F26" s="23">
        <f>IF(A26="","",D26*E26)</f>
        <v/>
      </c>
    </row>
    <row r="27">
      <c r="A27" s="17" t="n"/>
      <c r="B27" s="18" t="n"/>
      <c r="C27" s="18" t="n"/>
      <c r="D27" s="19" t="n"/>
      <c r="E27" s="21" t="n"/>
      <c r="F27" s="23">
        <f>IF(A27="","",D27*E27)</f>
        <v/>
      </c>
    </row>
    <row r="28">
      <c r="A28" s="17" t="n"/>
      <c r="B28" s="18" t="n"/>
      <c r="C28" s="18" t="n"/>
      <c r="D28" s="19" t="n"/>
      <c r="E28" s="21" t="n"/>
      <c r="F28" s="23">
        <f>IF(A28="","",D28*E28)</f>
        <v/>
      </c>
    </row>
    <row r="29">
      <c r="A29" s="17" t="n"/>
      <c r="B29" s="18" t="n"/>
      <c r="C29" s="18" t="n"/>
      <c r="D29" s="19" t="n"/>
      <c r="E29" s="21" t="n"/>
      <c r="F29" s="23">
        <f>IF(A29="","",D29*E29)</f>
        <v/>
      </c>
    </row>
    <row r="30">
      <c r="A30" s="17" t="n"/>
      <c r="B30" s="18" t="n"/>
      <c r="C30" s="18" t="n"/>
      <c r="D30" s="19" t="n"/>
      <c r="E30" s="21" t="n"/>
      <c r="F30" s="23">
        <f>IF(A30="","",D30*E30)</f>
        <v/>
      </c>
    </row>
    <row r="31">
      <c r="A31" s="17" t="n"/>
      <c r="B31" s="18" t="n"/>
      <c r="C31" s="18" t="n"/>
      <c r="D31" s="19" t="n"/>
      <c r="E31" s="21" t="n"/>
      <c r="F31" s="23">
        <f>IF(A31="","",D31*E31)</f>
        <v/>
      </c>
    </row>
    <row r="32">
      <c r="A32" s="17" t="n"/>
      <c r="B32" s="18" t="n"/>
      <c r="C32" s="18" t="n"/>
      <c r="D32" s="19" t="n"/>
      <c r="E32" s="21" t="n"/>
      <c r="F32" s="23">
        <f>IF(A32="","",D32*E32)</f>
        <v/>
      </c>
    </row>
    <row r="33">
      <c r="A33" s="17" t="n"/>
      <c r="B33" s="18" t="n"/>
      <c r="C33" s="18" t="n"/>
      <c r="D33" s="19" t="n"/>
      <c r="E33" s="21" t="n"/>
      <c r="F33" s="23">
        <f>IF(A33="","",D33*E33)</f>
        <v/>
      </c>
    </row>
    <row r="34">
      <c r="A34" s="17" t="n"/>
      <c r="B34" s="18" t="n"/>
      <c r="C34" s="18" t="n"/>
      <c r="D34" s="19" t="n"/>
      <c r="E34" s="21" t="n"/>
      <c r="F34" s="23">
        <f>IF(A34="","",D34*E34)</f>
        <v/>
      </c>
    </row>
    <row r="35">
      <c r="A35" s="17" t="n"/>
      <c r="B35" s="18" t="n"/>
      <c r="C35" s="18" t="n"/>
      <c r="D35" s="19" t="n"/>
      <c r="E35" s="21" t="n"/>
      <c r="F35" s="23">
        <f>IF(A35="","",D35*E35)</f>
        <v/>
      </c>
    </row>
  </sheetData>
  <conditionalFormatting sqref="D2:D35">
    <cfRule type="cellIs" priority="1" operator="lessThan" dxfId="0">
      <formula>0</formula>
    </cfRule>
  </conditionalFormatting>
  <conditionalFormatting sqref="E2:E35">
    <cfRule type="cellIs" priority="2" operator="lessThan" dxfId="0">
      <formula>0</formula>
    </cfRule>
  </conditionalFormatting>
  <conditionalFormatting sqref="F2:F35">
    <cfRule type="cellIs" priority="3" operator="lessThan" dxfId="0">
      <formula>0</formula>
    </cfRule>
  </conditionalFormatting>
  <dataValidations count="1">
    <dataValidation sqref="C2:C35" showDropDown="0" showInputMessage="0" showErrorMessage="0" allowBlank="1" type="list">
      <formula1>"Equipo,Software,Producción,Marketing,Otros"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Tracker &amp; Budget Planner 2026</dc:title>
  <dcterms:created xsi:type="dcterms:W3CDTF">2026-10-12T06:07:33Z</dcterms:created>
  <dcterms:modified xsi:type="dcterms:W3CDTF">2026-10-12T06:07:33Z</dcterms:modified>
</cp:coreProperties>
</file>