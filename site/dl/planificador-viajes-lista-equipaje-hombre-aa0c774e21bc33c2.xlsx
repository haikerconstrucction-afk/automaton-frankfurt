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Resumen" sheetId="2" state="visible" r:id="rId2"/>
    <sheet name="Itinerario" sheetId="3" state="visible" r:id="rId3"/>
    <sheet name="Gastos" sheetId="4" state="visible" r:id="rId4"/>
    <sheet name="Equipaj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7" fillId="3" borderId="1" pivotButton="0" quotePrefix="0" xfId="0"/>
    <xf numFmtId="1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Distribución de Gastos por Categoría</a:t>
            </a:r>
          </a:p>
        </rich>
      </tx>
    </title>
    <plotArea>
      <pieChart>
        <varyColors val="1"/>
        <ser>
          <idx val="0"/>
          <order val="0"/>
          <tx>
            <strRef>
              <f>'Gastos'!F1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'Gastos'!$B$2:$B$4</f>
            </numRef>
          </cat>
          <val>
            <numRef>
              <f>'Gastos'!$F$2:$F$4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Itinerario_2417" displayName="T_Itinerario_2417" ref="A1:E54" headerRowCount="1">
  <autoFilter ref="A1:E54"/>
  <tableColumns count="5">
    <tableColumn id="1" name="Fecha"/>
    <tableColumn id="2" name="Ciudad"/>
    <tableColumn id="3" name="Actividad"/>
    <tableColumn id="4" name="Transporte"/>
    <tableColumn id="5" name="Notas"/>
  </tableColumns>
  <tableStyleInfo name="TableStyleMedium7" showRowStripes="1"/>
</table>
</file>

<file path=xl/tables/table2.xml><?xml version="1.0" encoding="utf-8"?>
<table xmlns="http://schemas.openxmlformats.org/spreadsheetml/2006/main" id="2" name="T_Gastos_3944" displayName="T_Gastos_3944" ref="A1:F64" headerRowCount="1">
  <autoFilter ref="A1:F64"/>
  <tableColumns count="6">
    <tableColumn id="1" name="Fecha"/>
    <tableColumn id="2" name="Categoría"/>
    <tableColumn id="3" name="Concepto"/>
    <tableColumn id="4" name="Cantidad"/>
    <tableColumn id="5" name="Moneda"/>
    <tableColumn id="6" name="Total EUR"/>
  </tableColumns>
  <tableStyleInfo name="TableStyleMedium7" showRowStripes="1"/>
</table>
</file>

<file path=xl/tables/table3.xml><?xml version="1.0" encoding="utf-8"?>
<table xmlns="http://schemas.openxmlformats.org/spreadsheetml/2006/main" id="3" name="T_Equipaje_4543" displayName="T_Equipaje_4543" ref="A1:D44" headerRowCount="1">
  <autoFilter ref="A1:D44"/>
  <tableColumns count="4">
    <tableColumn id="1" name="Categoría"/>
    <tableColumn id="2" name="Artículo"/>
    <tableColumn id="3" name="Cantidad"/>
    <tableColumn id="4" name="Hecho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sumen'!A1" TargetMode="External" Id="rId1" /><Relationship Type="http://schemas.openxmlformats.org/officeDocument/2006/relationships/hyperlink" Target="#'Itinerario'!A1" TargetMode="External" Id="rId2" /><Relationship Type="http://schemas.openxmlformats.org/officeDocument/2006/relationships/hyperlink" Target="#'Gastos'!A1" TargetMode="External" Id="rId3" /><Relationship Type="http://schemas.openxmlformats.org/officeDocument/2006/relationships/hyperlink" Target="#'Equipaje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Planificador de Viajes y Lista de Equipaje para Hombre - Control de Presupuesto y Ruta</t>
        </is>
      </c>
    </row>
    <row r="3" ht="45" customHeight="1">
      <c r="C3" s="2" t="inlineStr">
        <is>
          <t>Herramienta todo-en-uno para planificar viajes, controlar gastos y preparar equipaje inteligentemente. Optimiza tu tiempo y dinero en cada aventura.</t>
        </is>
      </c>
    </row>
    <row r="5">
      <c r="C5" s="3" t="inlineStr">
        <is>
          <t>Cómo funciona</t>
        </is>
      </c>
    </row>
    <row r="6" ht="18" customHeight="1">
      <c r="B6" s="4" t="inlineStr">
        <is>
          <t>1.</t>
        </is>
      </c>
      <c r="C6" s="5" t="inlineStr">
        <is>
          <t>Ingresa los datos básicos de tu viaje (fechas, destino)</t>
        </is>
      </c>
    </row>
    <row r="7" ht="18" customHeight="1">
      <c r="B7" s="4" t="inlineStr">
        <is>
          <t>2.</t>
        </is>
      </c>
      <c r="C7" s="5" t="inlineStr">
        <is>
          <t>Programa tus actividades diarias en el itinerario</t>
        </is>
      </c>
    </row>
    <row r="8" ht="18" customHeight="1">
      <c r="B8" s="4" t="inlineStr">
        <is>
          <t>3.</t>
        </is>
      </c>
      <c r="C8" s="5" t="inlineStr">
        <is>
          <t>Registra todos los gastos organizados por categorías</t>
        </is>
      </c>
    </row>
    <row r="9" ht="18" customHeight="1">
      <c r="B9" s="4" t="inlineStr">
        <is>
          <t>4.</t>
        </is>
      </c>
      <c r="C9" s="5" t="inlineStr">
        <is>
          <t>Usa la lista de equipaje según el tipo de viaje</t>
        </is>
      </c>
    </row>
    <row r="10" ht="18" customHeight="1">
      <c r="B10" s="4" t="inlineStr">
        <is>
          <t>5.</t>
        </is>
      </c>
      <c r="C10" s="5" t="inlineStr">
        <is>
          <t>Revisa el dashboard para optimizar tu presupuesto</t>
        </is>
      </c>
    </row>
    <row r="11" ht="18" customHeight="1">
      <c r="B11" s="4" t="inlineStr">
        <is>
          <t>6.</t>
        </is>
      </c>
      <c r="C11" s="5" t="inlineStr">
        <is>
          <t>Exporta/guarda para futuras referencias</t>
        </is>
      </c>
    </row>
    <row r="13">
      <c r="C13" s="6" t="inlineStr">
        <is>
          <t>Rellene solo las celdas blancas: las columnas verdes se calculan solas.</t>
        </is>
      </c>
    </row>
    <row r="15">
      <c r="C15" s="3" t="inlineStr">
        <is>
          <t>Ir a la hoja</t>
        </is>
      </c>
    </row>
    <row r="16">
      <c r="C16" s="7" t="inlineStr">
        <is>
          <t>→ Resumen</t>
        </is>
      </c>
    </row>
    <row r="17">
      <c r="C17" s="7" t="inlineStr">
        <is>
          <t>→ Itinerario</t>
        </is>
      </c>
    </row>
    <row r="18">
      <c r="C18" s="7" t="inlineStr">
        <is>
          <t>→ Gastos</t>
        </is>
      </c>
    </row>
    <row r="19">
      <c r="C19" s="7" t="inlineStr">
        <is>
          <t>→ Equipaje</t>
        </is>
      </c>
    </row>
    <row r="21">
      <c r="C21" s="8" t="inlineStr">
        <is>
          <t>Creado por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Resumen – Planificador de Viajes y Lista de Equipaje para Hombre - Con</t>
        </is>
      </c>
    </row>
    <row r="4">
      <c r="B4" s="10" t="inlineStr">
        <is>
          <t>Indicadores</t>
        </is>
      </c>
    </row>
    <row r="5" ht="24" customHeight="1">
      <c r="B5" s="11" t="inlineStr">
        <is>
          <t>Presupuesto total (EUR)</t>
        </is>
      </c>
      <c r="C5" s="12">
        <f>SUM('Gastos'!F2:F300)</f>
        <v/>
      </c>
    </row>
    <row r="6" ht="24" customHeight="1">
      <c r="B6" s="11" t="inlineStr">
        <is>
          <t>Gasto por categoría</t>
        </is>
      </c>
      <c r="C6" s="12">
        <f>SUMIF('Gastos'!B2:B300, 'Transporte', 'Gastos'!F2:F300)</f>
        <v/>
      </c>
    </row>
    <row r="7" ht="24" customHeight="1">
      <c r="B7" s="11" t="inlineStr">
        <is>
          <t>Días de viaje</t>
        </is>
      </c>
      <c r="C7" s="13">
        <f>MAX('Itinerario'!A2:A50)-MIN('Itinerario'!A2:A50)+1</f>
        <v/>
      </c>
    </row>
    <row r="8" ht="24" customHeight="1">
      <c r="B8" s="11" t="inlineStr">
        <is>
          <t>Artículos por empacar</t>
        </is>
      </c>
      <c r="C8" s="13">
        <f>COUNT('Equipaje'!B2:B50)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2" customWidth="1" min="3" max="3"/>
    <col width="13" customWidth="1" min="4" max="4"/>
    <col width="23" customWidth="1" min="5" max="5"/>
  </cols>
  <sheetData>
    <row r="1" ht="32" customHeight="1">
      <c r="A1" s="14" t="inlineStr">
        <is>
          <t>Fecha</t>
        </is>
      </c>
      <c r="B1" s="14" t="inlineStr">
        <is>
          <t>Ciudad</t>
        </is>
      </c>
      <c r="C1" s="14" t="inlineStr">
        <is>
          <t>Actividad</t>
        </is>
      </c>
      <c r="D1" s="14" t="inlineStr">
        <is>
          <t>Transporte</t>
        </is>
      </c>
      <c r="E1" s="14" t="inlineStr">
        <is>
          <t>Notas</t>
        </is>
      </c>
    </row>
    <row r="2">
      <c r="A2" s="15" t="n">
        <v>46096</v>
      </c>
      <c r="B2" s="16" t="inlineStr">
        <is>
          <t>Barcelona</t>
        </is>
      </c>
      <c r="C2" s="16" t="inlineStr">
        <is>
          <t>Reunión con cliente</t>
        </is>
      </c>
      <c r="D2" s="16" t="inlineStr">
        <is>
          <t>Taxi</t>
        </is>
      </c>
      <c r="E2" s="16" t="inlineStr">
        <is>
          <t>Llevar muestras</t>
        </is>
      </c>
    </row>
    <row r="3">
      <c r="A3" s="15" t="n">
        <v>46097</v>
      </c>
      <c r="B3" s="16" t="inlineStr">
        <is>
          <t>Barcelona</t>
        </is>
      </c>
      <c r="C3" s="16" t="inlineStr">
        <is>
          <t>Visita obras</t>
        </is>
      </c>
      <c r="D3" s="16" t="inlineStr">
        <is>
          <t>Metro</t>
        </is>
      </c>
      <c r="E3" s="16" t="inlineStr">
        <is>
          <t>Usar bono transporte</t>
        </is>
      </c>
    </row>
    <row r="4">
      <c r="A4" s="15" t="n">
        <v>46098</v>
      </c>
      <c r="B4" s="16" t="inlineStr">
        <is>
          <t>Madrid</t>
        </is>
      </c>
      <c r="C4" s="16" t="inlineStr">
        <is>
          <t>Vuelo de regreso</t>
        </is>
      </c>
      <c r="D4" s="16" t="inlineStr">
        <is>
          <t>Avión</t>
        </is>
      </c>
      <c r="E4" s="16" t="inlineStr">
        <is>
          <t>Facturar 2h antes</t>
        </is>
      </c>
    </row>
    <row r="5">
      <c r="A5" s="15" t="n"/>
      <c r="B5" s="16" t="n"/>
      <c r="C5" s="16" t="n"/>
      <c r="D5" s="16" t="n"/>
      <c r="E5" s="16" t="n"/>
    </row>
    <row r="6">
      <c r="A6" s="15" t="n"/>
      <c r="B6" s="16" t="n"/>
      <c r="C6" s="16" t="n"/>
      <c r="D6" s="16" t="n"/>
      <c r="E6" s="16" t="n"/>
    </row>
    <row r="7">
      <c r="A7" s="15" t="n"/>
      <c r="B7" s="16" t="n"/>
      <c r="C7" s="16" t="n"/>
      <c r="D7" s="16" t="n"/>
      <c r="E7" s="16" t="n"/>
    </row>
    <row r="8">
      <c r="A8" s="15" t="n"/>
      <c r="B8" s="16" t="n"/>
      <c r="C8" s="16" t="n"/>
      <c r="D8" s="16" t="n"/>
      <c r="E8" s="16" t="n"/>
    </row>
    <row r="9">
      <c r="A9" s="15" t="n"/>
      <c r="B9" s="16" t="n"/>
      <c r="C9" s="16" t="n"/>
      <c r="D9" s="16" t="n"/>
      <c r="E9" s="16" t="n"/>
    </row>
    <row r="10">
      <c r="A10" s="15" t="n"/>
      <c r="B10" s="16" t="n"/>
      <c r="C10" s="16" t="n"/>
      <c r="D10" s="16" t="n"/>
      <c r="E10" s="16" t="n"/>
    </row>
    <row r="11">
      <c r="A11" s="15" t="n"/>
      <c r="B11" s="16" t="n"/>
      <c r="C11" s="16" t="n"/>
      <c r="D11" s="16" t="n"/>
      <c r="E11" s="16" t="n"/>
    </row>
    <row r="12">
      <c r="A12" s="15" t="n"/>
      <c r="B12" s="16" t="n"/>
      <c r="C12" s="16" t="n"/>
      <c r="D12" s="16" t="n"/>
      <c r="E12" s="16" t="n"/>
    </row>
    <row r="13">
      <c r="A13" s="15" t="n"/>
      <c r="B13" s="16" t="n"/>
      <c r="C13" s="16" t="n"/>
      <c r="D13" s="16" t="n"/>
      <c r="E13" s="16" t="n"/>
    </row>
    <row r="14">
      <c r="A14" s="15" t="n"/>
      <c r="B14" s="16" t="n"/>
      <c r="C14" s="16" t="n"/>
      <c r="D14" s="16" t="n"/>
      <c r="E14" s="16" t="n"/>
    </row>
    <row r="15">
      <c r="A15" s="15" t="n"/>
      <c r="B15" s="16" t="n"/>
      <c r="C15" s="16" t="n"/>
      <c r="D15" s="16" t="n"/>
      <c r="E15" s="16" t="n"/>
    </row>
    <row r="16">
      <c r="A16" s="15" t="n"/>
      <c r="B16" s="16" t="n"/>
      <c r="C16" s="16" t="n"/>
      <c r="D16" s="16" t="n"/>
      <c r="E16" s="16" t="n"/>
    </row>
    <row r="17">
      <c r="A17" s="15" t="n"/>
      <c r="B17" s="16" t="n"/>
      <c r="C17" s="16" t="n"/>
      <c r="D17" s="16" t="n"/>
      <c r="E17" s="16" t="n"/>
    </row>
    <row r="18">
      <c r="A18" s="15" t="n"/>
      <c r="B18" s="16" t="n"/>
      <c r="C18" s="16" t="n"/>
      <c r="D18" s="16" t="n"/>
      <c r="E18" s="16" t="n"/>
    </row>
    <row r="19">
      <c r="A19" s="15" t="n"/>
      <c r="B19" s="16" t="n"/>
      <c r="C19" s="16" t="n"/>
      <c r="D19" s="16" t="n"/>
      <c r="E19" s="16" t="n"/>
    </row>
    <row r="20">
      <c r="A20" s="15" t="n"/>
      <c r="B20" s="16" t="n"/>
      <c r="C20" s="16" t="n"/>
      <c r="D20" s="16" t="n"/>
      <c r="E20" s="16" t="n"/>
    </row>
    <row r="21">
      <c r="A21" s="15" t="n"/>
      <c r="B21" s="16" t="n"/>
      <c r="C21" s="16" t="n"/>
      <c r="D21" s="16" t="n"/>
      <c r="E21" s="16" t="n"/>
    </row>
    <row r="22">
      <c r="A22" s="15" t="n"/>
      <c r="B22" s="16" t="n"/>
      <c r="C22" s="16" t="n"/>
      <c r="D22" s="16" t="n"/>
      <c r="E22" s="16" t="n"/>
    </row>
    <row r="23">
      <c r="A23" s="15" t="n"/>
      <c r="B23" s="16" t="n"/>
      <c r="C23" s="16" t="n"/>
      <c r="D23" s="16" t="n"/>
      <c r="E23" s="16" t="n"/>
    </row>
    <row r="24">
      <c r="A24" s="15" t="n"/>
      <c r="B24" s="16" t="n"/>
      <c r="C24" s="16" t="n"/>
      <c r="D24" s="16" t="n"/>
      <c r="E24" s="16" t="n"/>
    </row>
    <row r="25">
      <c r="A25" s="15" t="n"/>
      <c r="B25" s="16" t="n"/>
      <c r="C25" s="16" t="n"/>
      <c r="D25" s="16" t="n"/>
      <c r="E25" s="16" t="n"/>
    </row>
    <row r="26">
      <c r="A26" s="15" t="n"/>
      <c r="B26" s="16" t="n"/>
      <c r="C26" s="16" t="n"/>
      <c r="D26" s="16" t="n"/>
      <c r="E26" s="16" t="n"/>
    </row>
    <row r="27">
      <c r="A27" s="15" t="n"/>
      <c r="B27" s="16" t="n"/>
      <c r="C27" s="16" t="n"/>
      <c r="D27" s="16" t="n"/>
      <c r="E27" s="16" t="n"/>
    </row>
    <row r="28">
      <c r="A28" s="15" t="n"/>
      <c r="B28" s="16" t="n"/>
      <c r="C28" s="16" t="n"/>
      <c r="D28" s="16" t="n"/>
      <c r="E28" s="16" t="n"/>
    </row>
    <row r="29">
      <c r="A29" s="15" t="n"/>
      <c r="B29" s="16" t="n"/>
      <c r="C29" s="16" t="n"/>
      <c r="D29" s="16" t="n"/>
      <c r="E29" s="16" t="n"/>
    </row>
    <row r="30">
      <c r="A30" s="15" t="n"/>
      <c r="B30" s="16" t="n"/>
      <c r="C30" s="16" t="n"/>
      <c r="D30" s="16" t="n"/>
      <c r="E30" s="16" t="n"/>
    </row>
    <row r="31">
      <c r="A31" s="15" t="n"/>
      <c r="B31" s="16" t="n"/>
      <c r="C31" s="16" t="n"/>
      <c r="D31" s="16" t="n"/>
      <c r="E31" s="16" t="n"/>
    </row>
    <row r="32">
      <c r="A32" s="15" t="n"/>
      <c r="B32" s="16" t="n"/>
      <c r="C32" s="16" t="n"/>
      <c r="D32" s="16" t="n"/>
      <c r="E32" s="16" t="n"/>
    </row>
    <row r="33">
      <c r="A33" s="15" t="n"/>
      <c r="B33" s="16" t="n"/>
      <c r="C33" s="16" t="n"/>
      <c r="D33" s="16" t="n"/>
      <c r="E33" s="16" t="n"/>
    </row>
    <row r="34">
      <c r="A34" s="15" t="n"/>
      <c r="B34" s="16" t="n"/>
      <c r="C34" s="16" t="n"/>
      <c r="D34" s="16" t="n"/>
      <c r="E34" s="16" t="n"/>
    </row>
    <row r="35">
      <c r="A35" s="15" t="n"/>
      <c r="B35" s="16" t="n"/>
      <c r="C35" s="16" t="n"/>
      <c r="D35" s="16" t="n"/>
      <c r="E35" s="16" t="n"/>
    </row>
    <row r="36">
      <c r="A36" s="15" t="n"/>
      <c r="B36" s="16" t="n"/>
      <c r="C36" s="16" t="n"/>
      <c r="D36" s="16" t="n"/>
      <c r="E36" s="16" t="n"/>
    </row>
    <row r="37">
      <c r="A37" s="15" t="n"/>
      <c r="B37" s="16" t="n"/>
      <c r="C37" s="16" t="n"/>
      <c r="D37" s="16" t="n"/>
      <c r="E37" s="16" t="n"/>
    </row>
    <row r="38">
      <c r="A38" s="15" t="n"/>
      <c r="B38" s="16" t="n"/>
      <c r="C38" s="16" t="n"/>
      <c r="D38" s="16" t="n"/>
      <c r="E38" s="16" t="n"/>
    </row>
    <row r="39">
      <c r="A39" s="15" t="n"/>
      <c r="B39" s="16" t="n"/>
      <c r="C39" s="16" t="n"/>
      <c r="D39" s="16" t="n"/>
      <c r="E39" s="16" t="n"/>
    </row>
    <row r="40">
      <c r="A40" s="15" t="n"/>
      <c r="B40" s="16" t="n"/>
      <c r="C40" s="16" t="n"/>
      <c r="D40" s="16" t="n"/>
      <c r="E40" s="16" t="n"/>
    </row>
    <row r="41">
      <c r="A41" s="15" t="n"/>
      <c r="B41" s="16" t="n"/>
      <c r="C41" s="16" t="n"/>
      <c r="D41" s="16" t="n"/>
      <c r="E41" s="16" t="n"/>
    </row>
    <row r="42">
      <c r="A42" s="15" t="n"/>
      <c r="B42" s="16" t="n"/>
      <c r="C42" s="16" t="n"/>
      <c r="D42" s="16" t="n"/>
      <c r="E42" s="16" t="n"/>
    </row>
    <row r="43">
      <c r="A43" s="15" t="n"/>
      <c r="B43" s="16" t="n"/>
      <c r="C43" s="16" t="n"/>
      <c r="D43" s="16" t="n"/>
      <c r="E43" s="16" t="n"/>
    </row>
    <row r="44">
      <c r="A44" s="15" t="n"/>
      <c r="B44" s="16" t="n"/>
      <c r="C44" s="16" t="n"/>
      <c r="D44" s="16" t="n"/>
      <c r="E44" s="16" t="n"/>
    </row>
    <row r="45">
      <c r="A45" s="15" t="n"/>
      <c r="B45" s="16" t="n"/>
      <c r="C45" s="16" t="n"/>
      <c r="D45" s="16" t="n"/>
      <c r="E45" s="16" t="n"/>
    </row>
    <row r="46">
      <c r="A46" s="15" t="n"/>
      <c r="B46" s="16" t="n"/>
      <c r="C46" s="16" t="n"/>
      <c r="D46" s="16" t="n"/>
      <c r="E46" s="16" t="n"/>
    </row>
    <row r="47">
      <c r="A47" s="15" t="n"/>
      <c r="B47" s="16" t="n"/>
      <c r="C47" s="16" t="n"/>
      <c r="D47" s="16" t="n"/>
      <c r="E47" s="16" t="n"/>
    </row>
    <row r="48">
      <c r="A48" s="15" t="n"/>
      <c r="B48" s="16" t="n"/>
      <c r="C48" s="16" t="n"/>
      <c r="D48" s="16" t="n"/>
      <c r="E48" s="16" t="n"/>
    </row>
    <row r="49">
      <c r="A49" s="15" t="n"/>
      <c r="B49" s="16" t="n"/>
      <c r="C49" s="16" t="n"/>
      <c r="D49" s="16" t="n"/>
      <c r="E49" s="16" t="n"/>
    </row>
    <row r="50">
      <c r="A50" s="15" t="n"/>
      <c r="B50" s="16" t="n"/>
      <c r="C50" s="16" t="n"/>
      <c r="D50" s="16" t="n"/>
      <c r="E50" s="16" t="n"/>
    </row>
    <row r="51">
      <c r="A51" s="15" t="n"/>
      <c r="B51" s="16" t="n"/>
      <c r="C51" s="16" t="n"/>
      <c r="D51" s="16" t="n"/>
      <c r="E51" s="16" t="n"/>
    </row>
    <row r="52">
      <c r="A52" s="15" t="n"/>
      <c r="B52" s="16" t="n"/>
      <c r="C52" s="16" t="n"/>
      <c r="D52" s="16" t="n"/>
      <c r="E52" s="16" t="n"/>
    </row>
    <row r="53">
      <c r="A53" s="15" t="n"/>
      <c r="B53" s="16" t="n"/>
      <c r="C53" s="16" t="n"/>
      <c r="D53" s="16" t="n"/>
      <c r="E53" s="16" t="n"/>
    </row>
    <row r="54">
      <c r="A54" s="15" t="n"/>
      <c r="B54" s="16" t="n"/>
      <c r="C54" s="16" t="n"/>
      <c r="D54" s="16" t="n"/>
      <c r="E54" s="16" t="n"/>
    </row>
  </sheetData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8" customWidth="1" min="3" max="3"/>
    <col width="12" customWidth="1" min="4" max="4"/>
    <col width="12" customWidth="1" min="5" max="5"/>
    <col width="40" customWidth="1" min="6" max="6"/>
  </cols>
  <sheetData>
    <row r="1" ht="32" customHeight="1">
      <c r="A1" s="14" t="inlineStr">
        <is>
          <t>Fecha</t>
        </is>
      </c>
      <c r="B1" s="14" t="inlineStr">
        <is>
          <t>Categoría</t>
        </is>
      </c>
      <c r="C1" s="14" t="inlineStr">
        <is>
          <t>Concepto</t>
        </is>
      </c>
      <c r="D1" s="14" t="inlineStr">
        <is>
          <t>Cantidad</t>
        </is>
      </c>
      <c r="E1" s="14" t="inlineStr">
        <is>
          <t>Moneda</t>
        </is>
      </c>
      <c r="F1" s="14" t="inlineStr">
        <is>
          <t>Total EUR</t>
        </is>
      </c>
    </row>
    <row r="2">
      <c r="A2" s="15" t="n">
        <v>46096</v>
      </c>
      <c r="B2" s="16" t="inlineStr">
        <is>
          <t>Transporte</t>
        </is>
      </c>
      <c r="C2" s="16" t="inlineStr">
        <is>
          <t>Taxi aeropuerto</t>
        </is>
      </c>
      <c r="D2" s="17" t="n">
        <v>45</v>
      </c>
      <c r="E2" s="16" t="inlineStr">
        <is>
          <t>EUR</t>
        </is>
      </c>
      <c r="F2" s="18">
        <f>IF(E2='EUR', D2, D2*CONVERTIR_DIVISA(E2))</f>
        <v/>
      </c>
    </row>
    <row r="3">
      <c r="A3" s="15" t="n">
        <v>46096</v>
      </c>
      <c r="B3" s="16" t="inlineStr">
        <is>
          <t>Alojamiento</t>
        </is>
      </c>
      <c r="C3" s="16" t="inlineStr">
        <is>
          <t>Hotel 1 noche</t>
        </is>
      </c>
      <c r="D3" s="17" t="n">
        <v>120</v>
      </c>
      <c r="E3" s="16" t="inlineStr">
        <is>
          <t>EUR</t>
        </is>
      </c>
      <c r="F3" s="18">
        <f>IF(E3='EUR', D3, D3*CONVERTIR_DIVISA(E3))</f>
        <v/>
      </c>
    </row>
    <row r="4">
      <c r="A4" s="15" t="n">
        <v>46097</v>
      </c>
      <c r="B4" s="16" t="inlineStr">
        <is>
          <t>Comida</t>
        </is>
      </c>
      <c r="C4" s="16" t="inlineStr">
        <is>
          <t>Cena reunión</t>
        </is>
      </c>
      <c r="D4" s="17" t="n">
        <v>75.5</v>
      </c>
      <c r="E4" s="16" t="inlineStr">
        <is>
          <t>EUR</t>
        </is>
      </c>
      <c r="F4" s="18">
        <f>IF(E4='EUR', D4, D4*CONVERTIR_DIVISA(E4))</f>
        <v/>
      </c>
    </row>
    <row r="5">
      <c r="A5" s="15" t="n"/>
      <c r="B5" s="16" t="n"/>
      <c r="C5" s="16" t="n"/>
      <c r="D5" s="17" t="n"/>
      <c r="E5" s="16" t="n"/>
      <c r="F5" s="18">
        <f>IF(A5="","",IF(E5='EUR', D5, D5*CONVERTIR_DIVISA(E5)))</f>
        <v/>
      </c>
    </row>
    <row r="6">
      <c r="A6" s="15" t="n"/>
      <c r="B6" s="16" t="n"/>
      <c r="C6" s="16" t="n"/>
      <c r="D6" s="17" t="n"/>
      <c r="E6" s="16" t="n"/>
      <c r="F6" s="18">
        <f>IF(A6="","",IF(E6='EUR', D6, D6*CONVERTIR_DIVISA(E6)))</f>
        <v/>
      </c>
    </row>
    <row r="7">
      <c r="A7" s="15" t="n"/>
      <c r="B7" s="16" t="n"/>
      <c r="C7" s="16" t="n"/>
      <c r="D7" s="17" t="n"/>
      <c r="E7" s="16" t="n"/>
      <c r="F7" s="18">
        <f>IF(A7="","",IF(E7='EUR', D7, D7*CONVERTIR_DIVISA(E7)))</f>
        <v/>
      </c>
    </row>
    <row r="8">
      <c r="A8" s="15" t="n"/>
      <c r="B8" s="16" t="n"/>
      <c r="C8" s="16" t="n"/>
      <c r="D8" s="17" t="n"/>
      <c r="E8" s="16" t="n"/>
      <c r="F8" s="18">
        <f>IF(A8="","",IF(E8='EUR', D8, D8*CONVERTIR_DIVISA(E8)))</f>
        <v/>
      </c>
    </row>
    <row r="9">
      <c r="A9" s="15" t="n"/>
      <c r="B9" s="16" t="n"/>
      <c r="C9" s="16" t="n"/>
      <c r="D9" s="17" t="n"/>
      <c r="E9" s="16" t="n"/>
      <c r="F9" s="18">
        <f>IF(A9="","",IF(E9='EUR', D9, D9*CONVERTIR_DIVISA(E9)))</f>
        <v/>
      </c>
    </row>
    <row r="10">
      <c r="A10" s="15" t="n"/>
      <c r="B10" s="16" t="n"/>
      <c r="C10" s="16" t="n"/>
      <c r="D10" s="17" t="n"/>
      <c r="E10" s="16" t="n"/>
      <c r="F10" s="18">
        <f>IF(A10="","",IF(E10='EUR', D10, D10*CONVERTIR_DIVISA(E10)))</f>
        <v/>
      </c>
    </row>
    <row r="11">
      <c r="A11" s="15" t="n"/>
      <c r="B11" s="16" t="n"/>
      <c r="C11" s="16" t="n"/>
      <c r="D11" s="17" t="n"/>
      <c r="E11" s="16" t="n"/>
      <c r="F11" s="18">
        <f>IF(A11="","",IF(E11='EUR', D11, D11*CONVERTIR_DIVISA(E11)))</f>
        <v/>
      </c>
    </row>
    <row r="12">
      <c r="A12" s="15" t="n"/>
      <c r="B12" s="16" t="n"/>
      <c r="C12" s="16" t="n"/>
      <c r="D12" s="17" t="n"/>
      <c r="E12" s="16" t="n"/>
      <c r="F12" s="18">
        <f>IF(A12="","",IF(E12='EUR', D12, D12*CONVERTIR_DIVISA(E12)))</f>
        <v/>
      </c>
    </row>
    <row r="13">
      <c r="A13" s="15" t="n"/>
      <c r="B13" s="16" t="n"/>
      <c r="C13" s="16" t="n"/>
      <c r="D13" s="17" t="n"/>
      <c r="E13" s="16" t="n"/>
      <c r="F13" s="18">
        <f>IF(A13="","",IF(E13='EUR', D13, D13*CONVERTIR_DIVISA(E13)))</f>
        <v/>
      </c>
    </row>
    <row r="14">
      <c r="A14" s="15" t="n"/>
      <c r="B14" s="16" t="n"/>
      <c r="C14" s="16" t="n"/>
      <c r="D14" s="17" t="n"/>
      <c r="E14" s="16" t="n"/>
      <c r="F14" s="18">
        <f>IF(A14="","",IF(E14='EUR', D14, D14*CONVERTIR_DIVISA(E14)))</f>
        <v/>
      </c>
    </row>
    <row r="15">
      <c r="A15" s="15" t="n"/>
      <c r="B15" s="16" t="n"/>
      <c r="C15" s="16" t="n"/>
      <c r="D15" s="17" t="n"/>
      <c r="E15" s="16" t="n"/>
      <c r="F15" s="18">
        <f>IF(A15="","",IF(E15='EUR', D15, D15*CONVERTIR_DIVISA(E15)))</f>
        <v/>
      </c>
    </row>
    <row r="16">
      <c r="A16" s="15" t="n"/>
      <c r="B16" s="16" t="n"/>
      <c r="C16" s="16" t="n"/>
      <c r="D16" s="17" t="n"/>
      <c r="E16" s="16" t="n"/>
      <c r="F16" s="18">
        <f>IF(A16="","",IF(E16='EUR', D16, D16*CONVERTIR_DIVISA(E16)))</f>
        <v/>
      </c>
    </row>
    <row r="17">
      <c r="A17" s="15" t="n"/>
      <c r="B17" s="16" t="n"/>
      <c r="C17" s="16" t="n"/>
      <c r="D17" s="17" t="n"/>
      <c r="E17" s="16" t="n"/>
      <c r="F17" s="18">
        <f>IF(A17="","",IF(E17='EUR', D17, D17*CONVERTIR_DIVISA(E17)))</f>
        <v/>
      </c>
    </row>
    <row r="18">
      <c r="A18" s="15" t="n"/>
      <c r="B18" s="16" t="n"/>
      <c r="C18" s="16" t="n"/>
      <c r="D18" s="17" t="n"/>
      <c r="E18" s="16" t="n"/>
      <c r="F18" s="18">
        <f>IF(A18="","",IF(E18='EUR', D18, D18*CONVERTIR_DIVISA(E18)))</f>
        <v/>
      </c>
    </row>
    <row r="19">
      <c r="A19" s="15" t="n"/>
      <c r="B19" s="16" t="n"/>
      <c r="C19" s="16" t="n"/>
      <c r="D19" s="17" t="n"/>
      <c r="E19" s="16" t="n"/>
      <c r="F19" s="18">
        <f>IF(A19="","",IF(E19='EUR', D19, D19*CONVERTIR_DIVISA(E19)))</f>
        <v/>
      </c>
    </row>
    <row r="20">
      <c r="A20" s="15" t="n"/>
      <c r="B20" s="16" t="n"/>
      <c r="C20" s="16" t="n"/>
      <c r="D20" s="17" t="n"/>
      <c r="E20" s="16" t="n"/>
      <c r="F20" s="18">
        <f>IF(A20="","",IF(E20='EUR', D20, D20*CONVERTIR_DIVISA(E20)))</f>
        <v/>
      </c>
    </row>
    <row r="21">
      <c r="A21" s="15" t="n"/>
      <c r="B21" s="16" t="n"/>
      <c r="C21" s="16" t="n"/>
      <c r="D21" s="17" t="n"/>
      <c r="E21" s="16" t="n"/>
      <c r="F21" s="18">
        <f>IF(A21="","",IF(E21='EUR', D21, D21*CONVERTIR_DIVISA(E21)))</f>
        <v/>
      </c>
    </row>
    <row r="22">
      <c r="A22" s="15" t="n"/>
      <c r="B22" s="16" t="n"/>
      <c r="C22" s="16" t="n"/>
      <c r="D22" s="17" t="n"/>
      <c r="E22" s="16" t="n"/>
      <c r="F22" s="18">
        <f>IF(A22="","",IF(E22='EUR', D22, D22*CONVERTIR_DIVISA(E22)))</f>
        <v/>
      </c>
    </row>
    <row r="23">
      <c r="A23" s="15" t="n"/>
      <c r="B23" s="16" t="n"/>
      <c r="C23" s="16" t="n"/>
      <c r="D23" s="17" t="n"/>
      <c r="E23" s="16" t="n"/>
      <c r="F23" s="18">
        <f>IF(A23="","",IF(E23='EUR', D23, D23*CONVERTIR_DIVISA(E23)))</f>
        <v/>
      </c>
    </row>
    <row r="24">
      <c r="A24" s="15" t="n"/>
      <c r="B24" s="16" t="n"/>
      <c r="C24" s="16" t="n"/>
      <c r="D24" s="17" t="n"/>
      <c r="E24" s="16" t="n"/>
      <c r="F24" s="18">
        <f>IF(A24="","",IF(E24='EUR', D24, D24*CONVERTIR_DIVISA(E24)))</f>
        <v/>
      </c>
    </row>
    <row r="25">
      <c r="A25" s="15" t="n"/>
      <c r="B25" s="16" t="n"/>
      <c r="C25" s="16" t="n"/>
      <c r="D25" s="17" t="n"/>
      <c r="E25" s="16" t="n"/>
      <c r="F25" s="18">
        <f>IF(A25="","",IF(E25='EUR', D25, D25*CONVERTIR_DIVISA(E25)))</f>
        <v/>
      </c>
    </row>
    <row r="26">
      <c r="A26" s="15" t="n"/>
      <c r="B26" s="16" t="n"/>
      <c r="C26" s="16" t="n"/>
      <c r="D26" s="17" t="n"/>
      <c r="E26" s="16" t="n"/>
      <c r="F26" s="18">
        <f>IF(A26="","",IF(E26='EUR', D26, D26*CONVERTIR_DIVISA(E26)))</f>
        <v/>
      </c>
    </row>
    <row r="27">
      <c r="A27" s="15" t="n"/>
      <c r="B27" s="16" t="n"/>
      <c r="C27" s="16" t="n"/>
      <c r="D27" s="17" t="n"/>
      <c r="E27" s="16" t="n"/>
      <c r="F27" s="18">
        <f>IF(A27="","",IF(E27='EUR', D27, D27*CONVERTIR_DIVISA(E27)))</f>
        <v/>
      </c>
    </row>
    <row r="28">
      <c r="A28" s="15" t="n"/>
      <c r="B28" s="16" t="n"/>
      <c r="C28" s="16" t="n"/>
      <c r="D28" s="17" t="n"/>
      <c r="E28" s="16" t="n"/>
      <c r="F28" s="18">
        <f>IF(A28="","",IF(E28='EUR', D28, D28*CONVERTIR_DIVISA(E28)))</f>
        <v/>
      </c>
    </row>
    <row r="29">
      <c r="A29" s="15" t="n"/>
      <c r="B29" s="16" t="n"/>
      <c r="C29" s="16" t="n"/>
      <c r="D29" s="17" t="n"/>
      <c r="E29" s="16" t="n"/>
      <c r="F29" s="18">
        <f>IF(A29="","",IF(E29='EUR', D29, D29*CONVERTIR_DIVISA(E29)))</f>
        <v/>
      </c>
    </row>
    <row r="30">
      <c r="A30" s="15" t="n"/>
      <c r="B30" s="16" t="n"/>
      <c r="C30" s="16" t="n"/>
      <c r="D30" s="17" t="n"/>
      <c r="E30" s="16" t="n"/>
      <c r="F30" s="18">
        <f>IF(A30="","",IF(E30='EUR', D30, D30*CONVERTIR_DIVISA(E30)))</f>
        <v/>
      </c>
    </row>
    <row r="31">
      <c r="A31" s="15" t="n"/>
      <c r="B31" s="16" t="n"/>
      <c r="C31" s="16" t="n"/>
      <c r="D31" s="17" t="n"/>
      <c r="E31" s="16" t="n"/>
      <c r="F31" s="18">
        <f>IF(A31="","",IF(E31='EUR', D31, D31*CONVERTIR_DIVISA(E31)))</f>
        <v/>
      </c>
    </row>
    <row r="32">
      <c r="A32" s="15" t="n"/>
      <c r="B32" s="16" t="n"/>
      <c r="C32" s="16" t="n"/>
      <c r="D32" s="17" t="n"/>
      <c r="E32" s="16" t="n"/>
      <c r="F32" s="18">
        <f>IF(A32="","",IF(E32='EUR', D32, D32*CONVERTIR_DIVISA(E32)))</f>
        <v/>
      </c>
    </row>
    <row r="33">
      <c r="A33" s="15" t="n"/>
      <c r="B33" s="16" t="n"/>
      <c r="C33" s="16" t="n"/>
      <c r="D33" s="17" t="n"/>
      <c r="E33" s="16" t="n"/>
      <c r="F33" s="18">
        <f>IF(A33="","",IF(E33='EUR', D33, D33*CONVERTIR_DIVISA(E33)))</f>
        <v/>
      </c>
    </row>
    <row r="34">
      <c r="A34" s="15" t="n"/>
      <c r="B34" s="16" t="n"/>
      <c r="C34" s="16" t="n"/>
      <c r="D34" s="17" t="n"/>
      <c r="E34" s="16" t="n"/>
      <c r="F34" s="18">
        <f>IF(A34="","",IF(E34='EUR', D34, D34*CONVERTIR_DIVISA(E34)))</f>
        <v/>
      </c>
    </row>
    <row r="35">
      <c r="A35" s="15" t="n"/>
      <c r="B35" s="16" t="n"/>
      <c r="C35" s="16" t="n"/>
      <c r="D35" s="17" t="n"/>
      <c r="E35" s="16" t="n"/>
      <c r="F35" s="18">
        <f>IF(A35="","",IF(E35='EUR', D35, D35*CONVERTIR_DIVISA(E35)))</f>
        <v/>
      </c>
    </row>
    <row r="36">
      <c r="A36" s="15" t="n"/>
      <c r="B36" s="16" t="n"/>
      <c r="C36" s="16" t="n"/>
      <c r="D36" s="17" t="n"/>
      <c r="E36" s="16" t="n"/>
      <c r="F36" s="18">
        <f>IF(A36="","",IF(E36='EUR', D36, D36*CONVERTIR_DIVISA(E36)))</f>
        <v/>
      </c>
    </row>
    <row r="37">
      <c r="A37" s="15" t="n"/>
      <c r="B37" s="16" t="n"/>
      <c r="C37" s="16" t="n"/>
      <c r="D37" s="17" t="n"/>
      <c r="E37" s="16" t="n"/>
      <c r="F37" s="18">
        <f>IF(A37="","",IF(E37='EUR', D37, D37*CONVERTIR_DIVISA(E37)))</f>
        <v/>
      </c>
    </row>
    <row r="38">
      <c r="A38" s="15" t="n"/>
      <c r="B38" s="16" t="n"/>
      <c r="C38" s="16" t="n"/>
      <c r="D38" s="17" t="n"/>
      <c r="E38" s="16" t="n"/>
      <c r="F38" s="18">
        <f>IF(A38="","",IF(E38='EUR', D38, D38*CONVERTIR_DIVISA(E38)))</f>
        <v/>
      </c>
    </row>
    <row r="39">
      <c r="A39" s="15" t="n"/>
      <c r="B39" s="16" t="n"/>
      <c r="C39" s="16" t="n"/>
      <c r="D39" s="17" t="n"/>
      <c r="E39" s="16" t="n"/>
      <c r="F39" s="18">
        <f>IF(A39="","",IF(E39='EUR', D39, D39*CONVERTIR_DIVISA(E39)))</f>
        <v/>
      </c>
    </row>
    <row r="40">
      <c r="A40" s="15" t="n"/>
      <c r="B40" s="16" t="n"/>
      <c r="C40" s="16" t="n"/>
      <c r="D40" s="17" t="n"/>
      <c r="E40" s="16" t="n"/>
      <c r="F40" s="18">
        <f>IF(A40="","",IF(E40='EUR', D40, D40*CONVERTIR_DIVISA(E40)))</f>
        <v/>
      </c>
    </row>
    <row r="41">
      <c r="A41" s="15" t="n"/>
      <c r="B41" s="16" t="n"/>
      <c r="C41" s="16" t="n"/>
      <c r="D41" s="17" t="n"/>
      <c r="E41" s="16" t="n"/>
      <c r="F41" s="18">
        <f>IF(A41="","",IF(E41='EUR', D41, D41*CONVERTIR_DIVISA(E41)))</f>
        <v/>
      </c>
    </row>
    <row r="42">
      <c r="A42" s="15" t="n"/>
      <c r="B42" s="16" t="n"/>
      <c r="C42" s="16" t="n"/>
      <c r="D42" s="17" t="n"/>
      <c r="E42" s="16" t="n"/>
      <c r="F42" s="18">
        <f>IF(A42="","",IF(E42='EUR', D42, D42*CONVERTIR_DIVISA(E42)))</f>
        <v/>
      </c>
    </row>
    <row r="43">
      <c r="A43" s="15" t="n"/>
      <c r="B43" s="16" t="n"/>
      <c r="C43" s="16" t="n"/>
      <c r="D43" s="17" t="n"/>
      <c r="E43" s="16" t="n"/>
      <c r="F43" s="18">
        <f>IF(A43="","",IF(E43='EUR', D43, D43*CONVERTIR_DIVISA(E43)))</f>
        <v/>
      </c>
    </row>
    <row r="44">
      <c r="A44" s="15" t="n"/>
      <c r="B44" s="16" t="n"/>
      <c r="C44" s="16" t="n"/>
      <c r="D44" s="17" t="n"/>
      <c r="E44" s="16" t="n"/>
      <c r="F44" s="18">
        <f>IF(A44="","",IF(E44='EUR', D44, D44*CONVERTIR_DIVISA(E44)))</f>
        <v/>
      </c>
    </row>
    <row r="45">
      <c r="A45" s="15" t="n"/>
      <c r="B45" s="16" t="n"/>
      <c r="C45" s="16" t="n"/>
      <c r="D45" s="17" t="n"/>
      <c r="E45" s="16" t="n"/>
      <c r="F45" s="18">
        <f>IF(A45="","",IF(E45='EUR', D45, D45*CONVERTIR_DIVISA(E45)))</f>
        <v/>
      </c>
    </row>
    <row r="46">
      <c r="A46" s="15" t="n"/>
      <c r="B46" s="16" t="n"/>
      <c r="C46" s="16" t="n"/>
      <c r="D46" s="17" t="n"/>
      <c r="E46" s="16" t="n"/>
      <c r="F46" s="18">
        <f>IF(A46="","",IF(E46='EUR', D46, D46*CONVERTIR_DIVISA(E46)))</f>
        <v/>
      </c>
    </row>
    <row r="47">
      <c r="A47" s="15" t="n"/>
      <c r="B47" s="16" t="n"/>
      <c r="C47" s="16" t="n"/>
      <c r="D47" s="17" t="n"/>
      <c r="E47" s="16" t="n"/>
      <c r="F47" s="18">
        <f>IF(A47="","",IF(E47='EUR', D47, D47*CONVERTIR_DIVISA(E47)))</f>
        <v/>
      </c>
    </row>
    <row r="48">
      <c r="A48" s="15" t="n"/>
      <c r="B48" s="16" t="n"/>
      <c r="C48" s="16" t="n"/>
      <c r="D48" s="17" t="n"/>
      <c r="E48" s="16" t="n"/>
      <c r="F48" s="18">
        <f>IF(A48="","",IF(E48='EUR', D48, D48*CONVERTIR_DIVISA(E48)))</f>
        <v/>
      </c>
    </row>
    <row r="49">
      <c r="A49" s="15" t="n"/>
      <c r="B49" s="16" t="n"/>
      <c r="C49" s="16" t="n"/>
      <c r="D49" s="17" t="n"/>
      <c r="E49" s="16" t="n"/>
      <c r="F49" s="18">
        <f>IF(A49="","",IF(E49='EUR', D49, D49*CONVERTIR_DIVISA(E49)))</f>
        <v/>
      </c>
    </row>
    <row r="50">
      <c r="A50" s="15" t="n"/>
      <c r="B50" s="16" t="n"/>
      <c r="C50" s="16" t="n"/>
      <c r="D50" s="17" t="n"/>
      <c r="E50" s="16" t="n"/>
      <c r="F50" s="18">
        <f>IF(A50="","",IF(E50='EUR', D50, D50*CONVERTIR_DIVISA(E50)))</f>
        <v/>
      </c>
    </row>
    <row r="51">
      <c r="A51" s="15" t="n"/>
      <c r="B51" s="16" t="n"/>
      <c r="C51" s="16" t="n"/>
      <c r="D51" s="17" t="n"/>
      <c r="E51" s="16" t="n"/>
      <c r="F51" s="18">
        <f>IF(A51="","",IF(E51='EUR', D51, D51*CONVERTIR_DIVISA(E51)))</f>
        <v/>
      </c>
    </row>
    <row r="52">
      <c r="A52" s="15" t="n"/>
      <c r="B52" s="16" t="n"/>
      <c r="C52" s="16" t="n"/>
      <c r="D52" s="17" t="n"/>
      <c r="E52" s="16" t="n"/>
      <c r="F52" s="18">
        <f>IF(A52="","",IF(E52='EUR', D52, D52*CONVERTIR_DIVISA(E52)))</f>
        <v/>
      </c>
    </row>
    <row r="53">
      <c r="A53" s="15" t="n"/>
      <c r="B53" s="16" t="n"/>
      <c r="C53" s="16" t="n"/>
      <c r="D53" s="17" t="n"/>
      <c r="E53" s="16" t="n"/>
      <c r="F53" s="18">
        <f>IF(A53="","",IF(E53='EUR', D53, D53*CONVERTIR_DIVISA(E53)))</f>
        <v/>
      </c>
    </row>
    <row r="54">
      <c r="A54" s="15" t="n"/>
      <c r="B54" s="16" t="n"/>
      <c r="C54" s="16" t="n"/>
      <c r="D54" s="17" t="n"/>
      <c r="E54" s="16" t="n"/>
      <c r="F54" s="18">
        <f>IF(A54="","",IF(E54='EUR', D54, D54*CONVERTIR_DIVISA(E54)))</f>
        <v/>
      </c>
    </row>
    <row r="55">
      <c r="A55" s="15" t="n"/>
      <c r="B55" s="16" t="n"/>
      <c r="C55" s="16" t="n"/>
      <c r="D55" s="17" t="n"/>
      <c r="E55" s="16" t="n"/>
      <c r="F55" s="18">
        <f>IF(A55="","",IF(E55='EUR', D55, D55*CONVERTIR_DIVISA(E55)))</f>
        <v/>
      </c>
    </row>
    <row r="56">
      <c r="A56" s="15" t="n"/>
      <c r="B56" s="16" t="n"/>
      <c r="C56" s="16" t="n"/>
      <c r="D56" s="17" t="n"/>
      <c r="E56" s="16" t="n"/>
      <c r="F56" s="18">
        <f>IF(A56="","",IF(E56='EUR', D56, D56*CONVERTIR_DIVISA(E56)))</f>
        <v/>
      </c>
    </row>
    <row r="57">
      <c r="A57" s="15" t="n"/>
      <c r="B57" s="16" t="n"/>
      <c r="C57" s="16" t="n"/>
      <c r="D57" s="17" t="n"/>
      <c r="E57" s="16" t="n"/>
      <c r="F57" s="18">
        <f>IF(A57="","",IF(E57='EUR', D57, D57*CONVERTIR_DIVISA(E57)))</f>
        <v/>
      </c>
    </row>
    <row r="58">
      <c r="A58" s="15" t="n"/>
      <c r="B58" s="16" t="n"/>
      <c r="C58" s="16" t="n"/>
      <c r="D58" s="17" t="n"/>
      <c r="E58" s="16" t="n"/>
      <c r="F58" s="18">
        <f>IF(A58="","",IF(E58='EUR', D58, D58*CONVERTIR_DIVISA(E58)))</f>
        <v/>
      </c>
    </row>
    <row r="59">
      <c r="A59" s="15" t="n"/>
      <c r="B59" s="16" t="n"/>
      <c r="C59" s="16" t="n"/>
      <c r="D59" s="17" t="n"/>
      <c r="E59" s="16" t="n"/>
      <c r="F59" s="18">
        <f>IF(A59="","",IF(E59='EUR', D59, D59*CONVERTIR_DIVISA(E59)))</f>
        <v/>
      </c>
    </row>
    <row r="60">
      <c r="A60" s="15" t="n"/>
      <c r="B60" s="16" t="n"/>
      <c r="C60" s="16" t="n"/>
      <c r="D60" s="17" t="n"/>
      <c r="E60" s="16" t="n"/>
      <c r="F60" s="18">
        <f>IF(A60="","",IF(E60='EUR', D60, D60*CONVERTIR_DIVISA(E60)))</f>
        <v/>
      </c>
    </row>
    <row r="61">
      <c r="A61" s="15" t="n"/>
      <c r="B61" s="16" t="n"/>
      <c r="C61" s="16" t="n"/>
      <c r="D61" s="17" t="n"/>
      <c r="E61" s="16" t="n"/>
      <c r="F61" s="18">
        <f>IF(A61="","",IF(E61='EUR', D61, D61*CONVERTIR_DIVISA(E61)))</f>
        <v/>
      </c>
    </row>
    <row r="62">
      <c r="A62" s="15" t="n"/>
      <c r="B62" s="16" t="n"/>
      <c r="C62" s="16" t="n"/>
      <c r="D62" s="17" t="n"/>
      <c r="E62" s="16" t="n"/>
      <c r="F62" s="18">
        <f>IF(A62="","",IF(E62='EUR', D62, D62*CONVERTIR_DIVISA(E62)))</f>
        <v/>
      </c>
    </row>
    <row r="63">
      <c r="A63" s="15" t="n"/>
      <c r="B63" s="16" t="n"/>
      <c r="C63" s="16" t="n"/>
      <c r="D63" s="17" t="n"/>
      <c r="E63" s="16" t="n"/>
      <c r="F63" s="18">
        <f>IF(A63="","",IF(E63='EUR', D63, D63*CONVERTIR_DIVISA(E63)))</f>
        <v/>
      </c>
    </row>
    <row r="64">
      <c r="A64" s="15" t="n"/>
      <c r="B64" s="16" t="n"/>
      <c r="C64" s="16" t="n"/>
      <c r="D64" s="17" t="n"/>
      <c r="E64" s="16" t="n"/>
      <c r="F64" s="18">
        <f>IF(A64="","",IF(E64='EUR', D64, D64*CONVERTIR_DIVISA(E64)))</f>
        <v/>
      </c>
    </row>
  </sheetData>
  <conditionalFormatting sqref="D2:D64">
    <cfRule type="cellIs" priority="1" operator="lessThan" dxfId="0">
      <formula>0</formula>
    </cfRule>
  </conditionalFormatting>
  <conditionalFormatting sqref="F2:F64">
    <cfRule type="cellIs" priority="2" operator="lessThan" dxfId="0">
      <formula>0</formula>
    </cfRule>
  </conditionalFormatting>
  <dataValidations count="2">
    <dataValidation sqref="B2:B64" showDropDown="0" showInputMessage="0" showErrorMessage="0" allowBlank="1" type="list">
      <formula1>"Transporte,Alojamiento,Comida,Ocio,Trabajo,Otros"</formula1>
    </dataValidation>
    <dataValidation sqref="E2:E64" showDropDown="0" showInputMessage="0" showErrorMessage="0" allowBlank="1" type="list">
      <formula1>"EUR,USD,GBP,MXN"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2" customWidth="1" min="3" max="3"/>
    <col width="12" customWidth="1" min="4" max="4"/>
  </cols>
  <sheetData>
    <row r="1" ht="32" customHeight="1">
      <c r="A1" s="14" t="inlineStr">
        <is>
          <t>Categoría</t>
        </is>
      </c>
      <c r="B1" s="14" t="inlineStr">
        <is>
          <t>Artículo</t>
        </is>
      </c>
      <c r="C1" s="14" t="inlineStr">
        <is>
          <t>Cantidad</t>
        </is>
      </c>
      <c r="D1" s="14" t="inlineStr">
        <is>
          <t>Hecho</t>
        </is>
      </c>
    </row>
    <row r="2">
      <c r="A2" s="16" t="inlineStr">
        <is>
          <t>Ropa</t>
        </is>
      </c>
      <c r="B2" s="16" t="inlineStr">
        <is>
          <t>Camisas</t>
        </is>
      </c>
      <c r="C2" s="19" t="n">
        <v>3</v>
      </c>
      <c r="D2" s="16" t="inlineStr"/>
    </row>
    <row r="3">
      <c r="A3" s="16" t="inlineStr">
        <is>
          <t>Tecnología</t>
        </is>
      </c>
      <c r="B3" s="16" t="inlineStr">
        <is>
          <t>Cargador portátil</t>
        </is>
      </c>
      <c r="C3" s="19" t="n">
        <v>1</v>
      </c>
      <c r="D3" s="16" t="inlineStr"/>
    </row>
    <row r="4">
      <c r="A4" s="16" t="inlineStr">
        <is>
          <t>Documentos</t>
        </is>
      </c>
      <c r="B4" s="16" t="inlineStr">
        <is>
          <t>Pasaporte/DNI</t>
        </is>
      </c>
      <c r="C4" s="19" t="n">
        <v>1</v>
      </c>
      <c r="D4" s="16" t="inlineStr"/>
    </row>
    <row r="5">
      <c r="A5" s="16" t="n"/>
      <c r="B5" s="16" t="n"/>
      <c r="C5" s="19" t="n"/>
      <c r="D5" s="16" t="n"/>
    </row>
    <row r="6">
      <c r="A6" s="16" t="n"/>
      <c r="B6" s="16" t="n"/>
      <c r="C6" s="19" t="n"/>
      <c r="D6" s="16" t="n"/>
    </row>
    <row r="7">
      <c r="A7" s="16" t="n"/>
      <c r="B7" s="16" t="n"/>
      <c r="C7" s="19" t="n"/>
      <c r="D7" s="16" t="n"/>
    </row>
    <row r="8">
      <c r="A8" s="16" t="n"/>
      <c r="B8" s="16" t="n"/>
      <c r="C8" s="19" t="n"/>
      <c r="D8" s="16" t="n"/>
    </row>
    <row r="9">
      <c r="A9" s="16" t="n"/>
      <c r="B9" s="16" t="n"/>
      <c r="C9" s="19" t="n"/>
      <c r="D9" s="16" t="n"/>
    </row>
    <row r="10">
      <c r="A10" s="16" t="n"/>
      <c r="B10" s="16" t="n"/>
      <c r="C10" s="19" t="n"/>
      <c r="D10" s="16" t="n"/>
    </row>
    <row r="11">
      <c r="A11" s="16" t="n"/>
      <c r="B11" s="16" t="n"/>
      <c r="C11" s="19" t="n"/>
      <c r="D11" s="16" t="n"/>
    </row>
    <row r="12">
      <c r="A12" s="16" t="n"/>
      <c r="B12" s="16" t="n"/>
      <c r="C12" s="19" t="n"/>
      <c r="D12" s="16" t="n"/>
    </row>
    <row r="13">
      <c r="A13" s="16" t="n"/>
      <c r="B13" s="16" t="n"/>
      <c r="C13" s="19" t="n"/>
      <c r="D13" s="16" t="n"/>
    </row>
    <row r="14">
      <c r="A14" s="16" t="n"/>
      <c r="B14" s="16" t="n"/>
      <c r="C14" s="19" t="n"/>
      <c r="D14" s="16" t="n"/>
    </row>
    <row r="15">
      <c r="A15" s="16" t="n"/>
      <c r="B15" s="16" t="n"/>
      <c r="C15" s="19" t="n"/>
      <c r="D15" s="16" t="n"/>
    </row>
    <row r="16">
      <c r="A16" s="16" t="n"/>
      <c r="B16" s="16" t="n"/>
      <c r="C16" s="19" t="n"/>
      <c r="D16" s="16" t="n"/>
    </row>
    <row r="17">
      <c r="A17" s="16" t="n"/>
      <c r="B17" s="16" t="n"/>
      <c r="C17" s="19" t="n"/>
      <c r="D17" s="16" t="n"/>
    </row>
    <row r="18">
      <c r="A18" s="16" t="n"/>
      <c r="B18" s="16" t="n"/>
      <c r="C18" s="19" t="n"/>
      <c r="D18" s="16" t="n"/>
    </row>
    <row r="19">
      <c r="A19" s="16" t="n"/>
      <c r="B19" s="16" t="n"/>
      <c r="C19" s="19" t="n"/>
      <c r="D19" s="16" t="n"/>
    </row>
    <row r="20">
      <c r="A20" s="16" t="n"/>
      <c r="B20" s="16" t="n"/>
      <c r="C20" s="19" t="n"/>
      <c r="D20" s="16" t="n"/>
    </row>
    <row r="21">
      <c r="A21" s="16" t="n"/>
      <c r="B21" s="16" t="n"/>
      <c r="C21" s="19" t="n"/>
      <c r="D21" s="16" t="n"/>
    </row>
    <row r="22">
      <c r="A22" s="16" t="n"/>
      <c r="B22" s="16" t="n"/>
      <c r="C22" s="19" t="n"/>
      <c r="D22" s="16" t="n"/>
    </row>
    <row r="23">
      <c r="A23" s="16" t="n"/>
      <c r="B23" s="16" t="n"/>
      <c r="C23" s="19" t="n"/>
      <c r="D23" s="16" t="n"/>
    </row>
    <row r="24">
      <c r="A24" s="16" t="n"/>
      <c r="B24" s="16" t="n"/>
      <c r="C24" s="19" t="n"/>
      <c r="D24" s="16" t="n"/>
    </row>
    <row r="25">
      <c r="A25" s="16" t="n"/>
      <c r="B25" s="16" t="n"/>
      <c r="C25" s="19" t="n"/>
      <c r="D25" s="16" t="n"/>
    </row>
    <row r="26">
      <c r="A26" s="16" t="n"/>
      <c r="B26" s="16" t="n"/>
      <c r="C26" s="19" t="n"/>
      <c r="D26" s="16" t="n"/>
    </row>
    <row r="27">
      <c r="A27" s="16" t="n"/>
      <c r="B27" s="16" t="n"/>
      <c r="C27" s="19" t="n"/>
      <c r="D27" s="16" t="n"/>
    </row>
    <row r="28">
      <c r="A28" s="16" t="n"/>
      <c r="B28" s="16" t="n"/>
      <c r="C28" s="19" t="n"/>
      <c r="D28" s="16" t="n"/>
    </row>
    <row r="29">
      <c r="A29" s="16" t="n"/>
      <c r="B29" s="16" t="n"/>
      <c r="C29" s="19" t="n"/>
      <c r="D29" s="16" t="n"/>
    </row>
    <row r="30">
      <c r="A30" s="16" t="n"/>
      <c r="B30" s="16" t="n"/>
      <c r="C30" s="19" t="n"/>
      <c r="D30" s="16" t="n"/>
    </row>
    <row r="31">
      <c r="A31" s="16" t="n"/>
      <c r="B31" s="16" t="n"/>
      <c r="C31" s="19" t="n"/>
      <c r="D31" s="16" t="n"/>
    </row>
    <row r="32">
      <c r="A32" s="16" t="n"/>
      <c r="B32" s="16" t="n"/>
      <c r="C32" s="19" t="n"/>
      <c r="D32" s="16" t="n"/>
    </row>
    <row r="33">
      <c r="A33" s="16" t="n"/>
      <c r="B33" s="16" t="n"/>
      <c r="C33" s="19" t="n"/>
      <c r="D33" s="16" t="n"/>
    </row>
    <row r="34">
      <c r="A34" s="16" t="n"/>
      <c r="B34" s="16" t="n"/>
      <c r="C34" s="19" t="n"/>
      <c r="D34" s="16" t="n"/>
    </row>
    <row r="35">
      <c r="A35" s="16" t="n"/>
      <c r="B35" s="16" t="n"/>
      <c r="C35" s="19" t="n"/>
      <c r="D35" s="16" t="n"/>
    </row>
    <row r="36">
      <c r="A36" s="16" t="n"/>
      <c r="B36" s="16" t="n"/>
      <c r="C36" s="19" t="n"/>
      <c r="D36" s="16" t="n"/>
    </row>
    <row r="37">
      <c r="A37" s="16" t="n"/>
      <c r="B37" s="16" t="n"/>
      <c r="C37" s="19" t="n"/>
      <c r="D37" s="16" t="n"/>
    </row>
    <row r="38">
      <c r="A38" s="16" t="n"/>
      <c r="B38" s="16" t="n"/>
      <c r="C38" s="19" t="n"/>
      <c r="D38" s="16" t="n"/>
    </row>
    <row r="39">
      <c r="A39" s="16" t="n"/>
      <c r="B39" s="16" t="n"/>
      <c r="C39" s="19" t="n"/>
      <c r="D39" s="16" t="n"/>
    </row>
    <row r="40">
      <c r="A40" s="16" t="n"/>
      <c r="B40" s="16" t="n"/>
      <c r="C40" s="19" t="n"/>
      <c r="D40" s="16" t="n"/>
    </row>
    <row r="41">
      <c r="A41" s="16" t="n"/>
      <c r="B41" s="16" t="n"/>
      <c r="C41" s="19" t="n"/>
      <c r="D41" s="16" t="n"/>
    </row>
    <row r="42">
      <c r="A42" s="16" t="n"/>
      <c r="B42" s="16" t="n"/>
      <c r="C42" s="19" t="n"/>
      <c r="D42" s="16" t="n"/>
    </row>
    <row r="43">
      <c r="A43" s="16" t="n"/>
      <c r="B43" s="16" t="n"/>
      <c r="C43" s="19" t="n"/>
      <c r="D43" s="16" t="n"/>
    </row>
    <row r="44">
      <c r="A44" s="16" t="n"/>
      <c r="B44" s="16" t="n"/>
      <c r="C44" s="19" t="n"/>
      <c r="D44" s="16" t="n"/>
    </row>
  </sheetData>
  <dataValidations count="1">
    <dataValidation sqref="A2:A44" showDropDown="0" showInputMessage="0" showErrorMessage="0" allowBlank="1" type="list">
      <formula1>"Ropa,Higiene,Tecnología,Documentos,Trabajo,Otros"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Planificador de Viajes y Lista de Equipaje para Hombre - Control de Presupuesto y Ruta</dc:title>
  <dcterms:created xsi:type="dcterms:W3CDTF">2026-10-31T05:49:35Z</dcterms:created>
  <dcterms:modified xsi:type="dcterms:W3CDTF">2026-10-31T05:49:35Z</dcterms:modified>
</cp:coreProperties>
</file>