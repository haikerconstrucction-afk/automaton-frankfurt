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物品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旅行预算分布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'预算'!$B$2:$B$5</f>
            </numRef>
          </cat>
          <val>
            <numRef>
              <f>'预算'!$E$2:$E$5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187" displayName="T____2187" ref="A1:E65" headerRowCount="1">
  <autoFilter ref="A1:E65"/>
  <tableColumns count="5">
    <tableColumn id="1" name="日期"/>
    <tableColumn id="2" name="类别"/>
    <tableColumn id="3" name="金额"/>
    <tableColumn id="4" name="货币"/>
    <tableColumn id="5" name="总额"/>
  </tableColumns>
  <tableStyleInfo name="TableStyleMedium7" showRowStripes="1"/>
</table>
</file>

<file path=xl/tables/table2.xml><?xml version="1.0" encoding="utf-8"?>
<table xmlns="http://schemas.openxmlformats.org/spreadsheetml/2006/main" id="2" name="T______339" displayName="T______339" ref="A1:C65" headerRowCount="1">
  <autoFilter ref="A1:C65"/>
  <tableColumns count="3">
    <tableColumn id="1" name="物品"/>
    <tableColumn id="2" name="数量"/>
    <tableColumn id="3" name="已打包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29289;&#21697;&#28165;&#21333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智能旅行预算与物品清单追踪器 - 2026专业版</t>
        </is>
      </c>
    </row>
    <row r="3" ht="45" customHeight="1">
      <c r="C3" s="2" t="inlineStr">
        <is>
          <t>轻松管理旅行预算和物品清单，确保每次旅行都无忧无虑。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输入您的旅行目的地和日期。</t>
        </is>
      </c>
    </row>
    <row r="7" ht="18" customHeight="1">
      <c r="B7" s="4" t="inlineStr">
        <is>
          <t>2.</t>
        </is>
      </c>
      <c r="C7" s="5" t="inlineStr">
        <is>
          <t>在预算表中记录您的旅行费用。</t>
        </is>
      </c>
    </row>
    <row r="8" ht="18" customHeight="1">
      <c r="B8" s="4" t="inlineStr">
        <is>
          <t>3.</t>
        </is>
      </c>
      <c r="C8" s="5" t="inlineStr">
        <is>
          <t>在物品清单表中列出您需要携带的物品。</t>
        </is>
      </c>
    </row>
    <row r="9" ht="18" customHeight="1">
      <c r="B9" s="4" t="inlineStr">
        <is>
          <t>4.</t>
        </is>
      </c>
      <c r="C9" s="5" t="inlineStr">
        <is>
          <t>使用图表分析您的预算分布。</t>
        </is>
      </c>
    </row>
    <row r="10" ht="18" customHeight="1">
      <c r="B10" s="4" t="inlineStr">
        <is>
          <t>5.</t>
        </is>
      </c>
      <c r="C10" s="5" t="inlineStr">
        <is>
          <t>查看KPIs以了解您的旅行花费和物品数量。</t>
        </is>
      </c>
    </row>
    <row r="11" ht="18" customHeight="1">
      <c r="B11" s="4" t="inlineStr">
        <is>
          <t>6.</t>
        </is>
      </c>
      <c r="C11" s="5" t="inlineStr">
        <is>
          <t>保存并使用模板进行未来旅行计划。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</t>
        </is>
      </c>
    </row>
    <row r="18">
      <c r="C18" s="7" t="inlineStr">
        <is>
          <t>→ 物品清单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智能旅行预算与物品清单追踪器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总费用</t>
        </is>
      </c>
      <c r="C5" s="12">
        <f>SUM('预算'!E2:E300)</f>
        <v/>
      </c>
    </row>
    <row r="6" ht="24" customHeight="1">
      <c r="B6" s="11" t="inlineStr">
        <is>
          <t>物品数量</t>
        </is>
      </c>
      <c r="C6" s="13">
        <f>COUNTA('物品清单'!A2:A300)</f>
        <v/>
      </c>
    </row>
    <row r="7" ht="24" customHeight="1">
      <c r="B7" s="11" t="inlineStr">
        <is>
          <t>已打包物品</t>
        </is>
      </c>
      <c r="C7" s="13">
        <f>COUNTIF('物品清单'!C2:C300,'是')</f>
        <v/>
      </c>
    </row>
    <row r="8" ht="24" customHeight="1">
      <c r="B8" s="11" t="inlineStr">
        <is>
          <t>未打包物品</t>
        </is>
      </c>
      <c r="C8" s="13">
        <f>COUNTIF('物品清单'!C2:C300,'否')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金额</t>
        </is>
      </c>
      <c r="D1" s="14" t="inlineStr">
        <is>
          <t>货币</t>
        </is>
      </c>
      <c r="E1" s="14" t="inlineStr">
        <is>
          <t>总额</t>
        </is>
      </c>
    </row>
    <row r="2">
      <c r="A2" s="15" t="n">
        <v>46037</v>
      </c>
      <c r="B2" s="16" t="inlineStr">
        <is>
          <t>交通</t>
        </is>
      </c>
      <c r="C2" s="17" t="n">
        <v>3</v>
      </c>
      <c r="D2" s="16" t="inlineStr">
        <is>
          <t>USD</t>
        </is>
      </c>
      <c r="E2" s="18">
        <f>C2*IF(D2='USD',0.9,IF(D2='SGD',0.7,1))</f>
        <v/>
      </c>
    </row>
    <row r="3">
      <c r="A3" s="15" t="n">
        <v>46038</v>
      </c>
      <c r="B3" s="16" t="inlineStr">
        <is>
          <t>住宿</t>
        </is>
      </c>
      <c r="C3" s="17" t="n">
        <v>200</v>
      </c>
      <c r="D3" s="16" t="inlineStr">
        <is>
          <t>EUR</t>
        </is>
      </c>
      <c r="E3" s="18">
        <f>C3*IF(D3='USD',0.9,IF(D3='SGD',0.7,1))</f>
        <v/>
      </c>
    </row>
    <row r="4">
      <c r="A4" s="15" t="n">
        <v>46039</v>
      </c>
      <c r="B4" s="16" t="inlineStr">
        <is>
          <t>餐饮</t>
        </is>
      </c>
      <c r="C4" s="17" t="n">
        <v>50</v>
      </c>
      <c r="D4" s="16" t="inlineStr">
        <is>
          <t>CNY</t>
        </is>
      </c>
      <c r="E4" s="18">
        <f>C4*IF(D4='USD',0.9,IF(D4='SGD',0.7,1))</f>
        <v/>
      </c>
    </row>
    <row r="5">
      <c r="A5" s="15" t="n">
        <v>46040</v>
      </c>
      <c r="B5" s="16" t="inlineStr">
        <is>
          <t>活动</t>
        </is>
      </c>
      <c r="C5" s="17" t="n">
        <v>100</v>
      </c>
      <c r="D5" s="16" t="inlineStr">
        <is>
          <t>SGD</t>
        </is>
      </c>
      <c r="E5" s="18">
        <f>C5*IF(D5='USD',0.9,IF(D5='SGD',0.7,1))</f>
        <v/>
      </c>
    </row>
    <row r="6">
      <c r="A6" s="15" t="n"/>
      <c r="B6" s="16" t="n"/>
      <c r="C6" s="17" t="n"/>
      <c r="D6" s="16" t="n"/>
      <c r="E6" s="18">
        <f>IF(A6="","",C6*IF(D6='USD',0.9,IF(D6='SGD',0.7,1)))</f>
        <v/>
      </c>
    </row>
    <row r="7">
      <c r="A7" s="15" t="n"/>
      <c r="B7" s="16" t="n"/>
      <c r="C7" s="17" t="n"/>
      <c r="D7" s="16" t="n"/>
      <c r="E7" s="18">
        <f>IF(A7="","",C7*IF(D7='USD',0.9,IF(D7='SGD',0.7,1)))</f>
        <v/>
      </c>
    </row>
    <row r="8">
      <c r="A8" s="15" t="n"/>
      <c r="B8" s="16" t="n"/>
      <c r="C8" s="17" t="n"/>
      <c r="D8" s="16" t="n"/>
      <c r="E8" s="18">
        <f>IF(A8="","",C8*IF(D8='USD',0.9,IF(D8='SGD',0.7,1)))</f>
        <v/>
      </c>
    </row>
    <row r="9">
      <c r="A9" s="15" t="n"/>
      <c r="B9" s="16" t="n"/>
      <c r="C9" s="17" t="n"/>
      <c r="D9" s="16" t="n"/>
      <c r="E9" s="18">
        <f>IF(A9="","",C9*IF(D9='USD',0.9,IF(D9='SGD',0.7,1)))</f>
        <v/>
      </c>
    </row>
    <row r="10">
      <c r="A10" s="15" t="n"/>
      <c r="B10" s="16" t="n"/>
      <c r="C10" s="17" t="n"/>
      <c r="D10" s="16" t="n"/>
      <c r="E10" s="18">
        <f>IF(A10="","",C10*IF(D10='USD',0.9,IF(D10='SGD',0.7,1)))</f>
        <v/>
      </c>
    </row>
    <row r="11">
      <c r="A11" s="15" t="n"/>
      <c r="B11" s="16" t="n"/>
      <c r="C11" s="17" t="n"/>
      <c r="D11" s="16" t="n"/>
      <c r="E11" s="18">
        <f>IF(A11="","",C11*IF(D11='USD',0.9,IF(D11='SGD',0.7,1)))</f>
        <v/>
      </c>
    </row>
    <row r="12">
      <c r="A12" s="15" t="n"/>
      <c r="B12" s="16" t="n"/>
      <c r="C12" s="17" t="n"/>
      <c r="D12" s="16" t="n"/>
      <c r="E12" s="18">
        <f>IF(A12="","",C12*IF(D12='USD',0.9,IF(D12='SGD',0.7,1)))</f>
        <v/>
      </c>
    </row>
    <row r="13">
      <c r="A13" s="15" t="n"/>
      <c r="B13" s="16" t="n"/>
      <c r="C13" s="17" t="n"/>
      <c r="D13" s="16" t="n"/>
      <c r="E13" s="18">
        <f>IF(A13="","",C13*IF(D13='USD',0.9,IF(D13='SGD',0.7,1)))</f>
        <v/>
      </c>
    </row>
    <row r="14">
      <c r="A14" s="15" t="n"/>
      <c r="B14" s="16" t="n"/>
      <c r="C14" s="17" t="n"/>
      <c r="D14" s="16" t="n"/>
      <c r="E14" s="18">
        <f>IF(A14="","",C14*IF(D14='USD',0.9,IF(D14='SGD',0.7,1)))</f>
        <v/>
      </c>
    </row>
    <row r="15">
      <c r="A15" s="15" t="n"/>
      <c r="B15" s="16" t="n"/>
      <c r="C15" s="17" t="n"/>
      <c r="D15" s="16" t="n"/>
      <c r="E15" s="18">
        <f>IF(A15="","",C15*IF(D15='USD',0.9,IF(D15='SGD',0.7,1)))</f>
        <v/>
      </c>
    </row>
    <row r="16">
      <c r="A16" s="15" t="n"/>
      <c r="B16" s="16" t="n"/>
      <c r="C16" s="17" t="n"/>
      <c r="D16" s="16" t="n"/>
      <c r="E16" s="18">
        <f>IF(A16="","",C16*IF(D16='USD',0.9,IF(D16='SGD',0.7,1)))</f>
        <v/>
      </c>
    </row>
    <row r="17">
      <c r="A17" s="15" t="n"/>
      <c r="B17" s="16" t="n"/>
      <c r="C17" s="17" t="n"/>
      <c r="D17" s="16" t="n"/>
      <c r="E17" s="18">
        <f>IF(A17="","",C17*IF(D17='USD',0.9,IF(D17='SGD',0.7,1)))</f>
        <v/>
      </c>
    </row>
    <row r="18">
      <c r="A18" s="15" t="n"/>
      <c r="B18" s="16" t="n"/>
      <c r="C18" s="17" t="n"/>
      <c r="D18" s="16" t="n"/>
      <c r="E18" s="18">
        <f>IF(A18="","",C18*IF(D18='USD',0.9,IF(D18='SGD',0.7,1)))</f>
        <v/>
      </c>
    </row>
    <row r="19">
      <c r="A19" s="15" t="n"/>
      <c r="B19" s="16" t="n"/>
      <c r="C19" s="17" t="n"/>
      <c r="D19" s="16" t="n"/>
      <c r="E19" s="18">
        <f>IF(A19="","",C19*IF(D19='USD',0.9,IF(D19='SGD',0.7,1)))</f>
        <v/>
      </c>
    </row>
    <row r="20">
      <c r="A20" s="15" t="n"/>
      <c r="B20" s="16" t="n"/>
      <c r="C20" s="17" t="n"/>
      <c r="D20" s="16" t="n"/>
      <c r="E20" s="18">
        <f>IF(A20="","",C20*IF(D20='USD',0.9,IF(D20='SGD',0.7,1)))</f>
        <v/>
      </c>
    </row>
    <row r="21">
      <c r="A21" s="15" t="n"/>
      <c r="B21" s="16" t="n"/>
      <c r="C21" s="17" t="n"/>
      <c r="D21" s="16" t="n"/>
      <c r="E21" s="18">
        <f>IF(A21="","",C21*IF(D21='USD',0.9,IF(D21='SGD',0.7,1)))</f>
        <v/>
      </c>
    </row>
    <row r="22">
      <c r="A22" s="15" t="n"/>
      <c r="B22" s="16" t="n"/>
      <c r="C22" s="17" t="n"/>
      <c r="D22" s="16" t="n"/>
      <c r="E22" s="18">
        <f>IF(A22="","",C22*IF(D22='USD',0.9,IF(D22='SGD',0.7,1)))</f>
        <v/>
      </c>
    </row>
    <row r="23">
      <c r="A23" s="15" t="n"/>
      <c r="B23" s="16" t="n"/>
      <c r="C23" s="17" t="n"/>
      <c r="D23" s="16" t="n"/>
      <c r="E23" s="18">
        <f>IF(A23="","",C23*IF(D23='USD',0.9,IF(D23='SGD',0.7,1)))</f>
        <v/>
      </c>
    </row>
    <row r="24">
      <c r="A24" s="15" t="n"/>
      <c r="B24" s="16" t="n"/>
      <c r="C24" s="17" t="n"/>
      <c r="D24" s="16" t="n"/>
      <c r="E24" s="18">
        <f>IF(A24="","",C24*IF(D24='USD',0.9,IF(D24='SGD',0.7,1)))</f>
        <v/>
      </c>
    </row>
    <row r="25">
      <c r="A25" s="15" t="n"/>
      <c r="B25" s="16" t="n"/>
      <c r="C25" s="17" t="n"/>
      <c r="D25" s="16" t="n"/>
      <c r="E25" s="18">
        <f>IF(A25="","",C25*IF(D25='USD',0.9,IF(D25='SGD',0.7,1)))</f>
        <v/>
      </c>
    </row>
    <row r="26">
      <c r="A26" s="15" t="n"/>
      <c r="B26" s="16" t="n"/>
      <c r="C26" s="17" t="n"/>
      <c r="D26" s="16" t="n"/>
      <c r="E26" s="18">
        <f>IF(A26="","",C26*IF(D26='USD',0.9,IF(D26='SGD',0.7,1)))</f>
        <v/>
      </c>
    </row>
    <row r="27">
      <c r="A27" s="15" t="n"/>
      <c r="B27" s="16" t="n"/>
      <c r="C27" s="17" t="n"/>
      <c r="D27" s="16" t="n"/>
      <c r="E27" s="18">
        <f>IF(A27="","",C27*IF(D27='USD',0.9,IF(D27='SGD',0.7,1)))</f>
        <v/>
      </c>
    </row>
    <row r="28">
      <c r="A28" s="15" t="n"/>
      <c r="B28" s="16" t="n"/>
      <c r="C28" s="17" t="n"/>
      <c r="D28" s="16" t="n"/>
      <c r="E28" s="18">
        <f>IF(A28="","",C28*IF(D28='USD',0.9,IF(D28='SGD',0.7,1)))</f>
        <v/>
      </c>
    </row>
    <row r="29">
      <c r="A29" s="15" t="n"/>
      <c r="B29" s="16" t="n"/>
      <c r="C29" s="17" t="n"/>
      <c r="D29" s="16" t="n"/>
      <c r="E29" s="18">
        <f>IF(A29="","",C29*IF(D29='USD',0.9,IF(D29='SGD',0.7,1)))</f>
        <v/>
      </c>
    </row>
    <row r="30">
      <c r="A30" s="15" t="n"/>
      <c r="B30" s="16" t="n"/>
      <c r="C30" s="17" t="n"/>
      <c r="D30" s="16" t="n"/>
      <c r="E30" s="18">
        <f>IF(A30="","",C30*IF(D30='USD',0.9,IF(D30='SGD',0.7,1)))</f>
        <v/>
      </c>
    </row>
    <row r="31">
      <c r="A31" s="15" t="n"/>
      <c r="B31" s="16" t="n"/>
      <c r="C31" s="17" t="n"/>
      <c r="D31" s="16" t="n"/>
      <c r="E31" s="18">
        <f>IF(A31="","",C31*IF(D31='USD',0.9,IF(D31='SGD',0.7,1)))</f>
        <v/>
      </c>
    </row>
    <row r="32">
      <c r="A32" s="15" t="n"/>
      <c r="B32" s="16" t="n"/>
      <c r="C32" s="17" t="n"/>
      <c r="D32" s="16" t="n"/>
      <c r="E32" s="18">
        <f>IF(A32="","",C32*IF(D32='USD',0.9,IF(D32='SGD',0.7,1)))</f>
        <v/>
      </c>
    </row>
    <row r="33">
      <c r="A33" s="15" t="n"/>
      <c r="B33" s="16" t="n"/>
      <c r="C33" s="17" t="n"/>
      <c r="D33" s="16" t="n"/>
      <c r="E33" s="18">
        <f>IF(A33="","",C33*IF(D33='USD',0.9,IF(D33='SGD',0.7,1)))</f>
        <v/>
      </c>
    </row>
    <row r="34">
      <c r="A34" s="15" t="n"/>
      <c r="B34" s="16" t="n"/>
      <c r="C34" s="17" t="n"/>
      <c r="D34" s="16" t="n"/>
      <c r="E34" s="18">
        <f>IF(A34="","",C34*IF(D34='USD',0.9,IF(D34='SGD',0.7,1)))</f>
        <v/>
      </c>
    </row>
    <row r="35">
      <c r="A35" s="15" t="n"/>
      <c r="B35" s="16" t="n"/>
      <c r="C35" s="17" t="n"/>
      <c r="D35" s="16" t="n"/>
      <c r="E35" s="18">
        <f>IF(A35="","",C35*IF(D35='USD',0.9,IF(D35='SGD',0.7,1)))</f>
        <v/>
      </c>
    </row>
    <row r="36">
      <c r="A36" s="15" t="n"/>
      <c r="B36" s="16" t="n"/>
      <c r="C36" s="17" t="n"/>
      <c r="D36" s="16" t="n"/>
      <c r="E36" s="18">
        <f>IF(A36="","",C36*IF(D36='USD',0.9,IF(D36='SGD',0.7,1)))</f>
        <v/>
      </c>
    </row>
    <row r="37">
      <c r="A37" s="15" t="n"/>
      <c r="B37" s="16" t="n"/>
      <c r="C37" s="17" t="n"/>
      <c r="D37" s="16" t="n"/>
      <c r="E37" s="18">
        <f>IF(A37="","",C37*IF(D37='USD',0.9,IF(D37='SGD',0.7,1)))</f>
        <v/>
      </c>
    </row>
    <row r="38">
      <c r="A38" s="15" t="n"/>
      <c r="B38" s="16" t="n"/>
      <c r="C38" s="17" t="n"/>
      <c r="D38" s="16" t="n"/>
      <c r="E38" s="18">
        <f>IF(A38="","",C38*IF(D38='USD',0.9,IF(D38='SGD',0.7,1)))</f>
        <v/>
      </c>
    </row>
    <row r="39">
      <c r="A39" s="15" t="n"/>
      <c r="B39" s="16" t="n"/>
      <c r="C39" s="17" t="n"/>
      <c r="D39" s="16" t="n"/>
      <c r="E39" s="18">
        <f>IF(A39="","",C39*IF(D39='USD',0.9,IF(D39='SGD',0.7,1)))</f>
        <v/>
      </c>
    </row>
    <row r="40">
      <c r="A40" s="15" t="n"/>
      <c r="B40" s="16" t="n"/>
      <c r="C40" s="17" t="n"/>
      <c r="D40" s="16" t="n"/>
      <c r="E40" s="18">
        <f>IF(A40="","",C40*IF(D40='USD',0.9,IF(D40='SGD',0.7,1)))</f>
        <v/>
      </c>
    </row>
    <row r="41">
      <c r="A41" s="15" t="n"/>
      <c r="B41" s="16" t="n"/>
      <c r="C41" s="17" t="n"/>
      <c r="D41" s="16" t="n"/>
      <c r="E41" s="18">
        <f>IF(A41="","",C41*IF(D41='USD',0.9,IF(D41='SGD',0.7,1)))</f>
        <v/>
      </c>
    </row>
    <row r="42">
      <c r="A42" s="15" t="n"/>
      <c r="B42" s="16" t="n"/>
      <c r="C42" s="17" t="n"/>
      <c r="D42" s="16" t="n"/>
      <c r="E42" s="18">
        <f>IF(A42="","",C42*IF(D42='USD',0.9,IF(D42='SGD',0.7,1)))</f>
        <v/>
      </c>
    </row>
    <row r="43">
      <c r="A43" s="15" t="n"/>
      <c r="B43" s="16" t="n"/>
      <c r="C43" s="17" t="n"/>
      <c r="D43" s="16" t="n"/>
      <c r="E43" s="18">
        <f>IF(A43="","",C43*IF(D43='USD',0.9,IF(D43='SGD',0.7,1)))</f>
        <v/>
      </c>
    </row>
    <row r="44">
      <c r="A44" s="15" t="n"/>
      <c r="B44" s="16" t="n"/>
      <c r="C44" s="17" t="n"/>
      <c r="D44" s="16" t="n"/>
      <c r="E44" s="18">
        <f>IF(A44="","",C44*IF(D44='USD',0.9,IF(D44='SGD',0.7,1)))</f>
        <v/>
      </c>
    </row>
    <row r="45">
      <c r="A45" s="15" t="n"/>
      <c r="B45" s="16" t="n"/>
      <c r="C45" s="17" t="n"/>
      <c r="D45" s="16" t="n"/>
      <c r="E45" s="18">
        <f>IF(A45="","",C45*IF(D45='USD',0.9,IF(D45='SGD',0.7,1)))</f>
        <v/>
      </c>
    </row>
    <row r="46">
      <c r="A46" s="15" t="n"/>
      <c r="B46" s="16" t="n"/>
      <c r="C46" s="17" t="n"/>
      <c r="D46" s="16" t="n"/>
      <c r="E46" s="18">
        <f>IF(A46="","",C46*IF(D46='USD',0.9,IF(D46='SGD',0.7,1)))</f>
        <v/>
      </c>
    </row>
    <row r="47">
      <c r="A47" s="15" t="n"/>
      <c r="B47" s="16" t="n"/>
      <c r="C47" s="17" t="n"/>
      <c r="D47" s="16" t="n"/>
      <c r="E47" s="18">
        <f>IF(A47="","",C47*IF(D47='USD',0.9,IF(D47='SGD',0.7,1)))</f>
        <v/>
      </c>
    </row>
    <row r="48">
      <c r="A48" s="15" t="n"/>
      <c r="B48" s="16" t="n"/>
      <c r="C48" s="17" t="n"/>
      <c r="D48" s="16" t="n"/>
      <c r="E48" s="18">
        <f>IF(A48="","",C48*IF(D48='USD',0.9,IF(D48='SGD',0.7,1)))</f>
        <v/>
      </c>
    </row>
    <row r="49">
      <c r="A49" s="15" t="n"/>
      <c r="B49" s="16" t="n"/>
      <c r="C49" s="17" t="n"/>
      <c r="D49" s="16" t="n"/>
      <c r="E49" s="18">
        <f>IF(A49="","",C49*IF(D49='USD',0.9,IF(D49='SGD',0.7,1)))</f>
        <v/>
      </c>
    </row>
    <row r="50">
      <c r="A50" s="15" t="n"/>
      <c r="B50" s="16" t="n"/>
      <c r="C50" s="17" t="n"/>
      <c r="D50" s="16" t="n"/>
      <c r="E50" s="18">
        <f>IF(A50="","",C50*IF(D50='USD',0.9,IF(D50='SGD',0.7,1)))</f>
        <v/>
      </c>
    </row>
    <row r="51">
      <c r="A51" s="15" t="n"/>
      <c r="B51" s="16" t="n"/>
      <c r="C51" s="17" t="n"/>
      <c r="D51" s="16" t="n"/>
      <c r="E51" s="18">
        <f>IF(A51="","",C51*IF(D51='USD',0.9,IF(D51='SGD',0.7,1)))</f>
        <v/>
      </c>
    </row>
    <row r="52">
      <c r="A52" s="15" t="n"/>
      <c r="B52" s="16" t="n"/>
      <c r="C52" s="17" t="n"/>
      <c r="D52" s="16" t="n"/>
      <c r="E52" s="18">
        <f>IF(A52="","",C52*IF(D52='USD',0.9,IF(D52='SGD',0.7,1)))</f>
        <v/>
      </c>
    </row>
    <row r="53">
      <c r="A53" s="15" t="n"/>
      <c r="B53" s="16" t="n"/>
      <c r="C53" s="17" t="n"/>
      <c r="D53" s="16" t="n"/>
      <c r="E53" s="18">
        <f>IF(A53="","",C53*IF(D53='USD',0.9,IF(D53='SGD',0.7,1)))</f>
        <v/>
      </c>
    </row>
    <row r="54">
      <c r="A54" s="15" t="n"/>
      <c r="B54" s="16" t="n"/>
      <c r="C54" s="17" t="n"/>
      <c r="D54" s="16" t="n"/>
      <c r="E54" s="18">
        <f>IF(A54="","",C54*IF(D54='USD',0.9,IF(D54='SGD',0.7,1)))</f>
        <v/>
      </c>
    </row>
    <row r="55">
      <c r="A55" s="15" t="n"/>
      <c r="B55" s="16" t="n"/>
      <c r="C55" s="17" t="n"/>
      <c r="D55" s="16" t="n"/>
      <c r="E55" s="18">
        <f>IF(A55="","",C55*IF(D55='USD',0.9,IF(D55='SGD',0.7,1)))</f>
        <v/>
      </c>
    </row>
    <row r="56">
      <c r="A56" s="15" t="n"/>
      <c r="B56" s="16" t="n"/>
      <c r="C56" s="17" t="n"/>
      <c r="D56" s="16" t="n"/>
      <c r="E56" s="18">
        <f>IF(A56="","",C56*IF(D56='USD',0.9,IF(D56='SGD',0.7,1)))</f>
        <v/>
      </c>
    </row>
    <row r="57">
      <c r="A57" s="15" t="n"/>
      <c r="B57" s="16" t="n"/>
      <c r="C57" s="17" t="n"/>
      <c r="D57" s="16" t="n"/>
      <c r="E57" s="18">
        <f>IF(A57="","",C57*IF(D57='USD',0.9,IF(D57='SGD',0.7,1)))</f>
        <v/>
      </c>
    </row>
    <row r="58">
      <c r="A58" s="15" t="n"/>
      <c r="B58" s="16" t="n"/>
      <c r="C58" s="17" t="n"/>
      <c r="D58" s="16" t="n"/>
      <c r="E58" s="18">
        <f>IF(A58="","",C58*IF(D58='USD',0.9,IF(D58='SGD',0.7,1)))</f>
        <v/>
      </c>
    </row>
    <row r="59">
      <c r="A59" s="15" t="n"/>
      <c r="B59" s="16" t="n"/>
      <c r="C59" s="17" t="n"/>
      <c r="D59" s="16" t="n"/>
      <c r="E59" s="18">
        <f>IF(A59="","",C59*IF(D59='USD',0.9,IF(D59='SGD',0.7,1)))</f>
        <v/>
      </c>
    </row>
    <row r="60">
      <c r="A60" s="15" t="n"/>
      <c r="B60" s="16" t="n"/>
      <c r="C60" s="17" t="n"/>
      <c r="D60" s="16" t="n"/>
      <c r="E60" s="18">
        <f>IF(A60="","",C60*IF(D60='USD',0.9,IF(D60='SGD',0.7,1)))</f>
        <v/>
      </c>
    </row>
    <row r="61">
      <c r="A61" s="15" t="n"/>
      <c r="B61" s="16" t="n"/>
      <c r="C61" s="17" t="n"/>
      <c r="D61" s="16" t="n"/>
      <c r="E61" s="18">
        <f>IF(A61="","",C61*IF(D61='USD',0.9,IF(D61='SGD',0.7,1)))</f>
        <v/>
      </c>
    </row>
    <row r="62">
      <c r="A62" s="15" t="n"/>
      <c r="B62" s="16" t="n"/>
      <c r="C62" s="17" t="n"/>
      <c r="D62" s="16" t="n"/>
      <c r="E62" s="18">
        <f>IF(A62="","",C62*IF(D62='USD',0.9,IF(D62='SGD',0.7,1)))</f>
        <v/>
      </c>
    </row>
    <row r="63">
      <c r="A63" s="15" t="n"/>
      <c r="B63" s="16" t="n"/>
      <c r="C63" s="17" t="n"/>
      <c r="D63" s="16" t="n"/>
      <c r="E63" s="18">
        <f>IF(A63="","",C63*IF(D63='USD',0.9,IF(D63='SGD',0.7,1)))</f>
        <v/>
      </c>
    </row>
    <row r="64">
      <c r="A64" s="15" t="n"/>
      <c r="B64" s="16" t="n"/>
      <c r="C64" s="17" t="n"/>
      <c r="D64" s="16" t="n"/>
      <c r="E64" s="18">
        <f>IF(A64="","",C64*IF(D64='USD',0.9,IF(D64='SGD',0.7,1)))</f>
        <v/>
      </c>
    </row>
    <row r="65">
      <c r="A65" s="15" t="n"/>
      <c r="B65" s="16" t="n"/>
      <c r="C65" s="17" t="n"/>
      <c r="D65" s="16" t="n"/>
      <c r="E65" s="18">
        <f>IF(A65="","",C65*IF(D65='USD',0.9,IF(D65='SGD',0.7,1)))</f>
        <v/>
      </c>
    </row>
  </sheetData>
  <conditionalFormatting sqref="C2:C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"交通,住宿,餐饮,活动,其他"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4" t="inlineStr">
        <is>
          <t>物品</t>
        </is>
      </c>
      <c r="B1" s="14" t="inlineStr">
        <is>
          <t>数量</t>
        </is>
      </c>
      <c r="C1" s="14" t="inlineStr">
        <is>
          <t>已打包</t>
        </is>
      </c>
    </row>
    <row r="2">
      <c r="A2" s="16" t="inlineStr">
        <is>
          <t>护照</t>
        </is>
      </c>
      <c r="B2" s="17" t="n">
        <v>1</v>
      </c>
      <c r="C2" s="16" t="inlineStr">
        <is>
          <t>是</t>
        </is>
      </c>
    </row>
    <row r="3">
      <c r="A3" s="16" t="inlineStr">
        <is>
          <t>充电器</t>
        </is>
      </c>
      <c r="B3" s="17" t="n">
        <v>2</v>
      </c>
      <c r="C3" s="16" t="inlineStr">
        <is>
          <t>否</t>
        </is>
      </c>
    </row>
    <row r="4">
      <c r="A4" s="16" t="inlineStr">
        <is>
          <t>衣物</t>
        </is>
      </c>
      <c r="B4" s="17" t="n">
        <v>5</v>
      </c>
      <c r="C4" s="16" t="inlineStr">
        <is>
          <t>否</t>
        </is>
      </c>
    </row>
    <row r="5">
      <c r="A5" s="16" t="inlineStr">
        <is>
          <t>药品</t>
        </is>
      </c>
      <c r="B5" s="17" t="n">
        <v>3</v>
      </c>
      <c r="C5" s="16" t="inlineStr">
        <is>
          <t>是</t>
        </is>
      </c>
    </row>
    <row r="6">
      <c r="A6" s="16" t="n"/>
      <c r="B6" s="17" t="n"/>
      <c r="C6" s="16" t="n"/>
    </row>
    <row r="7">
      <c r="A7" s="16" t="n"/>
      <c r="B7" s="17" t="n"/>
      <c r="C7" s="16" t="n"/>
    </row>
    <row r="8">
      <c r="A8" s="16" t="n"/>
      <c r="B8" s="17" t="n"/>
      <c r="C8" s="16" t="n"/>
    </row>
    <row r="9">
      <c r="A9" s="16" t="n"/>
      <c r="B9" s="17" t="n"/>
      <c r="C9" s="16" t="n"/>
    </row>
    <row r="10">
      <c r="A10" s="16" t="n"/>
      <c r="B10" s="17" t="n"/>
      <c r="C10" s="16" t="n"/>
    </row>
    <row r="11">
      <c r="A11" s="16" t="n"/>
      <c r="B11" s="17" t="n"/>
      <c r="C11" s="16" t="n"/>
    </row>
    <row r="12">
      <c r="A12" s="16" t="n"/>
      <c r="B12" s="17" t="n"/>
      <c r="C12" s="16" t="n"/>
    </row>
    <row r="13">
      <c r="A13" s="16" t="n"/>
      <c r="B13" s="17" t="n"/>
      <c r="C13" s="16" t="n"/>
    </row>
    <row r="14">
      <c r="A14" s="16" t="n"/>
      <c r="B14" s="17" t="n"/>
      <c r="C14" s="16" t="n"/>
    </row>
    <row r="15">
      <c r="A15" s="16" t="n"/>
      <c r="B15" s="17" t="n"/>
      <c r="C15" s="16" t="n"/>
    </row>
    <row r="16">
      <c r="A16" s="16" t="n"/>
      <c r="B16" s="17" t="n"/>
      <c r="C16" s="16" t="n"/>
    </row>
    <row r="17">
      <c r="A17" s="16" t="n"/>
      <c r="B17" s="17" t="n"/>
      <c r="C17" s="16" t="n"/>
    </row>
    <row r="18">
      <c r="A18" s="16" t="n"/>
      <c r="B18" s="17" t="n"/>
      <c r="C18" s="16" t="n"/>
    </row>
    <row r="19">
      <c r="A19" s="16" t="n"/>
      <c r="B19" s="17" t="n"/>
      <c r="C19" s="16" t="n"/>
    </row>
    <row r="20">
      <c r="A20" s="16" t="n"/>
      <c r="B20" s="17" t="n"/>
      <c r="C20" s="16" t="n"/>
    </row>
    <row r="21">
      <c r="A21" s="16" t="n"/>
      <c r="B21" s="17" t="n"/>
      <c r="C21" s="16" t="n"/>
    </row>
    <row r="22">
      <c r="A22" s="16" t="n"/>
      <c r="B22" s="17" t="n"/>
      <c r="C22" s="16" t="n"/>
    </row>
    <row r="23">
      <c r="A23" s="16" t="n"/>
      <c r="B23" s="17" t="n"/>
      <c r="C23" s="16" t="n"/>
    </row>
    <row r="24">
      <c r="A24" s="16" t="n"/>
      <c r="B24" s="17" t="n"/>
      <c r="C24" s="16" t="n"/>
    </row>
    <row r="25">
      <c r="A25" s="16" t="n"/>
      <c r="B25" s="17" t="n"/>
      <c r="C25" s="16" t="n"/>
    </row>
    <row r="26">
      <c r="A26" s="16" t="n"/>
      <c r="B26" s="17" t="n"/>
      <c r="C26" s="16" t="n"/>
    </row>
    <row r="27">
      <c r="A27" s="16" t="n"/>
      <c r="B27" s="17" t="n"/>
      <c r="C27" s="16" t="n"/>
    </row>
    <row r="28">
      <c r="A28" s="16" t="n"/>
      <c r="B28" s="17" t="n"/>
      <c r="C28" s="16" t="n"/>
    </row>
    <row r="29">
      <c r="A29" s="16" t="n"/>
      <c r="B29" s="17" t="n"/>
      <c r="C29" s="16" t="n"/>
    </row>
    <row r="30">
      <c r="A30" s="16" t="n"/>
      <c r="B30" s="17" t="n"/>
      <c r="C30" s="16" t="n"/>
    </row>
    <row r="31">
      <c r="A31" s="16" t="n"/>
      <c r="B31" s="17" t="n"/>
      <c r="C31" s="16" t="n"/>
    </row>
    <row r="32">
      <c r="A32" s="16" t="n"/>
      <c r="B32" s="17" t="n"/>
      <c r="C32" s="16" t="n"/>
    </row>
    <row r="33">
      <c r="A33" s="16" t="n"/>
      <c r="B33" s="17" t="n"/>
      <c r="C33" s="16" t="n"/>
    </row>
    <row r="34">
      <c r="A34" s="16" t="n"/>
      <c r="B34" s="17" t="n"/>
      <c r="C34" s="16" t="n"/>
    </row>
    <row r="35">
      <c r="A35" s="16" t="n"/>
      <c r="B35" s="17" t="n"/>
      <c r="C35" s="16" t="n"/>
    </row>
    <row r="36">
      <c r="A36" s="16" t="n"/>
      <c r="B36" s="17" t="n"/>
      <c r="C36" s="16" t="n"/>
    </row>
    <row r="37">
      <c r="A37" s="16" t="n"/>
      <c r="B37" s="17" t="n"/>
      <c r="C37" s="16" t="n"/>
    </row>
    <row r="38">
      <c r="A38" s="16" t="n"/>
      <c r="B38" s="17" t="n"/>
      <c r="C38" s="16" t="n"/>
    </row>
    <row r="39">
      <c r="A39" s="16" t="n"/>
      <c r="B39" s="17" t="n"/>
      <c r="C39" s="16" t="n"/>
    </row>
    <row r="40">
      <c r="A40" s="16" t="n"/>
      <c r="B40" s="17" t="n"/>
      <c r="C40" s="16" t="n"/>
    </row>
    <row r="41">
      <c r="A41" s="16" t="n"/>
      <c r="B41" s="17" t="n"/>
      <c r="C41" s="16" t="n"/>
    </row>
    <row r="42">
      <c r="A42" s="16" t="n"/>
      <c r="B42" s="17" t="n"/>
      <c r="C42" s="16" t="n"/>
    </row>
    <row r="43">
      <c r="A43" s="16" t="n"/>
      <c r="B43" s="17" t="n"/>
      <c r="C43" s="16" t="n"/>
    </row>
    <row r="44">
      <c r="A44" s="16" t="n"/>
      <c r="B44" s="17" t="n"/>
      <c r="C44" s="16" t="n"/>
    </row>
    <row r="45">
      <c r="A45" s="16" t="n"/>
      <c r="B45" s="17" t="n"/>
      <c r="C45" s="16" t="n"/>
    </row>
    <row r="46">
      <c r="A46" s="16" t="n"/>
      <c r="B46" s="17" t="n"/>
      <c r="C46" s="16" t="n"/>
    </row>
    <row r="47">
      <c r="A47" s="16" t="n"/>
      <c r="B47" s="17" t="n"/>
      <c r="C47" s="16" t="n"/>
    </row>
    <row r="48">
      <c r="A48" s="16" t="n"/>
      <c r="B48" s="17" t="n"/>
      <c r="C48" s="16" t="n"/>
    </row>
    <row r="49">
      <c r="A49" s="16" t="n"/>
      <c r="B49" s="17" t="n"/>
      <c r="C49" s="16" t="n"/>
    </row>
    <row r="50">
      <c r="A50" s="16" t="n"/>
      <c r="B50" s="17" t="n"/>
      <c r="C50" s="16" t="n"/>
    </row>
    <row r="51">
      <c r="A51" s="16" t="n"/>
      <c r="B51" s="17" t="n"/>
      <c r="C51" s="16" t="n"/>
    </row>
    <row r="52">
      <c r="A52" s="16" t="n"/>
      <c r="B52" s="17" t="n"/>
      <c r="C52" s="16" t="n"/>
    </row>
    <row r="53">
      <c r="A53" s="16" t="n"/>
      <c r="B53" s="17" t="n"/>
      <c r="C53" s="16" t="n"/>
    </row>
    <row r="54">
      <c r="A54" s="16" t="n"/>
      <c r="B54" s="17" t="n"/>
      <c r="C54" s="16" t="n"/>
    </row>
    <row r="55">
      <c r="A55" s="16" t="n"/>
      <c r="B55" s="17" t="n"/>
      <c r="C55" s="16" t="n"/>
    </row>
    <row r="56">
      <c r="A56" s="16" t="n"/>
      <c r="B56" s="17" t="n"/>
      <c r="C56" s="16" t="n"/>
    </row>
    <row r="57">
      <c r="A57" s="16" t="n"/>
      <c r="B57" s="17" t="n"/>
      <c r="C57" s="16" t="n"/>
    </row>
    <row r="58">
      <c r="A58" s="16" t="n"/>
      <c r="B58" s="17" t="n"/>
      <c r="C58" s="16" t="n"/>
    </row>
    <row r="59">
      <c r="A59" s="16" t="n"/>
      <c r="B59" s="17" t="n"/>
      <c r="C59" s="16" t="n"/>
    </row>
    <row r="60">
      <c r="A60" s="16" t="n"/>
      <c r="B60" s="17" t="n"/>
      <c r="C60" s="16" t="n"/>
    </row>
    <row r="61">
      <c r="A61" s="16" t="n"/>
      <c r="B61" s="17" t="n"/>
      <c r="C61" s="16" t="n"/>
    </row>
    <row r="62">
      <c r="A62" s="16" t="n"/>
      <c r="B62" s="17" t="n"/>
      <c r="C62" s="16" t="n"/>
    </row>
    <row r="63">
      <c r="A63" s="16" t="n"/>
      <c r="B63" s="17" t="n"/>
      <c r="C63" s="16" t="n"/>
    </row>
    <row r="64">
      <c r="A64" s="16" t="n"/>
      <c r="B64" s="17" t="n"/>
      <c r="C64" s="16" t="n"/>
    </row>
    <row r="65">
      <c r="A65" s="16" t="n"/>
      <c r="B65" s="17" t="n"/>
      <c r="C65" s="16" t="n"/>
    </row>
  </sheetData>
  <conditionalFormatting sqref="B2:B65">
    <cfRule type="cellIs" priority="1" operator="lessThan" dxfId="0">
      <formula>0</formula>
    </cfRule>
  </conditionalFormatting>
  <dataValidations count="1">
    <dataValidation sqref="C2:C65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智能旅行预算与物品清单追踪器 - 2026专业版</dc:title>
  <dcterms:created xsi:type="dcterms:W3CDTF">2026-10-06T06:27:03Z</dcterms:created>
  <dcterms:modified xsi:type="dcterms:W3CDTF">2026-10-06T06:27:03Z</dcterms:modified>
</cp:coreProperties>
</file>