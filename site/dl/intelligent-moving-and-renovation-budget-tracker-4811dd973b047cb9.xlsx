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开始" sheetId="1" state="visible" r:id="rId1"/>
    <sheet name="总览" sheetId="2" state="visible" r:id="rId2"/>
    <sheet name="预算规划" sheetId="3" state="visible" r:id="rId3"/>
    <sheet name="支出跟踪" sheetId="4" state="visible" r:id="rId4"/>
    <sheet name="项目进度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yyyy-mm-dd"/>
    <numFmt numFmtId="166" formatCode="DD.MM.YYYY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4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164" fontId="7" fillId="3" borderId="1" pivotButton="0" quotePrefix="0" xfId="0"/>
    <xf numFmtId="166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支出类别分布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'支出跟踪'!D1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'支出跟踪'!$B$2:$B$4</f>
            </numRef>
          </cat>
          <val>
            <numRef>
              <f>'支出跟踪'!$D$2:$D$4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_____2943" displayName="T______2943" ref="A1:E24" headerRowCount="1">
  <autoFilter ref="A1:E24"/>
  <tableColumns count="5">
    <tableColumn id="1" name="项目"/>
    <tableColumn id="2" name="类别"/>
    <tableColumn id="3" name="预计费用"/>
    <tableColumn id="4" name="实际费用"/>
    <tableColumn id="5" name="差额"/>
  </tableColumns>
  <tableStyleInfo name="TableStyleMedium7" showRowStripes="1"/>
</table>
</file>

<file path=xl/tables/table2.xml><?xml version="1.0" encoding="utf-8"?>
<table xmlns="http://schemas.openxmlformats.org/spreadsheetml/2006/main" id="2" name="T______312" displayName="T______312" ref="A1:D34" headerRowCount="1">
  <autoFilter ref="A1:D34"/>
  <tableColumns count="4">
    <tableColumn id="1" name="日期"/>
    <tableColumn id="2" name="类别"/>
    <tableColumn id="3" name="项目"/>
    <tableColumn id="4" name="金额"/>
  </tableColumns>
  <tableStyleInfo name="TableStyleMedium7" showRowStripes="1"/>
</table>
</file>

<file path=xl/tables/table3.xml><?xml version="1.0" encoding="utf-8"?>
<table xmlns="http://schemas.openxmlformats.org/spreadsheetml/2006/main" id="3" name="T______4565" displayName="T______4565" ref="A1:D13" headerRowCount="1">
  <autoFilter ref="A1:D13"/>
  <tableColumns count="4">
    <tableColumn id="1" name="任务"/>
    <tableColumn id="2" name="开始日期"/>
    <tableColumn id="3" name="完成日期"/>
    <tableColumn id="4" name="状态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4635;&#35272;'!A1" TargetMode="External" Id="rId1" /><Relationship Type="http://schemas.openxmlformats.org/officeDocument/2006/relationships/hyperlink" Target="#'&#39044;&#31639;&#35268;&#21010;'!A1" TargetMode="External" Id="rId2" /><Relationship Type="http://schemas.openxmlformats.org/officeDocument/2006/relationships/hyperlink" Target="#'&#25903;&#20986;&#36319;&#36394;'!A1" TargetMode="External" Id="rId3" /><Relationship Type="http://schemas.openxmlformats.org/officeDocument/2006/relationships/hyperlink" Target="#'&#39033;&#30446;&#36827;&#24230;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智能搬家与装修预算跟踪器</t>
        </is>
      </c>
    </row>
    <row r="3" ht="45" customHeight="1">
      <c r="C3" s="2" t="inlineStr">
        <is>
          <t>这款专业Excel模板帮助您轻松管理搬家与装修的预算，确保每一笔开销都在掌控之中。</t>
        </is>
      </c>
    </row>
    <row r="5">
      <c r="C5" s="3" t="inlineStr">
        <is>
          <t>使用说明</t>
        </is>
      </c>
    </row>
    <row r="6" ht="18" customHeight="1">
      <c r="B6" s="4" t="inlineStr">
        <is>
          <t>1.</t>
        </is>
      </c>
      <c r="C6" s="5" t="inlineStr">
        <is>
          <t>打开模板并选择'预算规划'工作表。</t>
        </is>
      </c>
    </row>
    <row r="7" ht="18" customHeight="1">
      <c r="B7" s="4" t="inlineStr">
        <is>
          <t>2.</t>
        </is>
      </c>
      <c r="C7" s="5" t="inlineStr">
        <is>
          <t>输入您预计的搬家与装修费用。</t>
        </is>
      </c>
    </row>
    <row r="8" ht="18" customHeight="1">
      <c r="B8" s="4" t="inlineStr">
        <is>
          <t>3.</t>
        </is>
      </c>
      <c r="C8" s="5" t="inlineStr">
        <is>
          <t>使用'支出跟踪'工作表记录所有实际支出。</t>
        </is>
      </c>
    </row>
    <row r="9" ht="18" customHeight="1">
      <c r="B9" s="4" t="inlineStr">
        <is>
          <t>4.</t>
        </is>
      </c>
      <c r="C9" s="5" t="inlineStr">
        <is>
          <t>通过'项目进度'工作表监控各任务的完成情况。</t>
        </is>
      </c>
    </row>
    <row r="10" ht="18" customHeight="1">
      <c r="B10" s="4" t="inlineStr">
        <is>
          <t>5.</t>
        </is>
      </c>
      <c r="C10" s="5" t="inlineStr">
        <is>
          <t>定期检查仪表盘中的KPIs，确保预算不超支。</t>
        </is>
      </c>
    </row>
    <row r="11" ht="18" customHeight="1">
      <c r="B11" s="4" t="inlineStr">
        <is>
          <t>6.</t>
        </is>
      </c>
      <c r="C11" s="5" t="inlineStr">
        <is>
          <t>根据需要进行调整，确保项目按计划进行。</t>
        </is>
      </c>
    </row>
    <row r="13">
      <c r="C13" s="6" t="inlineStr">
        <is>
          <t>只需填写白色单元格，绿色列会自动计算。</t>
        </is>
      </c>
    </row>
    <row r="15">
      <c r="C15" s="3" t="inlineStr">
        <is>
          <t>打开工作表</t>
        </is>
      </c>
    </row>
    <row r="16">
      <c r="C16" s="7" t="inlineStr">
        <is>
          <t>→ 总览</t>
        </is>
      </c>
    </row>
    <row r="17">
      <c r="C17" s="7" t="inlineStr">
        <is>
          <t>→ 预算规划</t>
        </is>
      </c>
    </row>
    <row r="18">
      <c r="C18" s="7" t="inlineStr">
        <is>
          <t>→ 支出跟踪</t>
        </is>
      </c>
    </row>
    <row r="19">
      <c r="C19" s="7" t="inlineStr">
        <is>
          <t>→ 项目进度</t>
        </is>
      </c>
    </row>
    <row r="21">
      <c r="C21" s="8" t="inlineStr">
        <is>
          <t>由 Haiktec 制作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总览 – 智能搬家与装修预算跟踪器</t>
        </is>
      </c>
    </row>
    <row r="4">
      <c r="B4" s="10" t="inlineStr">
        <is>
          <t>关键指标</t>
        </is>
      </c>
    </row>
    <row r="5" ht="24" customHeight="1">
      <c r="B5" s="11" t="inlineStr">
        <is>
          <t>总预算</t>
        </is>
      </c>
      <c r="C5" s="12">
        <f>SUM('预算规划'!C2:C100)</f>
        <v/>
      </c>
    </row>
    <row r="6" ht="24" customHeight="1">
      <c r="B6" s="11" t="inlineStr">
        <is>
          <t>总支出</t>
        </is>
      </c>
      <c r="C6" s="12">
        <f>SUM('支出跟踪'!D2:D100)</f>
        <v/>
      </c>
    </row>
    <row r="7" ht="24" customHeight="1">
      <c r="B7" s="11" t="inlineStr">
        <is>
          <t>预算差额</t>
        </is>
      </c>
      <c r="C7" s="12">
        <f>SUM('预算规划'!E2:E100)</f>
        <v/>
      </c>
    </row>
    <row r="8" ht="24" customHeight="1">
      <c r="B8" s="11" t="inlineStr">
        <is>
          <t>已完成任务</t>
        </is>
      </c>
      <c r="C8" s="13">
        <f>COUNTIF('项目进度'!D2:D100,"已完成")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5" customWidth="1" min="5" max="5"/>
  </cols>
  <sheetData>
    <row r="1" ht="32" customHeight="1">
      <c r="A1" s="14" t="inlineStr">
        <is>
          <t>项目</t>
        </is>
      </c>
      <c r="B1" s="14" t="inlineStr">
        <is>
          <t>类别</t>
        </is>
      </c>
      <c r="C1" s="14" t="inlineStr">
        <is>
          <t>预计费用</t>
        </is>
      </c>
      <c r="D1" s="14" t="inlineStr">
        <is>
          <t>实际费用</t>
        </is>
      </c>
      <c r="E1" s="14" t="inlineStr">
        <is>
          <t>差额</t>
        </is>
      </c>
    </row>
    <row r="2">
      <c r="A2" s="15" t="inlineStr">
        <is>
          <t>搬家服务</t>
        </is>
      </c>
      <c r="B2" s="15" t="inlineStr">
        <is>
          <t>物流</t>
        </is>
      </c>
      <c r="C2" s="16" t="n">
        <v>500</v>
      </c>
      <c r="D2" s="16" t="inlineStr"/>
      <c r="E2" s="17">
        <f>C2-D2</f>
        <v/>
      </c>
    </row>
    <row r="3">
      <c r="A3" s="15" t="inlineStr">
        <is>
          <t>装修材料</t>
        </is>
      </c>
      <c r="B3" s="15" t="inlineStr">
        <is>
          <t>材料</t>
        </is>
      </c>
      <c r="C3" s="16" t="n">
        <v>1200</v>
      </c>
      <c r="D3" s="16" t="inlineStr"/>
      <c r="E3" s="17">
        <f>C3-D3</f>
        <v/>
      </c>
    </row>
    <row r="4">
      <c r="A4" s="15" t="inlineStr">
        <is>
          <t>人工费</t>
        </is>
      </c>
      <c r="B4" s="15" t="inlineStr">
        <is>
          <t>人工</t>
        </is>
      </c>
      <c r="C4" s="16" t="n">
        <v>800</v>
      </c>
      <c r="D4" s="16" t="inlineStr"/>
      <c r="E4" s="17">
        <f>C4-D4</f>
        <v/>
      </c>
    </row>
    <row r="5">
      <c r="A5" s="15" t="n"/>
      <c r="B5" s="15" t="n"/>
      <c r="C5" s="16" t="n"/>
      <c r="D5" s="16" t="n"/>
      <c r="E5" s="17">
        <f>IF(A5="","",C5-D5)</f>
        <v/>
      </c>
    </row>
    <row r="6">
      <c r="A6" s="15" t="n"/>
      <c r="B6" s="15" t="n"/>
      <c r="C6" s="16" t="n"/>
      <c r="D6" s="16" t="n"/>
      <c r="E6" s="17">
        <f>IF(A6="","",C6-D6)</f>
        <v/>
      </c>
    </row>
    <row r="7">
      <c r="A7" s="15" t="n"/>
      <c r="B7" s="15" t="n"/>
      <c r="C7" s="16" t="n"/>
      <c r="D7" s="16" t="n"/>
      <c r="E7" s="17">
        <f>IF(A7="","",C7-D7)</f>
        <v/>
      </c>
    </row>
    <row r="8">
      <c r="A8" s="15" t="n"/>
      <c r="B8" s="15" t="n"/>
      <c r="C8" s="16" t="n"/>
      <c r="D8" s="16" t="n"/>
      <c r="E8" s="17">
        <f>IF(A8="","",C8-D8)</f>
        <v/>
      </c>
    </row>
    <row r="9">
      <c r="A9" s="15" t="n"/>
      <c r="B9" s="15" t="n"/>
      <c r="C9" s="16" t="n"/>
      <c r="D9" s="16" t="n"/>
      <c r="E9" s="17">
        <f>IF(A9="","",C9-D9)</f>
        <v/>
      </c>
    </row>
    <row r="10">
      <c r="A10" s="15" t="n"/>
      <c r="B10" s="15" t="n"/>
      <c r="C10" s="16" t="n"/>
      <c r="D10" s="16" t="n"/>
      <c r="E10" s="17">
        <f>IF(A10="","",C10-D10)</f>
        <v/>
      </c>
    </row>
    <row r="11">
      <c r="A11" s="15" t="n"/>
      <c r="B11" s="15" t="n"/>
      <c r="C11" s="16" t="n"/>
      <c r="D11" s="16" t="n"/>
      <c r="E11" s="17">
        <f>IF(A11="","",C11-D11)</f>
        <v/>
      </c>
    </row>
    <row r="12">
      <c r="A12" s="15" t="n"/>
      <c r="B12" s="15" t="n"/>
      <c r="C12" s="16" t="n"/>
      <c r="D12" s="16" t="n"/>
      <c r="E12" s="17">
        <f>IF(A12="","",C12-D12)</f>
        <v/>
      </c>
    </row>
    <row r="13">
      <c r="A13" s="15" t="n"/>
      <c r="B13" s="15" t="n"/>
      <c r="C13" s="16" t="n"/>
      <c r="D13" s="16" t="n"/>
      <c r="E13" s="17">
        <f>IF(A13="","",C13-D13)</f>
        <v/>
      </c>
    </row>
    <row r="14">
      <c r="A14" s="15" t="n"/>
      <c r="B14" s="15" t="n"/>
      <c r="C14" s="16" t="n"/>
      <c r="D14" s="16" t="n"/>
      <c r="E14" s="17">
        <f>IF(A14="","",C14-D14)</f>
        <v/>
      </c>
    </row>
    <row r="15">
      <c r="A15" s="15" t="n"/>
      <c r="B15" s="15" t="n"/>
      <c r="C15" s="16" t="n"/>
      <c r="D15" s="16" t="n"/>
      <c r="E15" s="17">
        <f>IF(A15="","",C15-D15)</f>
        <v/>
      </c>
    </row>
    <row r="16">
      <c r="A16" s="15" t="n"/>
      <c r="B16" s="15" t="n"/>
      <c r="C16" s="16" t="n"/>
      <c r="D16" s="16" t="n"/>
      <c r="E16" s="17">
        <f>IF(A16="","",C16-D16)</f>
        <v/>
      </c>
    </row>
    <row r="17">
      <c r="A17" s="15" t="n"/>
      <c r="B17" s="15" t="n"/>
      <c r="C17" s="16" t="n"/>
      <c r="D17" s="16" t="n"/>
      <c r="E17" s="17">
        <f>IF(A17="","",C17-D17)</f>
        <v/>
      </c>
    </row>
    <row r="18">
      <c r="A18" s="15" t="n"/>
      <c r="B18" s="15" t="n"/>
      <c r="C18" s="16" t="n"/>
      <c r="D18" s="16" t="n"/>
      <c r="E18" s="17">
        <f>IF(A18="","",C18-D18)</f>
        <v/>
      </c>
    </row>
    <row r="19">
      <c r="A19" s="15" t="n"/>
      <c r="B19" s="15" t="n"/>
      <c r="C19" s="16" t="n"/>
      <c r="D19" s="16" t="n"/>
      <c r="E19" s="17">
        <f>IF(A19="","",C19-D19)</f>
        <v/>
      </c>
    </row>
    <row r="20">
      <c r="A20" s="15" t="n"/>
      <c r="B20" s="15" t="n"/>
      <c r="C20" s="16" t="n"/>
      <c r="D20" s="16" t="n"/>
      <c r="E20" s="17">
        <f>IF(A20="","",C20-D20)</f>
        <v/>
      </c>
    </row>
    <row r="21">
      <c r="A21" s="15" t="n"/>
      <c r="B21" s="15" t="n"/>
      <c r="C21" s="16" t="n"/>
      <c r="D21" s="16" t="n"/>
      <c r="E21" s="17">
        <f>IF(A21="","",C21-D21)</f>
        <v/>
      </c>
    </row>
    <row r="22">
      <c r="A22" s="15" t="n"/>
      <c r="B22" s="15" t="n"/>
      <c r="C22" s="16" t="n"/>
      <c r="D22" s="16" t="n"/>
      <c r="E22" s="17">
        <f>IF(A22="","",C22-D22)</f>
        <v/>
      </c>
    </row>
    <row r="23">
      <c r="A23" s="15" t="n"/>
      <c r="B23" s="15" t="n"/>
      <c r="C23" s="16" t="n"/>
      <c r="D23" s="16" t="n"/>
      <c r="E23" s="17">
        <f>IF(A23="","",C23-D23)</f>
        <v/>
      </c>
    </row>
    <row r="24">
      <c r="A24" s="15" t="n"/>
      <c r="B24" s="15" t="n"/>
      <c r="C24" s="16" t="n"/>
      <c r="D24" s="16" t="n"/>
      <c r="E24" s="17">
        <f>IF(A24="","",C24-D24)</f>
        <v/>
      </c>
    </row>
  </sheetData>
  <conditionalFormatting sqref="C2:C24">
    <cfRule type="cellIs" priority="1" operator="lessThan" dxfId="0">
      <formula>0</formula>
    </cfRule>
  </conditionalFormatting>
  <conditionalFormatting sqref="D2:D24">
    <cfRule type="cellIs" priority="2" operator="lessThan" dxfId="0">
      <formula>0</formula>
    </cfRule>
  </conditionalFormatting>
  <conditionalFormatting sqref="E2:E24">
    <cfRule type="cellIs" priority="3" operator="lessThan" dxfId="0">
      <formula>0</formula>
    </cfRule>
  </conditionalFormatting>
  <dataValidations count="1">
    <dataValidation sqref="B2:B24" showDropDown="0" showInputMessage="0" showErrorMessage="0" allowBlank="1" type="list">
      <formula1>"物流,材料,人工,其他"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 ht="32" customHeight="1">
      <c r="A1" s="14" t="inlineStr">
        <is>
          <t>日期</t>
        </is>
      </c>
      <c r="B1" s="14" t="inlineStr">
        <is>
          <t>类别</t>
        </is>
      </c>
      <c r="C1" s="14" t="inlineStr">
        <is>
          <t>项目</t>
        </is>
      </c>
      <c r="D1" s="14" t="inlineStr">
        <is>
          <t>金额</t>
        </is>
      </c>
    </row>
    <row r="2">
      <c r="A2" s="18" t="n">
        <v>46054</v>
      </c>
      <c r="B2" s="15" t="inlineStr">
        <is>
          <t>物流</t>
        </is>
      </c>
      <c r="C2" s="15" t="inlineStr">
        <is>
          <t>搬家服务</t>
        </is>
      </c>
      <c r="D2" s="16" t="n">
        <v>500</v>
      </c>
    </row>
    <row r="3">
      <c r="A3" s="18" t="n">
        <v>46058</v>
      </c>
      <c r="B3" s="15" t="inlineStr">
        <is>
          <t>材料</t>
        </is>
      </c>
      <c r="C3" s="15" t="inlineStr">
        <is>
          <t>装修材料</t>
        </is>
      </c>
      <c r="D3" s="16" t="n">
        <v>1200</v>
      </c>
    </row>
    <row r="4">
      <c r="A4" s="18" t="n">
        <v>46063</v>
      </c>
      <c r="B4" s="15" t="inlineStr">
        <is>
          <t>人工</t>
        </is>
      </c>
      <c r="C4" s="15" t="inlineStr">
        <is>
          <t>人工费</t>
        </is>
      </c>
      <c r="D4" s="16" t="n">
        <v>800</v>
      </c>
    </row>
    <row r="5">
      <c r="A5" s="18" t="n"/>
      <c r="B5" s="15" t="n"/>
      <c r="C5" s="15" t="n"/>
      <c r="D5" s="16" t="n"/>
    </row>
    <row r="6">
      <c r="A6" s="18" t="n"/>
      <c r="B6" s="15" t="n"/>
      <c r="C6" s="15" t="n"/>
      <c r="D6" s="16" t="n"/>
    </row>
    <row r="7">
      <c r="A7" s="18" t="n"/>
      <c r="B7" s="15" t="n"/>
      <c r="C7" s="15" t="n"/>
      <c r="D7" s="16" t="n"/>
    </row>
    <row r="8">
      <c r="A8" s="18" t="n"/>
      <c r="B8" s="15" t="n"/>
      <c r="C8" s="15" t="n"/>
      <c r="D8" s="16" t="n"/>
    </row>
    <row r="9">
      <c r="A9" s="18" t="n"/>
      <c r="B9" s="15" t="n"/>
      <c r="C9" s="15" t="n"/>
      <c r="D9" s="16" t="n"/>
    </row>
    <row r="10">
      <c r="A10" s="18" t="n"/>
      <c r="B10" s="15" t="n"/>
      <c r="C10" s="15" t="n"/>
      <c r="D10" s="16" t="n"/>
    </row>
    <row r="11">
      <c r="A11" s="18" t="n"/>
      <c r="B11" s="15" t="n"/>
      <c r="C11" s="15" t="n"/>
      <c r="D11" s="16" t="n"/>
    </row>
    <row r="12">
      <c r="A12" s="18" t="n"/>
      <c r="B12" s="15" t="n"/>
      <c r="C12" s="15" t="n"/>
      <c r="D12" s="16" t="n"/>
    </row>
    <row r="13">
      <c r="A13" s="18" t="n"/>
      <c r="B13" s="15" t="n"/>
      <c r="C13" s="15" t="n"/>
      <c r="D13" s="16" t="n"/>
    </row>
    <row r="14">
      <c r="A14" s="18" t="n"/>
      <c r="B14" s="15" t="n"/>
      <c r="C14" s="15" t="n"/>
      <c r="D14" s="16" t="n"/>
    </row>
    <row r="15">
      <c r="A15" s="18" t="n"/>
      <c r="B15" s="15" t="n"/>
      <c r="C15" s="15" t="n"/>
      <c r="D15" s="16" t="n"/>
    </row>
    <row r="16">
      <c r="A16" s="18" t="n"/>
      <c r="B16" s="15" t="n"/>
      <c r="C16" s="15" t="n"/>
      <c r="D16" s="16" t="n"/>
    </row>
    <row r="17">
      <c r="A17" s="18" t="n"/>
      <c r="B17" s="15" t="n"/>
      <c r="C17" s="15" t="n"/>
      <c r="D17" s="16" t="n"/>
    </row>
    <row r="18">
      <c r="A18" s="18" t="n"/>
      <c r="B18" s="15" t="n"/>
      <c r="C18" s="15" t="n"/>
      <c r="D18" s="16" t="n"/>
    </row>
    <row r="19">
      <c r="A19" s="18" t="n"/>
      <c r="B19" s="15" t="n"/>
      <c r="C19" s="15" t="n"/>
      <c r="D19" s="16" t="n"/>
    </row>
    <row r="20">
      <c r="A20" s="18" t="n"/>
      <c r="B20" s="15" t="n"/>
      <c r="C20" s="15" t="n"/>
      <c r="D20" s="16" t="n"/>
    </row>
    <row r="21">
      <c r="A21" s="18" t="n"/>
      <c r="B21" s="15" t="n"/>
      <c r="C21" s="15" t="n"/>
      <c r="D21" s="16" t="n"/>
    </row>
    <row r="22">
      <c r="A22" s="18" t="n"/>
      <c r="B22" s="15" t="n"/>
      <c r="C22" s="15" t="n"/>
      <c r="D22" s="16" t="n"/>
    </row>
    <row r="23">
      <c r="A23" s="18" t="n"/>
      <c r="B23" s="15" t="n"/>
      <c r="C23" s="15" t="n"/>
      <c r="D23" s="16" t="n"/>
    </row>
    <row r="24">
      <c r="A24" s="18" t="n"/>
      <c r="B24" s="15" t="n"/>
      <c r="C24" s="15" t="n"/>
      <c r="D24" s="16" t="n"/>
    </row>
    <row r="25">
      <c r="A25" s="18" t="n"/>
      <c r="B25" s="15" t="n"/>
      <c r="C25" s="15" t="n"/>
      <c r="D25" s="16" t="n"/>
    </row>
    <row r="26">
      <c r="A26" s="18" t="n"/>
      <c r="B26" s="15" t="n"/>
      <c r="C26" s="15" t="n"/>
      <c r="D26" s="16" t="n"/>
    </row>
    <row r="27">
      <c r="A27" s="18" t="n"/>
      <c r="B27" s="15" t="n"/>
      <c r="C27" s="15" t="n"/>
      <c r="D27" s="16" t="n"/>
    </row>
    <row r="28">
      <c r="A28" s="18" t="n"/>
      <c r="B28" s="15" t="n"/>
      <c r="C28" s="15" t="n"/>
      <c r="D28" s="16" t="n"/>
    </row>
    <row r="29">
      <c r="A29" s="18" t="n"/>
      <c r="B29" s="15" t="n"/>
      <c r="C29" s="15" t="n"/>
      <c r="D29" s="16" t="n"/>
    </row>
    <row r="30">
      <c r="A30" s="18" t="n"/>
      <c r="B30" s="15" t="n"/>
      <c r="C30" s="15" t="n"/>
      <c r="D30" s="16" t="n"/>
    </row>
    <row r="31">
      <c r="A31" s="18" t="n"/>
      <c r="B31" s="15" t="n"/>
      <c r="C31" s="15" t="n"/>
      <c r="D31" s="16" t="n"/>
    </row>
    <row r="32">
      <c r="A32" s="18" t="n"/>
      <c r="B32" s="15" t="n"/>
      <c r="C32" s="15" t="n"/>
      <c r="D32" s="16" t="n"/>
    </row>
    <row r="33">
      <c r="A33" s="18" t="n"/>
      <c r="B33" s="15" t="n"/>
      <c r="C33" s="15" t="n"/>
      <c r="D33" s="16" t="n"/>
    </row>
    <row r="34">
      <c r="A34" s="18" t="n"/>
      <c r="B34" s="15" t="n"/>
      <c r="C34" s="15" t="n"/>
      <c r="D34" s="16" t="n"/>
    </row>
  </sheetData>
  <conditionalFormatting sqref="D2:D34">
    <cfRule type="cellIs" priority="1" operator="lessThan" dxfId="0">
      <formula>0</formula>
    </cfRule>
  </conditionalFormatting>
  <dataValidations count="1">
    <dataValidation sqref="B2:B34" showDropDown="0" showInputMessage="0" showErrorMessage="0" allowBlank="1" type="list">
      <formula1>"物流,材料,人工,其他"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40" customWidth="1" min="4" max="4"/>
  </cols>
  <sheetData>
    <row r="1" ht="32" customHeight="1">
      <c r="A1" s="14" t="inlineStr">
        <is>
          <t>任务</t>
        </is>
      </c>
      <c r="B1" s="14" t="inlineStr">
        <is>
          <t>开始日期</t>
        </is>
      </c>
      <c r="C1" s="14" t="inlineStr">
        <is>
          <t>完成日期</t>
        </is>
      </c>
      <c r="D1" s="14" t="inlineStr">
        <is>
          <t>状态</t>
        </is>
      </c>
    </row>
    <row r="2">
      <c r="A2" s="15" t="inlineStr">
        <is>
          <t>搬家</t>
        </is>
      </c>
      <c r="B2" s="18" t="n">
        <v>46054</v>
      </c>
      <c r="C2" s="18" t="inlineStr"/>
      <c r="D2" s="19">
        <f>IF(C2&lt;&gt;"","已完成",IF(TODAY()&gt;B2,"进行中","未开始"))</f>
        <v/>
      </c>
    </row>
    <row r="3">
      <c r="A3" s="15" t="inlineStr">
        <is>
          <t>装修</t>
        </is>
      </c>
      <c r="B3" s="18" t="n">
        <v>46058</v>
      </c>
      <c r="C3" s="18" t="inlineStr"/>
      <c r="D3" s="19">
        <f>IF(C3&lt;&gt;"","已完成",IF(TODAY()&gt;B3,"进行中","未开始"))</f>
        <v/>
      </c>
    </row>
    <row r="4">
      <c r="A4" s="15" t="n"/>
      <c r="B4" s="18" t="n"/>
      <c r="C4" s="18" t="n"/>
      <c r="D4" s="19">
        <f>IF(A4="","",IF(C4&lt;&gt;"","已完成",IF(TODAY()&gt;B4,"进行中","未开始")))</f>
        <v/>
      </c>
    </row>
    <row r="5">
      <c r="A5" s="15" t="n"/>
      <c r="B5" s="18" t="n"/>
      <c r="C5" s="18" t="n"/>
      <c r="D5" s="19">
        <f>IF(A5="","",IF(C5&lt;&gt;"","已完成",IF(TODAY()&gt;B5,"进行中","未开始")))</f>
        <v/>
      </c>
    </row>
    <row r="6">
      <c r="A6" s="15" t="n"/>
      <c r="B6" s="18" t="n"/>
      <c r="C6" s="18" t="n"/>
      <c r="D6" s="19">
        <f>IF(A6="","",IF(C6&lt;&gt;"","已完成",IF(TODAY()&gt;B6,"进行中","未开始")))</f>
        <v/>
      </c>
    </row>
    <row r="7">
      <c r="A7" s="15" t="n"/>
      <c r="B7" s="18" t="n"/>
      <c r="C7" s="18" t="n"/>
      <c r="D7" s="19">
        <f>IF(A7="","",IF(C7&lt;&gt;"","已完成",IF(TODAY()&gt;B7,"进行中","未开始")))</f>
        <v/>
      </c>
    </row>
    <row r="8">
      <c r="A8" s="15" t="n"/>
      <c r="B8" s="18" t="n"/>
      <c r="C8" s="18" t="n"/>
      <c r="D8" s="19">
        <f>IF(A8="","",IF(C8&lt;&gt;"","已完成",IF(TODAY()&gt;B8,"进行中","未开始")))</f>
        <v/>
      </c>
    </row>
    <row r="9">
      <c r="A9" s="15" t="n"/>
      <c r="B9" s="18" t="n"/>
      <c r="C9" s="18" t="n"/>
      <c r="D9" s="19">
        <f>IF(A9="","",IF(C9&lt;&gt;"","已完成",IF(TODAY()&gt;B9,"进行中","未开始")))</f>
        <v/>
      </c>
    </row>
    <row r="10">
      <c r="A10" s="15" t="n"/>
      <c r="B10" s="18" t="n"/>
      <c r="C10" s="18" t="n"/>
      <c r="D10" s="19">
        <f>IF(A10="","",IF(C10&lt;&gt;"","已完成",IF(TODAY()&gt;B10,"进行中","未开始")))</f>
        <v/>
      </c>
    </row>
    <row r="11">
      <c r="A11" s="15" t="n"/>
      <c r="B11" s="18" t="n"/>
      <c r="C11" s="18" t="n"/>
      <c r="D11" s="19">
        <f>IF(A11="","",IF(C11&lt;&gt;"","已完成",IF(TODAY()&gt;B11,"进行中","未开始")))</f>
        <v/>
      </c>
    </row>
    <row r="12">
      <c r="A12" s="15" t="n"/>
      <c r="B12" s="18" t="n"/>
      <c r="C12" s="18" t="n"/>
      <c r="D12" s="19">
        <f>IF(A12="","",IF(C12&lt;&gt;"","已完成",IF(TODAY()&gt;B12,"进行中","未开始")))</f>
        <v/>
      </c>
    </row>
    <row r="13">
      <c r="A13" s="15" t="n"/>
      <c r="B13" s="18" t="n"/>
      <c r="C13" s="18" t="n"/>
      <c r="D13" s="19">
        <f>IF(A13="","",IF(C13&lt;&gt;"","已完成",IF(TODAY()&gt;B13,"进行中","未开始")))</f>
        <v/>
      </c>
    </row>
  </sheetData>
  <dataValidations count="1">
    <dataValidation sqref="D2:D13" showDropDown="0" showInputMessage="0" showErrorMessage="0" allowBlank="1" type="list">
      <formula1>"未开始,进行中,已完成"</formula1>
    </dataValidation>
  </dataValidations>
  <pageMargins left="0.75" right="0.75" top="1" bottom="1" header="0.5" footer="0.5"/>
  <pageSetup orientation="landscape" fitToWidth="1"/>
  <headerFooter>
    <oddHeader/>
    <oddFooter>&amp;C由 Haiktec 制作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智能搬家与装修预算跟踪器</dc:title>
  <dcterms:created xsi:type="dcterms:W3CDTF">2026-10-01T19:39:08Z</dcterms:created>
  <dcterms:modified xsi:type="dcterms:W3CDTF">2026-10-01T19:39:08Z</dcterms:modified>
</cp:coreProperties>
</file>