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  <sheet name="Budget" sheetId="5" state="visible" r:id="rId5"/>
    <sheet name="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458" displayName="T_Itinerary_2458" ref="A1:E34" headerRowCount="1">
  <autoFilter ref="A1:E34"/>
  <tableColumns count="5">
    <tableColumn id="1" name="Date"/>
    <tableColumn id="2" name="Location"/>
    <tableColumn id="3" name="Activity"/>
    <tableColumn id="4" name="Start Time"/>
    <tableColumn id="5" name="End Time"/>
  </tableColumns>
  <tableStyleInfo name="TableStyleMedium7" showRowStripes="1"/>
</table>
</file>

<file path=xl/tables/table2.xml><?xml version="1.0" encoding="utf-8"?>
<table xmlns="http://schemas.openxmlformats.org/spreadsheetml/2006/main" id="2" name="T_Expenses_3414" displayName="T_Expenses_3414" ref="A1:E64" headerRowCount="1">
  <autoFilter ref="A1:E64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3.xml><?xml version="1.0" encoding="utf-8"?>
<table xmlns="http://schemas.openxmlformats.org/spreadsheetml/2006/main" id="3" name="T_Budget_4407" displayName="T_Budget_4407" ref="A1:D24" headerRowCount="1">
  <autoFilter ref="A1:D24"/>
  <tableColumns count="4">
    <tableColumn id="1" name="Category"/>
    <tableColumn id="2" name="Planned Budget"/>
    <tableColumn id="3" name="Actual Spend"/>
    <tableColumn id="4" name="Difference"/>
  </tableColumns>
  <tableStyleInfo name="TableStyleMedium7" showRowStripes="1"/>
</table>
</file>

<file path=xl/tables/table4.xml><?xml version="1.0" encoding="utf-8"?>
<table xmlns="http://schemas.openxmlformats.org/spreadsheetml/2006/main" id="4" name="T_Overview_587" displayName="T_Overview_587" ref="A1:C2" headerRowCount="1">
  <autoFilter ref="A1:C2"/>
  <tableColumns count="3">
    <tableColumn id="1" name="Total Planned Budget"/>
    <tableColumn id="2" name="Total Actual Spend"/>
    <tableColumn id="3" name="Total Differ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hyperlink" Target="#'Overview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Travel Budget Planner &amp; Itinerary Tracker</t>
        </is>
      </c>
    </row>
    <row r="3" ht="45" customHeight="1">
      <c r="C3" s="2" t="inlineStr">
        <is>
          <t>Effortlessly plan and track your family trip to NRW with this comprehensive Excel sheet. Manage your budget, itineraries, and expenses in one place, ensuring a stress-free and enjoyable journey.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in the 'Itinerary' sheet.</t>
        </is>
      </c>
    </row>
    <row r="7" ht="18" customHeight="1">
      <c r="B7" s="4" t="inlineStr">
        <is>
          <t>2.</t>
        </is>
      </c>
      <c r="C7" s="5" t="inlineStr">
        <is>
          <t>Log your expenses in the 'Expenses' sheet.</t>
        </is>
      </c>
    </row>
    <row r="8" ht="18" customHeight="1">
      <c r="B8" s="4" t="inlineStr">
        <is>
          <t>3.</t>
        </is>
      </c>
      <c r="C8" s="5" t="inlineStr">
        <is>
          <t>Use the 'Budget' sheet to track your spending against your planned budget.</t>
        </is>
      </c>
    </row>
    <row r="9" ht="18" customHeight="1">
      <c r="B9" s="4" t="inlineStr">
        <is>
          <t>4.</t>
        </is>
      </c>
      <c r="C9" s="5" t="inlineStr">
        <is>
          <t>Check the 'Overview' sheet for a summary of your trip finances.</t>
        </is>
      </c>
    </row>
    <row r="10" ht="30" customHeight="1">
      <c r="B10" s="4" t="inlineStr">
        <is>
          <t>5.</t>
        </is>
      </c>
      <c r="C10" s="5" t="inlineStr">
        <is>
          <t>Review the charts in the 'Dashboard' sheet for insights into your spending habits.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Itinerary</t>
        </is>
      </c>
    </row>
    <row r="17">
      <c r="C17" s="7" t="inlineStr">
        <is>
          <t>→ Expenses</t>
        </is>
      </c>
    </row>
    <row r="18">
      <c r="C18" s="7" t="inlineStr">
        <is>
          <t>→ Budget</t>
        </is>
      </c>
    </row>
    <row r="19">
      <c r="C19" s="7" t="inlineStr">
        <is>
          <t>→ Overview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Travel Budget Planner &amp; Itinerary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Budget</t>
        </is>
      </c>
      <c r="C5" s="12">
        <f>SUM('Budget'!B2:B20)</f>
        <v/>
      </c>
    </row>
    <row r="6" ht="24" customHeight="1">
      <c r="B6" s="11" t="inlineStr">
        <is>
          <t>Total Actual Spend</t>
        </is>
      </c>
      <c r="C6" s="12">
        <f>SUM('Budget'!C2:C20)</f>
        <v/>
      </c>
    </row>
    <row r="7" ht="24" customHeight="1">
      <c r="B7" s="11" t="inlineStr">
        <is>
          <t>Total Difference</t>
        </is>
      </c>
      <c r="C7" s="12">
        <f>B{r}-C{r}</f>
        <v/>
      </c>
    </row>
    <row r="8" ht="24" customHeight="1">
      <c r="B8" s="11" t="inlineStr">
        <is>
          <t>Number of Activities</t>
        </is>
      </c>
      <c r="C8" s="13">
        <f>COUNTA('Itinerary'!A2:A30)</f>
        <v/>
      </c>
    </row>
    <row r="9" ht="24" customHeight="1">
      <c r="B9" s="11" t="inlineStr">
        <is>
          <t>Number of Expenses</t>
        </is>
      </c>
      <c r="C9" s="13">
        <f>COUNTA('Expenses'!A2:A60)</f>
        <v/>
      </c>
    </row>
    <row r="10" ht="24" customHeight="1">
      <c r="B10" s="11" t="inlineStr">
        <is>
          <t>Average Expense</t>
        </is>
      </c>
      <c r="C10" s="12">
        <f>AVERAGE('Expenses'!D2:D60)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3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Location</t>
        </is>
      </c>
      <c r="C1" s="14" t="inlineStr">
        <is>
          <t>Activity</t>
        </is>
      </c>
      <c r="D1" s="14" t="inlineStr">
        <is>
          <t>Start Time</t>
        </is>
      </c>
      <c r="E1" s="14" t="inlineStr">
        <is>
          <t>End Time</t>
        </is>
      </c>
    </row>
    <row r="2">
      <c r="A2" s="15" t="n">
        <v>46218</v>
      </c>
      <c r="B2" s="16" t="inlineStr">
        <is>
          <t>Cologne</t>
        </is>
      </c>
      <c r="C2" s="16" t="inlineStr">
        <is>
          <t>Visit Cologne Cathedral</t>
        </is>
      </c>
      <c r="D2" s="16" t="inlineStr">
        <is>
          <t>10:00</t>
        </is>
      </c>
      <c r="E2" s="16" t="inlineStr">
        <is>
          <t>12:00</t>
        </is>
      </c>
    </row>
    <row r="3">
      <c r="A3" s="15" t="n">
        <v>46218</v>
      </c>
      <c r="B3" s="16" t="inlineStr">
        <is>
          <t>Cologne</t>
        </is>
      </c>
      <c r="C3" s="16" t="inlineStr">
        <is>
          <t>Lunch at local restaurant</t>
        </is>
      </c>
      <c r="D3" s="16" t="inlineStr">
        <is>
          <t>12:30</t>
        </is>
      </c>
      <c r="E3" s="16" t="inlineStr">
        <is>
          <t>13:30</t>
        </is>
      </c>
    </row>
    <row r="4">
      <c r="A4" s="15" t="n">
        <v>46218</v>
      </c>
      <c r="B4" s="16" t="inlineStr">
        <is>
          <t>Cologne</t>
        </is>
      </c>
      <c r="C4" s="16" t="inlineStr">
        <is>
          <t>Rheinpark visit</t>
        </is>
      </c>
      <c r="D4" s="16" t="inlineStr">
        <is>
          <t>14:00</t>
        </is>
      </c>
      <c r="E4" s="16" t="inlineStr">
        <is>
          <t>16:00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46218</v>
      </c>
      <c r="B2" s="16" t="inlineStr">
        <is>
          <t>Food</t>
        </is>
      </c>
      <c r="C2" s="16" t="inlineStr">
        <is>
          <t>Lunch at local restaurant</t>
        </is>
      </c>
      <c r="D2" s="17" t="n">
        <v>45</v>
      </c>
      <c r="E2" s="16" t="inlineStr">
        <is>
          <t>EUR</t>
        </is>
      </c>
    </row>
    <row r="3">
      <c r="A3" s="15" t="n">
        <v>46218</v>
      </c>
      <c r="B3" s="16" t="inlineStr">
        <is>
          <t>Transport</t>
        </is>
      </c>
      <c r="C3" s="16" t="inlineStr">
        <is>
          <t>Taxi ride</t>
        </is>
      </c>
      <c r="D3" s="17" t="n">
        <v>20</v>
      </c>
      <c r="E3" s="16" t="inlineStr">
        <is>
          <t>EUR</t>
        </is>
      </c>
    </row>
    <row r="4">
      <c r="A4" s="15" t="n">
        <v>46218</v>
      </c>
      <c r="B4" s="16" t="inlineStr">
        <is>
          <t>Entertainment</t>
        </is>
      </c>
      <c r="C4" s="16" t="inlineStr">
        <is>
          <t>Museum tickets</t>
        </is>
      </c>
      <c r="D4" s="17" t="n">
        <v>30</v>
      </c>
      <c r="E4" s="16" t="inlineStr">
        <is>
          <t>EUR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"Food,Transport,Accommodation,Entertainment,Shopping,Other"</formula1>
    </dataValidation>
    <dataValidation sqref="E2:E64" showDropDown="0" showInputMessage="0" showErrorMessage="0" allowBlank="1" type="list">
      <formula1>"EUR,USD,GBP"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Budget</t>
        </is>
      </c>
      <c r="C1" s="14" t="inlineStr">
        <is>
          <t>Actual Spend</t>
        </is>
      </c>
      <c r="D1" s="14" t="inlineStr">
        <is>
          <t>Difference</t>
        </is>
      </c>
    </row>
    <row r="2">
      <c r="A2" s="16" t="inlineStr">
        <is>
          <t>Food</t>
        </is>
      </c>
      <c r="B2" s="17" t="n">
        <v>200</v>
      </c>
      <c r="C2" s="17" t="n">
        <v>45</v>
      </c>
      <c r="D2" s="18">
        <f>C2-B2</f>
        <v/>
      </c>
    </row>
    <row r="3">
      <c r="A3" s="16" t="inlineStr">
        <is>
          <t>Transport</t>
        </is>
      </c>
      <c r="B3" s="17" t="n">
        <v>100</v>
      </c>
      <c r="C3" s="17" t="n">
        <v>20</v>
      </c>
      <c r="D3" s="18">
        <f>C3-B3</f>
        <v/>
      </c>
    </row>
    <row r="4">
      <c r="A4" s="16" t="inlineStr">
        <is>
          <t>Entertainment</t>
        </is>
      </c>
      <c r="B4" s="17" t="n">
        <v>150</v>
      </c>
      <c r="C4" s="17" t="n">
        <v>30</v>
      </c>
      <c r="D4" s="18">
        <f>C4-B4</f>
        <v/>
      </c>
    </row>
    <row r="5">
      <c r="A5" s="16" t="n"/>
      <c r="B5" s="17" t="n"/>
      <c r="C5" s="17" t="n"/>
      <c r="D5" s="18">
        <f>IF(A5="","",C5-B5)</f>
        <v/>
      </c>
    </row>
    <row r="6">
      <c r="A6" s="16" t="n"/>
      <c r="B6" s="17" t="n"/>
      <c r="C6" s="17" t="n"/>
      <c r="D6" s="18">
        <f>IF(A6="","",C6-B6)</f>
        <v/>
      </c>
    </row>
    <row r="7">
      <c r="A7" s="16" t="n"/>
      <c r="B7" s="17" t="n"/>
      <c r="C7" s="17" t="n"/>
      <c r="D7" s="18">
        <f>IF(A7="","",C7-B7)</f>
        <v/>
      </c>
    </row>
    <row r="8">
      <c r="A8" s="16" t="n"/>
      <c r="B8" s="17" t="n"/>
      <c r="C8" s="17" t="n"/>
      <c r="D8" s="18">
        <f>IF(A8="","",C8-B8)</f>
        <v/>
      </c>
    </row>
    <row r="9">
      <c r="A9" s="16" t="n"/>
      <c r="B9" s="17" t="n"/>
      <c r="C9" s="17" t="n"/>
      <c r="D9" s="18">
        <f>IF(A9="","",C9-B9)</f>
        <v/>
      </c>
    </row>
    <row r="10">
      <c r="A10" s="16" t="n"/>
      <c r="B10" s="17" t="n"/>
      <c r="C10" s="17" t="n"/>
      <c r="D10" s="18">
        <f>IF(A10="","",C10-B10)</f>
        <v/>
      </c>
    </row>
    <row r="11">
      <c r="A11" s="16" t="n"/>
      <c r="B11" s="17" t="n"/>
      <c r="C11" s="17" t="n"/>
      <c r="D11" s="18">
        <f>IF(A11="","",C11-B11)</f>
        <v/>
      </c>
    </row>
    <row r="12">
      <c r="A12" s="16" t="n"/>
      <c r="B12" s="17" t="n"/>
      <c r="C12" s="17" t="n"/>
      <c r="D12" s="18">
        <f>IF(A12="","",C12-B12)</f>
        <v/>
      </c>
    </row>
    <row r="13">
      <c r="A13" s="16" t="n"/>
      <c r="B13" s="17" t="n"/>
      <c r="C13" s="17" t="n"/>
      <c r="D13" s="18">
        <f>IF(A13="","",C13-B13)</f>
        <v/>
      </c>
    </row>
    <row r="14">
      <c r="A14" s="16" t="n"/>
      <c r="B14" s="17" t="n"/>
      <c r="C14" s="17" t="n"/>
      <c r="D14" s="18">
        <f>IF(A14="","",C14-B14)</f>
        <v/>
      </c>
    </row>
    <row r="15">
      <c r="A15" s="16" t="n"/>
      <c r="B15" s="17" t="n"/>
      <c r="C15" s="17" t="n"/>
      <c r="D15" s="18">
        <f>IF(A15="","",C15-B15)</f>
        <v/>
      </c>
    </row>
    <row r="16">
      <c r="A16" s="16" t="n"/>
      <c r="B16" s="17" t="n"/>
      <c r="C16" s="17" t="n"/>
      <c r="D16" s="18">
        <f>IF(A16="","",C16-B16)</f>
        <v/>
      </c>
    </row>
    <row r="17">
      <c r="A17" s="16" t="n"/>
      <c r="B17" s="17" t="n"/>
      <c r="C17" s="17" t="n"/>
      <c r="D17" s="18">
        <f>IF(A17="","",C17-B17)</f>
        <v/>
      </c>
    </row>
    <row r="18">
      <c r="A18" s="16" t="n"/>
      <c r="B18" s="17" t="n"/>
      <c r="C18" s="17" t="n"/>
      <c r="D18" s="18">
        <f>IF(A18="","",C18-B18)</f>
        <v/>
      </c>
    </row>
    <row r="19">
      <c r="A19" s="16" t="n"/>
      <c r="B19" s="17" t="n"/>
      <c r="C19" s="17" t="n"/>
      <c r="D19" s="18">
        <f>IF(A19="","",C19-B19)</f>
        <v/>
      </c>
    </row>
    <row r="20">
      <c r="A20" s="16" t="n"/>
      <c r="B20" s="17" t="n"/>
      <c r="C20" s="17" t="n"/>
      <c r="D20" s="18">
        <f>IF(A20="","",C20-B20)</f>
        <v/>
      </c>
    </row>
    <row r="21">
      <c r="A21" s="16" t="n"/>
      <c r="B21" s="17" t="n"/>
      <c r="C21" s="17" t="n"/>
      <c r="D21" s="18">
        <f>IF(A21="","",C21-B21)</f>
        <v/>
      </c>
    </row>
    <row r="22">
      <c r="A22" s="16" t="n"/>
      <c r="B22" s="17" t="n"/>
      <c r="C22" s="17" t="n"/>
      <c r="D22" s="18">
        <f>IF(A22="","",C22-B22)</f>
        <v/>
      </c>
    </row>
    <row r="23">
      <c r="A23" s="16" t="n"/>
      <c r="B23" s="17" t="n"/>
      <c r="C23" s="17" t="n"/>
      <c r="D23" s="18">
        <f>IF(A23="","",C23-B23)</f>
        <v/>
      </c>
    </row>
    <row r="24">
      <c r="A24" s="16" t="n"/>
      <c r="B24" s="17" t="n"/>
      <c r="C24" s="17" t="n"/>
      <c r="D24" s="18">
        <f>IF(A24="","",C24-B24)</f>
        <v/>
      </c>
    </row>
  </sheetData>
  <conditionalFormatting sqref="B2:B24">
    <cfRule type="cellIs" priority="1" operator="lessThan" dxfId="0">
      <formula>0</formula>
    </cfRule>
  </conditionalFormatting>
  <conditionalFormatting sqref="C2:C24">
    <cfRule type="cellIs" priority="2" operator="lessThan" dxfId="0">
      <formula>0</formula>
    </cfRule>
  </conditionalFormatting>
  <conditionalFormatting sqref="D2:D24">
    <cfRule type="cellIs" priority="3" operator="lessThan" dxfId="0">
      <formula>0</formula>
    </cfRule>
  </conditionalFormatting>
  <dataValidations count="1">
    <dataValidation sqref="A2:A24" showDropDown="0" showInputMessage="0" showErrorMessage="0" allowBlank="1" type="list">
      <formula1>"Food,Transport,Accommodation,Entertainment,Shopping,Other"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9" customWidth="1" min="3" max="3"/>
  </cols>
  <sheetData>
    <row r="1" ht="32" customHeight="1">
      <c r="A1" s="14" t="inlineStr">
        <is>
          <t>Total Planned Budget</t>
        </is>
      </c>
      <c r="B1" s="14" t="inlineStr">
        <is>
          <t>Total Actual Spend</t>
        </is>
      </c>
      <c r="C1" s="14" t="inlineStr">
        <is>
          <t>Total Difference</t>
        </is>
      </c>
    </row>
    <row r="2">
      <c r="A2" s="17" t="n"/>
      <c r="B2" s="17" t="n"/>
      <c r="C2" s="17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conditionalFormatting sqref="C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Travel Budget Planner &amp; Itinerary Tracker</dc:title>
  <dcterms:created xsi:type="dcterms:W3CDTF">2026-10-12T23:07:02Z</dcterms:created>
  <dcterms:modified xsi:type="dcterms:W3CDTF">2026-10-12T23:07:02Z</dcterms:modified>
</cp:coreProperties>
</file>