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Plan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du budget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131" displayName="T_Budget_2131" ref="A1:G59" headerRowCount="1">
  <autoFilter ref="A1:G59"/>
  <tableColumns count="7">
    <tableColumn id="1" name="Date"/>
    <tableColumn id="2" name="Catégorie"/>
    <tableColumn id="3" name="Fournisseur"/>
    <tableColumn id="4" name="Description"/>
    <tableColumn id="5" name="Montant prévu"/>
    <tableColumn id="6" name="Montant réel"/>
    <tableColumn id="7" name="Écart"/>
  </tableColumns>
  <tableStyleInfo name="TableStyleMedium7" showRowStripes="1"/>
</table>
</file>

<file path=xl/tables/table2.xml><?xml version="1.0" encoding="utf-8"?>
<table xmlns="http://schemas.openxmlformats.org/spreadsheetml/2006/main" id="2" name="T_Planning_3801" displayName="T_Planning_3801" ref="A1:F49" headerRowCount="1">
  <autoFilter ref="A1:F49"/>
  <tableColumns count="6">
    <tableColumn id="1" name="Date"/>
    <tableColumn id="2" name="Tâche"/>
    <tableColumn id="3" name="Responsable"/>
    <tableColumn id="4" name="Statut"/>
    <tableColumn id="5" name="Deadline"/>
    <tableColumn id="6" name="Jours restant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Planning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Mariage Professionnel &amp; Suivi des Dépenses</t>
        </is>
      </c>
    </row>
    <row r="3" ht="45" customHeight="1">
      <c r="C3" s="2" t="inlineStr">
        <is>
          <t>Gérez facilement le budget et les tâches de votre mariage avec ce tableau de bord complet et personnalisable. Suivez toutes les dépenses et deadlines en un clin d'œil.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Configurez votre budget global dans l'onglet Budget</t>
        </is>
      </c>
    </row>
    <row r="7" ht="18" customHeight="1">
      <c r="B7" s="4" t="inlineStr">
        <is>
          <t>2.</t>
        </is>
      </c>
      <c r="C7" s="5" t="inlineStr">
        <is>
          <t>Ajoutez tous vos fournisseurs avec leurs prestations</t>
        </is>
      </c>
    </row>
    <row r="8" ht="18" customHeight="1">
      <c r="B8" s="4" t="inlineStr">
        <is>
          <t>3.</t>
        </is>
      </c>
      <c r="C8" s="5" t="inlineStr">
        <is>
          <t>Saisissez chaque dépense au fur et à mesure</t>
        </is>
      </c>
    </row>
    <row r="9" ht="18" customHeight="1">
      <c r="B9" s="4" t="inlineStr">
        <is>
          <t>4.</t>
        </is>
      </c>
      <c r="C9" s="5" t="inlineStr">
        <is>
          <t>Suivez l'avancement des tâches dans le planning</t>
        </is>
      </c>
    </row>
    <row r="10" ht="18" customHeight="1">
      <c r="B10" s="4" t="inlineStr">
        <is>
          <t>5.</t>
        </is>
      </c>
      <c r="C10" s="5" t="inlineStr">
        <is>
          <t>Consultez le dashboard pour voir l'état global</t>
        </is>
      </c>
    </row>
    <row r="11" ht="18" customHeight="1">
      <c r="B11" s="4" t="inlineStr">
        <is>
          <t>6.</t>
        </is>
      </c>
      <c r="C11" s="5" t="inlineStr">
        <is>
          <t>Personnalisez les catégories si nécessaire</t>
        </is>
      </c>
    </row>
    <row r="12" ht="18" customHeight="1">
      <c r="B12" s="4" t="inlineStr">
        <is>
          <t>7.</t>
        </is>
      </c>
      <c r="C12" s="5" t="inlineStr">
        <is>
          <t>Exportez les données pour partager avec vos proches</t>
        </is>
      </c>
    </row>
    <row r="14">
      <c r="C14" s="6" t="inlineStr">
        <is>
          <t>Remplissez uniquement les cellules blanches – les colonnes vertes se calculent seules.</t>
        </is>
      </c>
    </row>
    <row r="16">
      <c r="C16" s="3" t="inlineStr">
        <is>
          <t>Aller à la feuille</t>
        </is>
      </c>
    </row>
    <row r="17">
      <c r="C17" s="7" t="inlineStr">
        <is>
          <t>→ Tableau de bord</t>
        </is>
      </c>
    </row>
    <row r="18">
      <c r="C18" s="7" t="inlineStr">
        <is>
          <t>→ Budget</t>
        </is>
      </c>
    </row>
    <row r="19">
      <c r="C19" s="7" t="inlineStr">
        <is>
          <t>→ Planning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Mariage Professionnel &amp; Suivi des Dépenses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 prévu</t>
        </is>
      </c>
      <c r="C5" s="12">
        <f>SUM('Budget'!E2:E300)</f>
        <v/>
      </c>
    </row>
    <row r="6" ht="24" customHeight="1">
      <c r="B6" s="11" t="inlineStr">
        <is>
          <t>Dépenses réelles</t>
        </is>
      </c>
      <c r="C6" s="12">
        <f>SUM('Budget'!F2:F300)</f>
        <v/>
      </c>
    </row>
    <row r="7" ht="24" customHeight="1">
      <c r="B7" s="11" t="inlineStr">
        <is>
          <t>Écart global</t>
        </is>
      </c>
      <c r="C7" s="12">
        <f>SUM('Budget'!E2:E300)-SUM('Budget'!F2:F300)</f>
        <v/>
      </c>
    </row>
    <row r="8" ht="24" customHeight="1">
      <c r="B8" s="11" t="inlineStr">
        <is>
          <t>Pourcentage dépensé</t>
        </is>
      </c>
      <c r="C8" s="13">
        <f>SUM('Budget'!F2:F300)/SUM('Budget'!E2:E300)</f>
        <v/>
      </c>
    </row>
    <row r="9" ht="24" customHeight="1">
      <c r="B9" s="11" t="inlineStr">
        <is>
          <t>Tâches terminées</t>
        </is>
      </c>
      <c r="C9" s="14">
        <f>COUNTIF('Planning'!D2:D300,"Terminé")</f>
        <v/>
      </c>
    </row>
    <row r="10" ht="24" customHeight="1">
      <c r="B10" s="11" t="inlineStr">
        <is>
          <t>Jours restants</t>
        </is>
      </c>
      <c r="C10" s="14">
        <f>MIN('Planning'!E2:E300)-TODAY()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21" customWidth="1" min="4" max="4"/>
    <col width="16" customWidth="1" min="5" max="5"/>
    <col width="15" customWidth="1" min="6" max="6"/>
    <col width="25" customWidth="1" min="7" max="7"/>
  </cols>
  <sheetData>
    <row r="1" ht="32" customHeight="1">
      <c r="A1" s="15" t="inlineStr">
        <is>
          <t>Date</t>
        </is>
      </c>
      <c r="B1" s="15" t="inlineStr">
        <is>
          <t>Catégorie</t>
        </is>
      </c>
      <c r="C1" s="15" t="inlineStr">
        <is>
          <t>Fournisseur</t>
        </is>
      </c>
      <c r="D1" s="15" t="inlineStr">
        <is>
          <t>Description</t>
        </is>
      </c>
      <c r="E1" s="15" t="inlineStr">
        <is>
          <t>Montant prévu</t>
        </is>
      </c>
      <c r="F1" s="15" t="inlineStr">
        <is>
          <t>Montant réel</t>
        </is>
      </c>
      <c r="G1" s="15" t="inlineStr">
        <is>
          <t>Écart</t>
        </is>
      </c>
    </row>
    <row r="2">
      <c r="A2" s="16" t="n">
        <v>46188</v>
      </c>
      <c r="B2" s="17" t="inlineStr">
        <is>
          <t>Traiteur</t>
        </is>
      </c>
      <c r="C2" s="17" t="inlineStr">
        <is>
          <t>Délices &amp; Co</t>
        </is>
      </c>
      <c r="D2" s="17" t="inlineStr">
        <is>
          <t>Repas 50 personnes</t>
        </is>
      </c>
      <c r="E2" s="18" t="n">
        <v>4500</v>
      </c>
      <c r="F2" s="18" t="n">
        <v>4750</v>
      </c>
      <c r="G2" s="19">
        <f>E2-F2</f>
        <v/>
      </c>
    </row>
    <row r="3">
      <c r="A3" s="16" t="n">
        <v>46162</v>
      </c>
      <c r="B3" s="17" t="inlineStr">
        <is>
          <t>Photographe</t>
        </is>
      </c>
      <c r="C3" s="17" t="inlineStr">
        <is>
          <t>Studio Lumières</t>
        </is>
      </c>
      <c r="D3" s="17" t="inlineStr">
        <is>
          <t>Forfait 8h</t>
        </is>
      </c>
      <c r="E3" s="18" t="n">
        <v>1800</v>
      </c>
      <c r="F3" s="18" t="n">
        <v>1800</v>
      </c>
      <c r="G3" s="19">
        <f>E3-F3</f>
        <v/>
      </c>
    </row>
    <row r="4">
      <c r="A4" s="16" t="n">
        <v>46122</v>
      </c>
      <c r="B4" s="17" t="inlineStr">
        <is>
          <t>Lieu</t>
        </is>
      </c>
      <c r="C4" s="17" t="inlineStr">
        <is>
          <t>Château BelleVue</t>
        </is>
      </c>
      <c r="D4" s="17" t="inlineStr">
        <is>
          <t>Location weekend</t>
        </is>
      </c>
      <c r="E4" s="18" t="n">
        <v>3200</v>
      </c>
      <c r="F4" s="18" t="n">
        <v>3200</v>
      </c>
      <c r="G4" s="19">
        <f>E4-F4</f>
        <v/>
      </c>
    </row>
    <row r="5">
      <c r="A5" s="16" t="n">
        <v>46081</v>
      </c>
      <c r="B5" s="17" t="inlineStr">
        <is>
          <t>Animation</t>
        </is>
      </c>
      <c r="C5" s="17" t="inlineStr">
        <is>
          <t>DJ Wedding</t>
        </is>
      </c>
      <c r="D5" s="17" t="inlineStr">
        <is>
          <t>Soirée 5h</t>
        </is>
      </c>
      <c r="E5" s="18" t="n">
        <v>800</v>
      </c>
      <c r="F5" s="18" t="inlineStr"/>
      <c r="G5" s="19">
        <f>E5-F5</f>
        <v/>
      </c>
    </row>
    <row r="6">
      <c r="A6" s="16" t="n">
        <v>46096</v>
      </c>
      <c r="B6" s="17" t="inlineStr">
        <is>
          <t>Robe</t>
        </is>
      </c>
      <c r="C6" s="17" t="inlineStr">
        <is>
          <t>Atelier de la Mariée</t>
        </is>
      </c>
      <c r="D6" s="17" t="inlineStr">
        <is>
          <t>Robe sur mesure</t>
        </is>
      </c>
      <c r="E6" s="18" t="n">
        <v>2500</v>
      </c>
      <c r="F6" s="18" t="n">
        <v>2300</v>
      </c>
      <c r="G6" s="19">
        <f>E6-F6</f>
        <v/>
      </c>
    </row>
    <row r="7">
      <c r="A7" s="16" t="n">
        <v>46052</v>
      </c>
      <c r="B7" s="17" t="inlineStr">
        <is>
          <t>Alliances</t>
        </is>
      </c>
      <c r="C7" s="17" t="inlineStr">
        <is>
          <t>Bijouterie du Cœur</t>
        </is>
      </c>
      <c r="D7" s="17" t="inlineStr">
        <is>
          <t>2 alliances or</t>
        </is>
      </c>
      <c r="E7" s="18" t="n">
        <v>1500</v>
      </c>
      <c r="F7" s="18" t="n">
        <v>1420</v>
      </c>
      <c r="G7" s="19">
        <f>E7-F7</f>
        <v/>
      </c>
    </row>
    <row r="8">
      <c r="A8" s="16" t="n">
        <v>46143</v>
      </c>
      <c r="B8" s="17" t="inlineStr">
        <is>
          <t>Décoration</t>
        </is>
      </c>
      <c r="C8" s="17" t="inlineStr">
        <is>
          <t>Fleurs &amp; Sens</t>
        </is>
      </c>
      <c r="D8" s="17" t="inlineStr">
        <is>
          <t>Décoration salle</t>
        </is>
      </c>
      <c r="E8" s="18" t="n">
        <v>1200</v>
      </c>
      <c r="F8" s="18" t="inlineStr"/>
      <c r="G8" s="19">
        <f>E8-F8</f>
        <v/>
      </c>
    </row>
    <row r="9">
      <c r="A9" s="16" t="n">
        <v>46174</v>
      </c>
      <c r="B9" s="17" t="inlineStr">
        <is>
          <t>Voiture</t>
        </is>
      </c>
      <c r="C9" s="17" t="inlineStr">
        <is>
          <t>Prestige Auto</t>
        </is>
      </c>
      <c r="D9" s="17" t="inlineStr">
        <is>
          <t>2 voitures 6h</t>
        </is>
      </c>
      <c r="E9" s="18" t="n">
        <v>600</v>
      </c>
      <c r="F9" s="18" t="n">
        <v>600</v>
      </c>
      <c r="G9" s="19">
        <f>E9-F9</f>
        <v/>
      </c>
    </row>
    <row r="10">
      <c r="A10" s="16" t="n"/>
      <c r="B10" s="17" t="n"/>
      <c r="C10" s="17" t="n"/>
      <c r="D10" s="17" t="n"/>
      <c r="E10" s="18" t="n"/>
      <c r="F10" s="18" t="n"/>
      <c r="G10" s="19">
        <f>IF(A10="","",E10-F10)</f>
        <v/>
      </c>
    </row>
    <row r="11">
      <c r="A11" s="16" t="n"/>
      <c r="B11" s="17" t="n"/>
      <c r="C11" s="17" t="n"/>
      <c r="D11" s="17" t="n"/>
      <c r="E11" s="18" t="n"/>
      <c r="F11" s="18" t="n"/>
      <c r="G11" s="19">
        <f>IF(A11="","",E11-F11)</f>
        <v/>
      </c>
    </row>
    <row r="12">
      <c r="A12" s="16" t="n"/>
      <c r="B12" s="17" t="n"/>
      <c r="C12" s="17" t="n"/>
      <c r="D12" s="17" t="n"/>
      <c r="E12" s="18" t="n"/>
      <c r="F12" s="18" t="n"/>
      <c r="G12" s="19">
        <f>IF(A12="","",E12-F12)</f>
        <v/>
      </c>
    </row>
    <row r="13">
      <c r="A13" s="16" t="n"/>
      <c r="B13" s="17" t="n"/>
      <c r="C13" s="17" t="n"/>
      <c r="D13" s="17" t="n"/>
      <c r="E13" s="18" t="n"/>
      <c r="F13" s="18" t="n"/>
      <c r="G13" s="19">
        <f>IF(A13="","",E13-F13)</f>
        <v/>
      </c>
    </row>
    <row r="14">
      <c r="A14" s="16" t="n"/>
      <c r="B14" s="17" t="n"/>
      <c r="C14" s="17" t="n"/>
      <c r="D14" s="17" t="n"/>
      <c r="E14" s="18" t="n"/>
      <c r="F14" s="18" t="n"/>
      <c r="G14" s="19">
        <f>IF(A14="","",E14-F14)</f>
        <v/>
      </c>
    </row>
    <row r="15">
      <c r="A15" s="16" t="n"/>
      <c r="B15" s="17" t="n"/>
      <c r="C15" s="17" t="n"/>
      <c r="D15" s="17" t="n"/>
      <c r="E15" s="18" t="n"/>
      <c r="F15" s="18" t="n"/>
      <c r="G15" s="19">
        <f>IF(A15="","",E15-F15)</f>
        <v/>
      </c>
    </row>
    <row r="16">
      <c r="A16" s="16" t="n"/>
      <c r="B16" s="17" t="n"/>
      <c r="C16" s="17" t="n"/>
      <c r="D16" s="17" t="n"/>
      <c r="E16" s="18" t="n"/>
      <c r="F16" s="18" t="n"/>
      <c r="G16" s="19">
        <f>IF(A16="","",E16-F16)</f>
        <v/>
      </c>
    </row>
    <row r="17">
      <c r="A17" s="16" t="n"/>
      <c r="B17" s="17" t="n"/>
      <c r="C17" s="17" t="n"/>
      <c r="D17" s="17" t="n"/>
      <c r="E17" s="18" t="n"/>
      <c r="F17" s="18" t="n"/>
      <c r="G17" s="19">
        <f>IF(A17="","",E17-F17)</f>
        <v/>
      </c>
    </row>
    <row r="18">
      <c r="A18" s="16" t="n"/>
      <c r="B18" s="17" t="n"/>
      <c r="C18" s="17" t="n"/>
      <c r="D18" s="17" t="n"/>
      <c r="E18" s="18" t="n"/>
      <c r="F18" s="18" t="n"/>
      <c r="G18" s="19">
        <f>IF(A18="","",E18-F18)</f>
        <v/>
      </c>
    </row>
    <row r="19">
      <c r="A19" s="16" t="n"/>
      <c r="B19" s="17" t="n"/>
      <c r="C19" s="17" t="n"/>
      <c r="D19" s="17" t="n"/>
      <c r="E19" s="18" t="n"/>
      <c r="F19" s="18" t="n"/>
      <c r="G19" s="19">
        <f>IF(A19="","",E19-F19)</f>
        <v/>
      </c>
    </row>
    <row r="20">
      <c r="A20" s="16" t="n"/>
      <c r="B20" s="17" t="n"/>
      <c r="C20" s="17" t="n"/>
      <c r="D20" s="17" t="n"/>
      <c r="E20" s="18" t="n"/>
      <c r="F20" s="18" t="n"/>
      <c r="G20" s="19">
        <f>IF(A20="","",E20-F20)</f>
        <v/>
      </c>
    </row>
    <row r="21">
      <c r="A21" s="16" t="n"/>
      <c r="B21" s="17" t="n"/>
      <c r="C21" s="17" t="n"/>
      <c r="D21" s="17" t="n"/>
      <c r="E21" s="18" t="n"/>
      <c r="F21" s="18" t="n"/>
      <c r="G21" s="19">
        <f>IF(A21="","",E21-F21)</f>
        <v/>
      </c>
    </row>
    <row r="22">
      <c r="A22" s="16" t="n"/>
      <c r="B22" s="17" t="n"/>
      <c r="C22" s="17" t="n"/>
      <c r="D22" s="17" t="n"/>
      <c r="E22" s="18" t="n"/>
      <c r="F22" s="18" t="n"/>
      <c r="G22" s="19">
        <f>IF(A22="","",E22-F22)</f>
        <v/>
      </c>
    </row>
    <row r="23">
      <c r="A23" s="16" t="n"/>
      <c r="B23" s="17" t="n"/>
      <c r="C23" s="17" t="n"/>
      <c r="D23" s="17" t="n"/>
      <c r="E23" s="18" t="n"/>
      <c r="F23" s="18" t="n"/>
      <c r="G23" s="19">
        <f>IF(A23="","",E23-F23)</f>
        <v/>
      </c>
    </row>
    <row r="24">
      <c r="A24" s="16" t="n"/>
      <c r="B24" s="17" t="n"/>
      <c r="C24" s="17" t="n"/>
      <c r="D24" s="17" t="n"/>
      <c r="E24" s="18" t="n"/>
      <c r="F24" s="18" t="n"/>
      <c r="G24" s="19">
        <f>IF(A24="","",E24-F24)</f>
        <v/>
      </c>
    </row>
    <row r="25">
      <c r="A25" s="16" t="n"/>
      <c r="B25" s="17" t="n"/>
      <c r="C25" s="17" t="n"/>
      <c r="D25" s="17" t="n"/>
      <c r="E25" s="18" t="n"/>
      <c r="F25" s="18" t="n"/>
      <c r="G25" s="19">
        <f>IF(A25="","",E25-F25)</f>
        <v/>
      </c>
    </row>
    <row r="26">
      <c r="A26" s="16" t="n"/>
      <c r="B26" s="17" t="n"/>
      <c r="C26" s="17" t="n"/>
      <c r="D26" s="17" t="n"/>
      <c r="E26" s="18" t="n"/>
      <c r="F26" s="18" t="n"/>
      <c r="G26" s="19">
        <f>IF(A26="","",E26-F26)</f>
        <v/>
      </c>
    </row>
    <row r="27">
      <c r="A27" s="16" t="n"/>
      <c r="B27" s="17" t="n"/>
      <c r="C27" s="17" t="n"/>
      <c r="D27" s="17" t="n"/>
      <c r="E27" s="18" t="n"/>
      <c r="F27" s="18" t="n"/>
      <c r="G27" s="19">
        <f>IF(A27="","",E27-F27)</f>
        <v/>
      </c>
    </row>
    <row r="28">
      <c r="A28" s="16" t="n"/>
      <c r="B28" s="17" t="n"/>
      <c r="C28" s="17" t="n"/>
      <c r="D28" s="17" t="n"/>
      <c r="E28" s="18" t="n"/>
      <c r="F28" s="18" t="n"/>
      <c r="G28" s="19">
        <f>IF(A28="","",E28-F28)</f>
        <v/>
      </c>
    </row>
    <row r="29">
      <c r="A29" s="16" t="n"/>
      <c r="B29" s="17" t="n"/>
      <c r="C29" s="17" t="n"/>
      <c r="D29" s="17" t="n"/>
      <c r="E29" s="18" t="n"/>
      <c r="F29" s="18" t="n"/>
      <c r="G29" s="19">
        <f>IF(A29="","",E29-F29)</f>
        <v/>
      </c>
    </row>
    <row r="30">
      <c r="A30" s="16" t="n"/>
      <c r="B30" s="17" t="n"/>
      <c r="C30" s="17" t="n"/>
      <c r="D30" s="17" t="n"/>
      <c r="E30" s="18" t="n"/>
      <c r="F30" s="18" t="n"/>
      <c r="G30" s="19">
        <f>IF(A30="","",E30-F30)</f>
        <v/>
      </c>
    </row>
    <row r="31">
      <c r="A31" s="16" t="n"/>
      <c r="B31" s="17" t="n"/>
      <c r="C31" s="17" t="n"/>
      <c r="D31" s="17" t="n"/>
      <c r="E31" s="18" t="n"/>
      <c r="F31" s="18" t="n"/>
      <c r="G31" s="19">
        <f>IF(A31="","",E31-F31)</f>
        <v/>
      </c>
    </row>
    <row r="32">
      <c r="A32" s="16" t="n"/>
      <c r="B32" s="17" t="n"/>
      <c r="C32" s="17" t="n"/>
      <c r="D32" s="17" t="n"/>
      <c r="E32" s="18" t="n"/>
      <c r="F32" s="18" t="n"/>
      <c r="G32" s="19">
        <f>IF(A32="","",E32-F32)</f>
        <v/>
      </c>
    </row>
    <row r="33">
      <c r="A33" s="16" t="n"/>
      <c r="B33" s="17" t="n"/>
      <c r="C33" s="17" t="n"/>
      <c r="D33" s="17" t="n"/>
      <c r="E33" s="18" t="n"/>
      <c r="F33" s="18" t="n"/>
      <c r="G33" s="19">
        <f>IF(A33="","",E33-F33)</f>
        <v/>
      </c>
    </row>
    <row r="34">
      <c r="A34" s="16" t="n"/>
      <c r="B34" s="17" t="n"/>
      <c r="C34" s="17" t="n"/>
      <c r="D34" s="17" t="n"/>
      <c r="E34" s="18" t="n"/>
      <c r="F34" s="18" t="n"/>
      <c r="G34" s="19">
        <f>IF(A34="","",E34-F34)</f>
        <v/>
      </c>
    </row>
    <row r="35">
      <c r="A35" s="16" t="n"/>
      <c r="B35" s="17" t="n"/>
      <c r="C35" s="17" t="n"/>
      <c r="D35" s="17" t="n"/>
      <c r="E35" s="18" t="n"/>
      <c r="F35" s="18" t="n"/>
      <c r="G35" s="19">
        <f>IF(A35="","",E35-F35)</f>
        <v/>
      </c>
    </row>
    <row r="36">
      <c r="A36" s="16" t="n"/>
      <c r="B36" s="17" t="n"/>
      <c r="C36" s="17" t="n"/>
      <c r="D36" s="17" t="n"/>
      <c r="E36" s="18" t="n"/>
      <c r="F36" s="18" t="n"/>
      <c r="G36" s="19">
        <f>IF(A36="","",E36-F36)</f>
        <v/>
      </c>
    </row>
    <row r="37">
      <c r="A37" s="16" t="n"/>
      <c r="B37" s="17" t="n"/>
      <c r="C37" s="17" t="n"/>
      <c r="D37" s="17" t="n"/>
      <c r="E37" s="18" t="n"/>
      <c r="F37" s="18" t="n"/>
      <c r="G37" s="19">
        <f>IF(A37="","",E37-F37)</f>
        <v/>
      </c>
    </row>
    <row r="38">
      <c r="A38" s="16" t="n"/>
      <c r="B38" s="17" t="n"/>
      <c r="C38" s="17" t="n"/>
      <c r="D38" s="17" t="n"/>
      <c r="E38" s="18" t="n"/>
      <c r="F38" s="18" t="n"/>
      <c r="G38" s="19">
        <f>IF(A38="","",E38-F38)</f>
        <v/>
      </c>
    </row>
    <row r="39">
      <c r="A39" s="16" t="n"/>
      <c r="B39" s="17" t="n"/>
      <c r="C39" s="17" t="n"/>
      <c r="D39" s="17" t="n"/>
      <c r="E39" s="18" t="n"/>
      <c r="F39" s="18" t="n"/>
      <c r="G39" s="19">
        <f>IF(A39="","",E39-F39)</f>
        <v/>
      </c>
    </row>
    <row r="40">
      <c r="A40" s="16" t="n"/>
      <c r="B40" s="17" t="n"/>
      <c r="C40" s="17" t="n"/>
      <c r="D40" s="17" t="n"/>
      <c r="E40" s="18" t="n"/>
      <c r="F40" s="18" t="n"/>
      <c r="G40" s="19">
        <f>IF(A40="","",E40-F40)</f>
        <v/>
      </c>
    </row>
    <row r="41">
      <c r="A41" s="16" t="n"/>
      <c r="B41" s="17" t="n"/>
      <c r="C41" s="17" t="n"/>
      <c r="D41" s="17" t="n"/>
      <c r="E41" s="18" t="n"/>
      <c r="F41" s="18" t="n"/>
      <c r="G41" s="19">
        <f>IF(A41="","",E41-F41)</f>
        <v/>
      </c>
    </row>
    <row r="42">
      <c r="A42" s="16" t="n"/>
      <c r="B42" s="17" t="n"/>
      <c r="C42" s="17" t="n"/>
      <c r="D42" s="17" t="n"/>
      <c r="E42" s="18" t="n"/>
      <c r="F42" s="18" t="n"/>
      <c r="G42" s="19">
        <f>IF(A42="","",E42-F42)</f>
        <v/>
      </c>
    </row>
    <row r="43">
      <c r="A43" s="16" t="n"/>
      <c r="B43" s="17" t="n"/>
      <c r="C43" s="17" t="n"/>
      <c r="D43" s="17" t="n"/>
      <c r="E43" s="18" t="n"/>
      <c r="F43" s="18" t="n"/>
      <c r="G43" s="19">
        <f>IF(A43="","",E43-F43)</f>
        <v/>
      </c>
    </row>
    <row r="44">
      <c r="A44" s="16" t="n"/>
      <c r="B44" s="17" t="n"/>
      <c r="C44" s="17" t="n"/>
      <c r="D44" s="17" t="n"/>
      <c r="E44" s="18" t="n"/>
      <c r="F44" s="18" t="n"/>
      <c r="G44" s="19">
        <f>IF(A44="","",E44-F44)</f>
        <v/>
      </c>
    </row>
    <row r="45">
      <c r="A45" s="16" t="n"/>
      <c r="B45" s="17" t="n"/>
      <c r="C45" s="17" t="n"/>
      <c r="D45" s="17" t="n"/>
      <c r="E45" s="18" t="n"/>
      <c r="F45" s="18" t="n"/>
      <c r="G45" s="19">
        <f>IF(A45="","",E45-F45)</f>
        <v/>
      </c>
    </row>
    <row r="46">
      <c r="A46" s="16" t="n"/>
      <c r="B46" s="17" t="n"/>
      <c r="C46" s="17" t="n"/>
      <c r="D46" s="17" t="n"/>
      <c r="E46" s="18" t="n"/>
      <c r="F46" s="18" t="n"/>
      <c r="G46" s="19">
        <f>IF(A46="","",E46-F46)</f>
        <v/>
      </c>
    </row>
    <row r="47">
      <c r="A47" s="16" t="n"/>
      <c r="B47" s="17" t="n"/>
      <c r="C47" s="17" t="n"/>
      <c r="D47" s="17" t="n"/>
      <c r="E47" s="18" t="n"/>
      <c r="F47" s="18" t="n"/>
      <c r="G47" s="19">
        <f>IF(A47="","",E47-F47)</f>
        <v/>
      </c>
    </row>
    <row r="48">
      <c r="A48" s="16" t="n"/>
      <c r="B48" s="17" t="n"/>
      <c r="C48" s="17" t="n"/>
      <c r="D48" s="17" t="n"/>
      <c r="E48" s="18" t="n"/>
      <c r="F48" s="18" t="n"/>
      <c r="G48" s="19">
        <f>IF(A48="","",E48-F48)</f>
        <v/>
      </c>
    </row>
    <row r="49">
      <c r="A49" s="16" t="n"/>
      <c r="B49" s="17" t="n"/>
      <c r="C49" s="17" t="n"/>
      <c r="D49" s="17" t="n"/>
      <c r="E49" s="18" t="n"/>
      <c r="F49" s="18" t="n"/>
      <c r="G49" s="19">
        <f>IF(A49="","",E49-F49)</f>
        <v/>
      </c>
    </row>
    <row r="50">
      <c r="A50" s="16" t="n"/>
      <c r="B50" s="17" t="n"/>
      <c r="C50" s="17" t="n"/>
      <c r="D50" s="17" t="n"/>
      <c r="E50" s="18" t="n"/>
      <c r="F50" s="18" t="n"/>
      <c r="G50" s="19">
        <f>IF(A50="","",E50-F50)</f>
        <v/>
      </c>
    </row>
    <row r="51">
      <c r="A51" s="16" t="n"/>
      <c r="B51" s="17" t="n"/>
      <c r="C51" s="17" t="n"/>
      <c r="D51" s="17" t="n"/>
      <c r="E51" s="18" t="n"/>
      <c r="F51" s="18" t="n"/>
      <c r="G51" s="19">
        <f>IF(A51="","",E51-F51)</f>
        <v/>
      </c>
    </row>
    <row r="52">
      <c r="A52" s="16" t="n"/>
      <c r="B52" s="17" t="n"/>
      <c r="C52" s="17" t="n"/>
      <c r="D52" s="17" t="n"/>
      <c r="E52" s="18" t="n"/>
      <c r="F52" s="18" t="n"/>
      <c r="G52" s="19">
        <f>IF(A52="","",E52-F52)</f>
        <v/>
      </c>
    </row>
    <row r="53">
      <c r="A53" s="16" t="n"/>
      <c r="B53" s="17" t="n"/>
      <c r="C53" s="17" t="n"/>
      <c r="D53" s="17" t="n"/>
      <c r="E53" s="18" t="n"/>
      <c r="F53" s="18" t="n"/>
      <c r="G53" s="19">
        <f>IF(A53="","",E53-F53)</f>
        <v/>
      </c>
    </row>
    <row r="54">
      <c r="A54" s="16" t="n"/>
      <c r="B54" s="17" t="n"/>
      <c r="C54" s="17" t="n"/>
      <c r="D54" s="17" t="n"/>
      <c r="E54" s="18" t="n"/>
      <c r="F54" s="18" t="n"/>
      <c r="G54" s="19">
        <f>IF(A54="","",E54-F54)</f>
        <v/>
      </c>
    </row>
    <row r="55">
      <c r="A55" s="16" t="n"/>
      <c r="B55" s="17" t="n"/>
      <c r="C55" s="17" t="n"/>
      <c r="D55" s="17" t="n"/>
      <c r="E55" s="18" t="n"/>
      <c r="F55" s="18" t="n"/>
      <c r="G55" s="19">
        <f>IF(A55="","",E55-F55)</f>
        <v/>
      </c>
    </row>
    <row r="56">
      <c r="A56" s="16" t="n"/>
      <c r="B56" s="17" t="n"/>
      <c r="C56" s="17" t="n"/>
      <c r="D56" s="17" t="n"/>
      <c r="E56" s="18" t="n"/>
      <c r="F56" s="18" t="n"/>
      <c r="G56" s="19">
        <f>IF(A56="","",E56-F56)</f>
        <v/>
      </c>
    </row>
    <row r="57">
      <c r="A57" s="16" t="n"/>
      <c r="B57" s="17" t="n"/>
      <c r="C57" s="17" t="n"/>
      <c r="D57" s="17" t="n"/>
      <c r="E57" s="18" t="n"/>
      <c r="F57" s="18" t="n"/>
      <c r="G57" s="19">
        <f>IF(A57="","",E57-F57)</f>
        <v/>
      </c>
    </row>
    <row r="58">
      <c r="A58" s="16" t="n"/>
      <c r="B58" s="17" t="n"/>
      <c r="C58" s="17" t="n"/>
      <c r="D58" s="17" t="n"/>
      <c r="E58" s="18" t="n"/>
      <c r="F58" s="18" t="n"/>
      <c r="G58" s="19">
        <f>IF(A58="","",E58-F58)</f>
        <v/>
      </c>
    </row>
    <row r="59">
      <c r="A59" s="16" t="n"/>
      <c r="B59" s="17" t="n"/>
      <c r="C59" s="17" t="n"/>
      <c r="D59" s="17" t="n"/>
      <c r="E59" s="18" t="n"/>
      <c r="F59" s="18" t="n"/>
      <c r="G59" s="19">
        <f>IF(A59="","",E59-F59)</f>
        <v/>
      </c>
    </row>
  </sheetData>
  <conditionalFormatting sqref="E2:E59">
    <cfRule type="cellIs" priority="1" operator="lessThan" dxfId="0">
      <formula>0</formula>
    </cfRule>
  </conditionalFormatting>
  <conditionalFormatting sqref="F2:F59">
    <cfRule type="cellIs" priority="2" operator="lessThan" dxfId="0">
      <formula>0</formula>
    </cfRule>
  </conditionalFormatting>
  <conditionalFormatting sqref="G2:G59">
    <cfRule type="cellIs" priority="3" operator="lessThan" dxfId="0">
      <formula>0</formula>
    </cfRule>
  </conditionalFormatting>
  <dataValidations count="1">
    <dataValidation sqref="B2:B59" showDropDown="0" showInputMessage="0" showErrorMessage="0" allowBlank="1" type="list">
      <formula1>"Traiteur,Lieu,Photographe,Animation,Robe,Alliances,Décoration,Voiture,Cérémonie,Hébergement,Divers"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4" customWidth="1" min="3" max="3"/>
    <col width="12" customWidth="1" min="4" max="4"/>
    <col width="13" customWidth="1" min="5" max="5"/>
    <col width="29" customWidth="1" min="6" max="6"/>
  </cols>
  <sheetData>
    <row r="1" ht="32" customHeight="1">
      <c r="A1" s="15" t="inlineStr">
        <is>
          <t>Date</t>
        </is>
      </c>
      <c r="B1" s="15" t="inlineStr">
        <is>
          <t>Tâche</t>
        </is>
      </c>
      <c r="C1" s="15" t="inlineStr">
        <is>
          <t>Responsable</t>
        </is>
      </c>
      <c r="D1" s="15" t="inlineStr">
        <is>
          <t>Statut</t>
        </is>
      </c>
      <c r="E1" s="15" t="inlineStr">
        <is>
          <t>Deadline</t>
        </is>
      </c>
      <c r="F1" s="15" t="inlineStr">
        <is>
          <t>Jours restants</t>
        </is>
      </c>
    </row>
    <row r="2">
      <c r="A2" s="16" t="n">
        <v>46037</v>
      </c>
      <c r="B2" s="17" t="inlineStr">
        <is>
          <t>Réserver lieu</t>
        </is>
      </c>
      <c r="C2" s="17" t="inlineStr">
        <is>
          <t>Marie</t>
        </is>
      </c>
      <c r="D2" s="17" t="inlineStr">
        <is>
          <t>Terminé</t>
        </is>
      </c>
      <c r="E2" s="16" t="n">
        <v>46068</v>
      </c>
      <c r="F2" s="20">
        <f>E2-TODAY()</f>
        <v/>
      </c>
    </row>
    <row r="3">
      <c r="A3" s="16" t="n">
        <v>46054</v>
      </c>
      <c r="B3" s="17" t="inlineStr">
        <is>
          <t>Choisir traiteur</t>
        </is>
      </c>
      <c r="C3" s="17" t="inlineStr">
        <is>
          <t>Pierre</t>
        </is>
      </c>
      <c r="D3" s="17" t="inlineStr">
        <is>
          <t>En cours</t>
        </is>
      </c>
      <c r="E3" s="16" t="n">
        <v>46082</v>
      </c>
      <c r="F3" s="20">
        <f>E3-TODAY()</f>
        <v/>
      </c>
    </row>
    <row r="4">
      <c r="A4" s="16" t="n">
        <v>46073</v>
      </c>
      <c r="B4" s="17" t="inlineStr">
        <is>
          <t>Commander alliances</t>
        </is>
      </c>
      <c r="C4" s="17" t="inlineStr">
        <is>
          <t>Pierre</t>
        </is>
      </c>
      <c r="D4" s="17" t="inlineStr">
        <is>
          <t>A faire</t>
        </is>
      </c>
      <c r="E4" s="16" t="n">
        <v>46096</v>
      </c>
      <c r="F4" s="20">
        <f>E4-TODAY()</f>
        <v/>
      </c>
    </row>
    <row r="5">
      <c r="A5" s="16" t="n">
        <v>46091</v>
      </c>
      <c r="B5" s="17" t="inlineStr">
        <is>
          <t>Essayer robes</t>
        </is>
      </c>
      <c r="C5" s="17" t="inlineStr">
        <is>
          <t>Marie</t>
        </is>
      </c>
      <c r="D5" s="17" t="inlineStr">
        <is>
          <t>En cours</t>
        </is>
      </c>
      <c r="E5" s="16" t="n">
        <v>46122</v>
      </c>
      <c r="F5" s="20">
        <f>E5-TODAY()</f>
        <v/>
      </c>
    </row>
    <row r="6">
      <c r="A6" s="16" t="n">
        <v>46113</v>
      </c>
      <c r="B6" s="17" t="inlineStr">
        <is>
          <t>Envoyer faire-part</t>
        </is>
      </c>
      <c r="C6" s="17" t="inlineStr">
        <is>
          <t>Tous</t>
        </is>
      </c>
      <c r="D6" s="17" t="inlineStr">
        <is>
          <t>A faire</t>
        </is>
      </c>
      <c r="E6" s="16" t="n">
        <v>46143</v>
      </c>
      <c r="F6" s="20">
        <f>E6-TODAY()</f>
        <v/>
      </c>
    </row>
    <row r="7">
      <c r="A7" s="16" t="n">
        <v>46157</v>
      </c>
      <c r="B7" s="17" t="inlineStr">
        <is>
          <t>Réception robe</t>
        </is>
      </c>
      <c r="C7" s="17" t="inlineStr">
        <is>
          <t>Marie</t>
        </is>
      </c>
      <c r="D7" s="17" t="inlineStr">
        <is>
          <t>A faire</t>
        </is>
      </c>
      <c r="E7" s="16" t="n">
        <v>46174</v>
      </c>
      <c r="F7" s="20">
        <f>E7-TODAY()</f>
        <v/>
      </c>
    </row>
    <row r="8">
      <c r="A8" s="16" t="n">
        <v>46172</v>
      </c>
      <c r="B8" s="17" t="inlineStr">
        <is>
          <t>Confirmation fournisseurs</t>
        </is>
      </c>
      <c r="C8" s="17" t="inlineStr">
        <is>
          <t>Pierre</t>
        </is>
      </c>
      <c r="D8" s="17" t="inlineStr">
        <is>
          <t>A faire</t>
        </is>
      </c>
      <c r="E8" s="16" t="n">
        <v>46183</v>
      </c>
      <c r="F8" s="20">
        <f>E8-TODAY()</f>
        <v/>
      </c>
    </row>
    <row r="9">
      <c r="A9" s="16" t="n">
        <v>46185</v>
      </c>
      <c r="B9" s="17" t="inlineStr">
        <is>
          <t>Dernier point organisation</t>
        </is>
      </c>
      <c r="C9" s="17" t="inlineStr">
        <is>
          <t>Tous</t>
        </is>
      </c>
      <c r="D9" s="17" t="inlineStr">
        <is>
          <t>A faire</t>
        </is>
      </c>
      <c r="E9" s="16" t="n">
        <v>46193</v>
      </c>
      <c r="F9" s="20">
        <f>E9-TODAY()</f>
        <v/>
      </c>
    </row>
    <row r="10">
      <c r="A10" s="16" t="n"/>
      <c r="B10" s="17" t="n"/>
      <c r="C10" s="17" t="n"/>
      <c r="D10" s="17" t="n"/>
      <c r="E10" s="16" t="n"/>
      <c r="F10" s="20">
        <f>IF(A10="","",E10-TODAY())</f>
        <v/>
      </c>
    </row>
    <row r="11">
      <c r="A11" s="16" t="n"/>
      <c r="B11" s="17" t="n"/>
      <c r="C11" s="17" t="n"/>
      <c r="D11" s="17" t="n"/>
      <c r="E11" s="16" t="n"/>
      <c r="F11" s="20">
        <f>IF(A11="","",E11-TODAY())</f>
        <v/>
      </c>
    </row>
    <row r="12">
      <c r="A12" s="16" t="n"/>
      <c r="B12" s="17" t="n"/>
      <c r="C12" s="17" t="n"/>
      <c r="D12" s="17" t="n"/>
      <c r="E12" s="16" t="n"/>
      <c r="F12" s="20">
        <f>IF(A12="","",E12-TODAY())</f>
        <v/>
      </c>
    </row>
    <row r="13">
      <c r="A13" s="16" t="n"/>
      <c r="B13" s="17" t="n"/>
      <c r="C13" s="17" t="n"/>
      <c r="D13" s="17" t="n"/>
      <c r="E13" s="16" t="n"/>
      <c r="F13" s="20">
        <f>IF(A13="","",E13-TODAY())</f>
        <v/>
      </c>
    </row>
    <row r="14">
      <c r="A14" s="16" t="n"/>
      <c r="B14" s="17" t="n"/>
      <c r="C14" s="17" t="n"/>
      <c r="D14" s="17" t="n"/>
      <c r="E14" s="16" t="n"/>
      <c r="F14" s="20">
        <f>IF(A14="","",E14-TODAY())</f>
        <v/>
      </c>
    </row>
    <row r="15">
      <c r="A15" s="16" t="n"/>
      <c r="B15" s="17" t="n"/>
      <c r="C15" s="17" t="n"/>
      <c r="D15" s="17" t="n"/>
      <c r="E15" s="16" t="n"/>
      <c r="F15" s="20">
        <f>IF(A15="","",E15-TODAY())</f>
        <v/>
      </c>
    </row>
    <row r="16">
      <c r="A16" s="16" t="n"/>
      <c r="B16" s="17" t="n"/>
      <c r="C16" s="17" t="n"/>
      <c r="D16" s="17" t="n"/>
      <c r="E16" s="16" t="n"/>
      <c r="F16" s="20">
        <f>IF(A16="","",E16-TODAY())</f>
        <v/>
      </c>
    </row>
    <row r="17">
      <c r="A17" s="16" t="n"/>
      <c r="B17" s="17" t="n"/>
      <c r="C17" s="17" t="n"/>
      <c r="D17" s="17" t="n"/>
      <c r="E17" s="16" t="n"/>
      <c r="F17" s="20">
        <f>IF(A17="","",E17-TODAY())</f>
        <v/>
      </c>
    </row>
    <row r="18">
      <c r="A18" s="16" t="n"/>
      <c r="B18" s="17" t="n"/>
      <c r="C18" s="17" t="n"/>
      <c r="D18" s="17" t="n"/>
      <c r="E18" s="16" t="n"/>
      <c r="F18" s="20">
        <f>IF(A18="","",E18-TODAY())</f>
        <v/>
      </c>
    </row>
    <row r="19">
      <c r="A19" s="16" t="n"/>
      <c r="B19" s="17" t="n"/>
      <c r="C19" s="17" t="n"/>
      <c r="D19" s="17" t="n"/>
      <c r="E19" s="16" t="n"/>
      <c r="F19" s="20">
        <f>IF(A19="","",E19-TODAY())</f>
        <v/>
      </c>
    </row>
    <row r="20">
      <c r="A20" s="16" t="n"/>
      <c r="B20" s="17" t="n"/>
      <c r="C20" s="17" t="n"/>
      <c r="D20" s="17" t="n"/>
      <c r="E20" s="16" t="n"/>
      <c r="F20" s="20">
        <f>IF(A20="","",E20-TODAY())</f>
        <v/>
      </c>
    </row>
    <row r="21">
      <c r="A21" s="16" t="n"/>
      <c r="B21" s="17" t="n"/>
      <c r="C21" s="17" t="n"/>
      <c r="D21" s="17" t="n"/>
      <c r="E21" s="16" t="n"/>
      <c r="F21" s="20">
        <f>IF(A21="","",E21-TODAY())</f>
        <v/>
      </c>
    </row>
    <row r="22">
      <c r="A22" s="16" t="n"/>
      <c r="B22" s="17" t="n"/>
      <c r="C22" s="17" t="n"/>
      <c r="D22" s="17" t="n"/>
      <c r="E22" s="16" t="n"/>
      <c r="F22" s="20">
        <f>IF(A22="","",E22-TODAY())</f>
        <v/>
      </c>
    </row>
    <row r="23">
      <c r="A23" s="16" t="n"/>
      <c r="B23" s="17" t="n"/>
      <c r="C23" s="17" t="n"/>
      <c r="D23" s="17" t="n"/>
      <c r="E23" s="16" t="n"/>
      <c r="F23" s="20">
        <f>IF(A23="","",E23-TODAY())</f>
        <v/>
      </c>
    </row>
    <row r="24">
      <c r="A24" s="16" t="n"/>
      <c r="B24" s="17" t="n"/>
      <c r="C24" s="17" t="n"/>
      <c r="D24" s="17" t="n"/>
      <c r="E24" s="16" t="n"/>
      <c r="F24" s="20">
        <f>IF(A24="","",E24-TODAY())</f>
        <v/>
      </c>
    </row>
    <row r="25">
      <c r="A25" s="16" t="n"/>
      <c r="B25" s="17" t="n"/>
      <c r="C25" s="17" t="n"/>
      <c r="D25" s="17" t="n"/>
      <c r="E25" s="16" t="n"/>
      <c r="F25" s="20">
        <f>IF(A25="","",E25-TODAY())</f>
        <v/>
      </c>
    </row>
    <row r="26">
      <c r="A26" s="16" t="n"/>
      <c r="B26" s="17" t="n"/>
      <c r="C26" s="17" t="n"/>
      <c r="D26" s="17" t="n"/>
      <c r="E26" s="16" t="n"/>
      <c r="F26" s="20">
        <f>IF(A26="","",E26-TODAY())</f>
        <v/>
      </c>
    </row>
    <row r="27">
      <c r="A27" s="16" t="n"/>
      <c r="B27" s="17" t="n"/>
      <c r="C27" s="17" t="n"/>
      <c r="D27" s="17" t="n"/>
      <c r="E27" s="16" t="n"/>
      <c r="F27" s="20">
        <f>IF(A27="","",E27-TODAY())</f>
        <v/>
      </c>
    </row>
    <row r="28">
      <c r="A28" s="16" t="n"/>
      <c r="B28" s="17" t="n"/>
      <c r="C28" s="17" t="n"/>
      <c r="D28" s="17" t="n"/>
      <c r="E28" s="16" t="n"/>
      <c r="F28" s="20">
        <f>IF(A28="","",E28-TODAY())</f>
        <v/>
      </c>
    </row>
    <row r="29">
      <c r="A29" s="16" t="n"/>
      <c r="B29" s="17" t="n"/>
      <c r="C29" s="17" t="n"/>
      <c r="D29" s="17" t="n"/>
      <c r="E29" s="16" t="n"/>
      <c r="F29" s="20">
        <f>IF(A29="","",E29-TODAY())</f>
        <v/>
      </c>
    </row>
    <row r="30">
      <c r="A30" s="16" t="n"/>
      <c r="B30" s="17" t="n"/>
      <c r="C30" s="17" t="n"/>
      <c r="D30" s="17" t="n"/>
      <c r="E30" s="16" t="n"/>
      <c r="F30" s="20">
        <f>IF(A30="","",E30-TODAY())</f>
        <v/>
      </c>
    </row>
    <row r="31">
      <c r="A31" s="16" t="n"/>
      <c r="B31" s="17" t="n"/>
      <c r="C31" s="17" t="n"/>
      <c r="D31" s="17" t="n"/>
      <c r="E31" s="16" t="n"/>
      <c r="F31" s="20">
        <f>IF(A31="","",E31-TODAY())</f>
        <v/>
      </c>
    </row>
    <row r="32">
      <c r="A32" s="16" t="n"/>
      <c r="B32" s="17" t="n"/>
      <c r="C32" s="17" t="n"/>
      <c r="D32" s="17" t="n"/>
      <c r="E32" s="16" t="n"/>
      <c r="F32" s="20">
        <f>IF(A32="","",E32-TODAY())</f>
        <v/>
      </c>
    </row>
    <row r="33">
      <c r="A33" s="16" t="n"/>
      <c r="B33" s="17" t="n"/>
      <c r="C33" s="17" t="n"/>
      <c r="D33" s="17" t="n"/>
      <c r="E33" s="16" t="n"/>
      <c r="F33" s="20">
        <f>IF(A33="","",E33-TODAY())</f>
        <v/>
      </c>
    </row>
    <row r="34">
      <c r="A34" s="16" t="n"/>
      <c r="B34" s="17" t="n"/>
      <c r="C34" s="17" t="n"/>
      <c r="D34" s="17" t="n"/>
      <c r="E34" s="16" t="n"/>
      <c r="F34" s="20">
        <f>IF(A34="","",E34-TODAY())</f>
        <v/>
      </c>
    </row>
    <row r="35">
      <c r="A35" s="16" t="n"/>
      <c r="B35" s="17" t="n"/>
      <c r="C35" s="17" t="n"/>
      <c r="D35" s="17" t="n"/>
      <c r="E35" s="16" t="n"/>
      <c r="F35" s="20">
        <f>IF(A35="","",E35-TODAY())</f>
        <v/>
      </c>
    </row>
    <row r="36">
      <c r="A36" s="16" t="n"/>
      <c r="B36" s="17" t="n"/>
      <c r="C36" s="17" t="n"/>
      <c r="D36" s="17" t="n"/>
      <c r="E36" s="16" t="n"/>
      <c r="F36" s="20">
        <f>IF(A36="","",E36-TODAY())</f>
        <v/>
      </c>
    </row>
    <row r="37">
      <c r="A37" s="16" t="n"/>
      <c r="B37" s="17" t="n"/>
      <c r="C37" s="17" t="n"/>
      <c r="D37" s="17" t="n"/>
      <c r="E37" s="16" t="n"/>
      <c r="F37" s="20">
        <f>IF(A37="","",E37-TODAY())</f>
        <v/>
      </c>
    </row>
    <row r="38">
      <c r="A38" s="16" t="n"/>
      <c r="B38" s="17" t="n"/>
      <c r="C38" s="17" t="n"/>
      <c r="D38" s="17" t="n"/>
      <c r="E38" s="16" t="n"/>
      <c r="F38" s="20">
        <f>IF(A38="","",E38-TODAY())</f>
        <v/>
      </c>
    </row>
    <row r="39">
      <c r="A39" s="16" t="n"/>
      <c r="B39" s="17" t="n"/>
      <c r="C39" s="17" t="n"/>
      <c r="D39" s="17" t="n"/>
      <c r="E39" s="16" t="n"/>
      <c r="F39" s="20">
        <f>IF(A39="","",E39-TODAY())</f>
        <v/>
      </c>
    </row>
    <row r="40">
      <c r="A40" s="16" t="n"/>
      <c r="B40" s="17" t="n"/>
      <c r="C40" s="17" t="n"/>
      <c r="D40" s="17" t="n"/>
      <c r="E40" s="16" t="n"/>
      <c r="F40" s="20">
        <f>IF(A40="","",E40-TODAY())</f>
        <v/>
      </c>
    </row>
    <row r="41">
      <c r="A41" s="16" t="n"/>
      <c r="B41" s="17" t="n"/>
      <c r="C41" s="17" t="n"/>
      <c r="D41" s="17" t="n"/>
      <c r="E41" s="16" t="n"/>
      <c r="F41" s="20">
        <f>IF(A41="","",E41-TODAY())</f>
        <v/>
      </c>
    </row>
    <row r="42">
      <c r="A42" s="16" t="n"/>
      <c r="B42" s="17" t="n"/>
      <c r="C42" s="17" t="n"/>
      <c r="D42" s="17" t="n"/>
      <c r="E42" s="16" t="n"/>
      <c r="F42" s="20">
        <f>IF(A42="","",E42-TODAY())</f>
        <v/>
      </c>
    </row>
    <row r="43">
      <c r="A43" s="16" t="n"/>
      <c r="B43" s="17" t="n"/>
      <c r="C43" s="17" t="n"/>
      <c r="D43" s="17" t="n"/>
      <c r="E43" s="16" t="n"/>
      <c r="F43" s="20">
        <f>IF(A43="","",E43-TODAY())</f>
        <v/>
      </c>
    </row>
    <row r="44">
      <c r="A44" s="16" t="n"/>
      <c r="B44" s="17" t="n"/>
      <c r="C44" s="17" t="n"/>
      <c r="D44" s="17" t="n"/>
      <c r="E44" s="16" t="n"/>
      <c r="F44" s="20">
        <f>IF(A44="","",E44-TODAY())</f>
        <v/>
      </c>
    </row>
    <row r="45">
      <c r="A45" s="16" t="n"/>
      <c r="B45" s="17" t="n"/>
      <c r="C45" s="17" t="n"/>
      <c r="D45" s="17" t="n"/>
      <c r="E45" s="16" t="n"/>
      <c r="F45" s="20">
        <f>IF(A45="","",E45-TODAY())</f>
        <v/>
      </c>
    </row>
    <row r="46">
      <c r="A46" s="16" t="n"/>
      <c r="B46" s="17" t="n"/>
      <c r="C46" s="17" t="n"/>
      <c r="D46" s="17" t="n"/>
      <c r="E46" s="16" t="n"/>
      <c r="F46" s="20">
        <f>IF(A46="","",E46-TODAY())</f>
        <v/>
      </c>
    </row>
    <row r="47">
      <c r="A47" s="16" t="n"/>
      <c r="B47" s="17" t="n"/>
      <c r="C47" s="17" t="n"/>
      <c r="D47" s="17" t="n"/>
      <c r="E47" s="16" t="n"/>
      <c r="F47" s="20">
        <f>IF(A47="","",E47-TODAY())</f>
        <v/>
      </c>
    </row>
    <row r="48">
      <c r="A48" s="16" t="n"/>
      <c r="B48" s="17" t="n"/>
      <c r="C48" s="17" t="n"/>
      <c r="D48" s="17" t="n"/>
      <c r="E48" s="16" t="n"/>
      <c r="F48" s="20">
        <f>IF(A48="","",E48-TODAY())</f>
        <v/>
      </c>
    </row>
    <row r="49">
      <c r="A49" s="16" t="n"/>
      <c r="B49" s="17" t="n"/>
      <c r="C49" s="17" t="n"/>
      <c r="D49" s="17" t="n"/>
      <c r="E49" s="16" t="n"/>
      <c r="F49" s="20">
        <f>IF(A49="","",E49-TODAY())</f>
        <v/>
      </c>
    </row>
  </sheetData>
  <dataValidations count="1">
    <dataValidation sqref="D2:D49" showDropDown="0" showInputMessage="0" showErrorMessage="0" allowBlank="1" type="list">
      <formula1>"A faire,En cours,Terminé,Annulé"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Mariage Professionnel &amp; Suivi des Dépenses</dc:title>
  <dcterms:created xsi:type="dcterms:W3CDTF">2026-10-16T00:36:00Z</dcterms:created>
  <dcterms:modified xsi:type="dcterms:W3CDTF">2026-10-16T00:36:00Z</dcterms:modified>
</cp:coreProperties>
</file>