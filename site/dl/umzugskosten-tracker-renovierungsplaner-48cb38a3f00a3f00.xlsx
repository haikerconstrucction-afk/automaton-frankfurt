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Kosten" sheetId="3" state="visible" r:id="rId3"/>
    <sheet name="Aufgab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0" fontId="7" fillId="3" borderId="1" pivotButton="0" quotePrefix="0" xfId="0"/>
    <xf numFmtId="1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Kostenverteilung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'Kosten'!F1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'Kosten'!$B$2:$B$4</f>
            </numRef>
          </cat>
          <val>
            <numRef>
              <f>'Kosten'!$F$2:$F$4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Kosten_2837" displayName="T_Kosten_2837" ref="A1:F64" headerRowCount="1">
  <autoFilter ref="A1:F64"/>
  <tableColumns count="6">
    <tableColumn id="1" name="Datum"/>
    <tableColumn id="2" name="Kategorie"/>
    <tableColumn id="3" name="Beschreibung"/>
    <tableColumn id="4" name="Menge"/>
    <tableColumn id="5" name="Preis"/>
    <tableColumn id="6" name="Summe"/>
  </tableColumns>
  <tableStyleInfo name="TableStyleMedium7" showRowStripes="1"/>
</table>
</file>

<file path=xl/tables/table2.xml><?xml version="1.0" encoding="utf-8"?>
<table xmlns="http://schemas.openxmlformats.org/spreadsheetml/2006/main" id="2" name="T_Aufgaben_381" displayName="T_Aufgaben_381" ref="A1:E44" headerRowCount="1">
  <autoFilter ref="A1:E44"/>
  <tableColumns count="5">
    <tableColumn id="1" name="Datum"/>
    <tableColumn id="2" name="Aufgabe"/>
    <tableColumn id="3" name="Status"/>
    <tableColumn id="4" name="Fälligkeit"/>
    <tableColumn id="5" name="Tage bis Fris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Kosten'!A1" TargetMode="External" Id="rId2" /><Relationship Type="http://schemas.openxmlformats.org/officeDocument/2006/relationships/hyperlink" Target="#'Aufgabe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Umzugskosten-Tracker &amp; Renovierungsplaner für Selbstständige</t>
        </is>
      </c>
    </row>
    <row r="3" ht="45" customHeight="1">
      <c r="C3" s="2" t="inlineStr">
        <is>
          <t>Verwalte alle Kosten und Aufgaben für deinen Umzug oder deine Renovierung mit dieser professionellen Excel-Vorlage – übersichtlich und effizient.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Erstelle eine Liste aller geplanten Aufgaben und Materialien.</t>
        </is>
      </c>
    </row>
    <row r="7" ht="18" customHeight="1">
      <c r="B7" s="4" t="inlineStr">
        <is>
          <t>2.</t>
        </is>
      </c>
      <c r="C7" s="5" t="inlineStr">
        <is>
          <t>Trage die Kosten für Materialien, Arbeiten und Sonstiges ein.</t>
        </is>
      </c>
    </row>
    <row r="8" ht="18" customHeight="1">
      <c r="B8" s="4" t="inlineStr">
        <is>
          <t>3.</t>
        </is>
      </c>
      <c r="C8" s="5" t="inlineStr">
        <is>
          <t>Nutze die Dropdowns, um Kategorien und Status zuzuweisen.</t>
        </is>
      </c>
    </row>
    <row r="9" ht="18" customHeight="1">
      <c r="B9" s="4" t="inlineStr">
        <is>
          <t>4.</t>
        </is>
      </c>
      <c r="C9" s="5" t="inlineStr">
        <is>
          <t>Verfolge deine Fortschritte über die KPIs und Diagramme.</t>
        </is>
      </c>
    </row>
    <row r="10" ht="18" customHeight="1">
      <c r="B10" s="4" t="inlineStr">
        <is>
          <t>5.</t>
        </is>
      </c>
      <c r="C10" s="5" t="inlineStr">
        <is>
          <t>Aktualisiere die Daten regelmäßig, um den Überblick zu behalten.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Kosten</t>
        </is>
      </c>
    </row>
    <row r="17">
      <c r="C17" s="7" t="inlineStr">
        <is>
          <t>→ Aufgaben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Umzugskosten-Tracker &amp; Renovierungsplaner für Selbstständige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Gesamtsumme</t>
        </is>
      </c>
      <c r="C5" s="12">
        <f>SUM('Kosten'!F2:F100)</f>
        <v/>
      </c>
    </row>
    <row r="6" ht="24" customHeight="1">
      <c r="B6" s="11" t="inlineStr">
        <is>
          <t>Anzahl Aufgaben</t>
        </is>
      </c>
      <c r="C6" s="13">
        <f>COUNTA('Aufgaben'!B2:B100)</f>
        <v/>
      </c>
    </row>
    <row r="7" ht="24" customHeight="1">
      <c r="B7" s="11" t="inlineStr">
        <is>
          <t>Durchschnittlicher Preis</t>
        </is>
      </c>
      <c r="C7" s="12">
        <f>AVERAGE('Kosten'!E2:E100)</f>
        <v/>
      </c>
    </row>
    <row r="8" ht="24" customHeight="1">
      <c r="B8" s="11" t="inlineStr">
        <is>
          <t>Überfällige Aufgaben</t>
        </is>
      </c>
      <c r="C8" s="13">
        <f>COUNTIF('Aufgaben'!C2:C100,"Überfällig")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Menge</t>
        </is>
      </c>
      <c r="E1" s="14" t="inlineStr">
        <is>
          <t>Preis</t>
        </is>
      </c>
      <c r="F1" s="14" t="inlineStr">
        <is>
          <t>Summe</t>
        </is>
      </c>
    </row>
    <row r="2">
      <c r="A2" s="15" t="n">
        <v>46037</v>
      </c>
      <c r="B2" s="16" t="inlineStr">
        <is>
          <t>Material</t>
        </is>
      </c>
      <c r="C2" s="16" t="inlineStr">
        <is>
          <t>Kartons</t>
        </is>
      </c>
      <c r="D2" s="17" t="n">
        <v>10</v>
      </c>
      <c r="E2" s="18" t="n">
        <v>3.5</v>
      </c>
      <c r="F2" s="19">
        <f>D2*E2</f>
        <v/>
      </c>
    </row>
    <row r="3">
      <c r="A3" s="15" t="n">
        <v>46038</v>
      </c>
      <c r="B3" s="16" t="inlineStr">
        <is>
          <t>Arbeit</t>
        </is>
      </c>
      <c r="C3" s="16" t="inlineStr">
        <is>
          <t>Umzugshelfer</t>
        </is>
      </c>
      <c r="D3" s="17" t="n">
        <v>2</v>
      </c>
      <c r="E3" s="18" t="n">
        <v>25</v>
      </c>
      <c r="F3" s="19">
        <f>D3*E3</f>
        <v/>
      </c>
    </row>
    <row r="4">
      <c r="A4" s="15" t="n">
        <v>46039</v>
      </c>
      <c r="B4" s="16" t="inlineStr">
        <is>
          <t>Sonstiges</t>
        </is>
      </c>
      <c r="C4" s="16" t="inlineStr">
        <is>
          <t>Reinigungsservice</t>
        </is>
      </c>
      <c r="D4" s="17" t="n">
        <v>1</v>
      </c>
      <c r="E4" s="18" t="n">
        <v>50</v>
      </c>
      <c r="F4" s="19">
        <f>D4*E4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  <row r="55">
      <c r="A55" s="15" t="n"/>
      <c r="B55" s="16" t="n"/>
      <c r="C55" s="16" t="n"/>
      <c r="D55" s="17" t="n"/>
      <c r="E55" s="18" t="n"/>
      <c r="F55" s="19">
        <f>IF(A55="","",D55*E55)</f>
        <v/>
      </c>
    </row>
    <row r="56">
      <c r="A56" s="15" t="n"/>
      <c r="B56" s="16" t="n"/>
      <c r="C56" s="16" t="n"/>
      <c r="D56" s="17" t="n"/>
      <c r="E56" s="18" t="n"/>
      <c r="F56" s="19">
        <f>IF(A56="","",D56*E56)</f>
        <v/>
      </c>
    </row>
    <row r="57">
      <c r="A57" s="15" t="n"/>
      <c r="B57" s="16" t="n"/>
      <c r="C57" s="16" t="n"/>
      <c r="D57" s="17" t="n"/>
      <c r="E57" s="18" t="n"/>
      <c r="F57" s="19">
        <f>IF(A57="","",D57*E57)</f>
        <v/>
      </c>
    </row>
    <row r="58">
      <c r="A58" s="15" t="n"/>
      <c r="B58" s="16" t="n"/>
      <c r="C58" s="16" t="n"/>
      <c r="D58" s="17" t="n"/>
      <c r="E58" s="18" t="n"/>
      <c r="F58" s="19">
        <f>IF(A58="","",D58*E58)</f>
        <v/>
      </c>
    </row>
    <row r="59">
      <c r="A59" s="15" t="n"/>
      <c r="B59" s="16" t="n"/>
      <c r="C59" s="16" t="n"/>
      <c r="D59" s="17" t="n"/>
      <c r="E59" s="18" t="n"/>
      <c r="F59" s="19">
        <f>IF(A59="","",D59*E59)</f>
        <v/>
      </c>
    </row>
    <row r="60">
      <c r="A60" s="15" t="n"/>
      <c r="B60" s="16" t="n"/>
      <c r="C60" s="16" t="n"/>
      <c r="D60" s="17" t="n"/>
      <c r="E60" s="18" t="n"/>
      <c r="F60" s="19">
        <f>IF(A60="","",D60*E60)</f>
        <v/>
      </c>
    </row>
    <row r="61">
      <c r="A61" s="15" t="n"/>
      <c r="B61" s="16" t="n"/>
      <c r="C61" s="16" t="n"/>
      <c r="D61" s="17" t="n"/>
      <c r="E61" s="18" t="n"/>
      <c r="F61" s="19">
        <f>IF(A61="","",D61*E61)</f>
        <v/>
      </c>
    </row>
    <row r="62">
      <c r="A62" s="15" t="n"/>
      <c r="B62" s="16" t="n"/>
      <c r="C62" s="16" t="n"/>
      <c r="D62" s="17" t="n"/>
      <c r="E62" s="18" t="n"/>
      <c r="F62" s="19">
        <f>IF(A62="","",D62*E62)</f>
        <v/>
      </c>
    </row>
    <row r="63">
      <c r="A63" s="15" t="n"/>
      <c r="B63" s="16" t="n"/>
      <c r="C63" s="16" t="n"/>
      <c r="D63" s="17" t="n"/>
      <c r="E63" s="18" t="n"/>
      <c r="F63" s="19">
        <f>IF(A63="","",D63*E63)</f>
        <v/>
      </c>
    </row>
    <row r="64">
      <c r="A64" s="15" t="n"/>
      <c r="B64" s="16" t="n"/>
      <c r="C64" s="16" t="n"/>
      <c r="D64" s="17" t="n"/>
      <c r="E64" s="18" t="n"/>
      <c r="F64" s="19">
        <f>IF(A64="","",D64*E64)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"Material,Arbeit,Sonstiges"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40" customWidth="1" min="3" max="3"/>
    <col width="13" customWidth="1" min="4" max="4"/>
    <col width="29" customWidth="1" min="5" max="5"/>
  </cols>
  <sheetData>
    <row r="1" ht="32" customHeight="1">
      <c r="A1" s="14" t="inlineStr">
        <is>
          <t>Datum</t>
        </is>
      </c>
      <c r="B1" s="14" t="inlineStr">
        <is>
          <t>Aufgabe</t>
        </is>
      </c>
      <c r="C1" s="14" t="inlineStr">
        <is>
          <t>Status</t>
        </is>
      </c>
      <c r="D1" s="14" t="inlineStr">
        <is>
          <t>Fälligkeit</t>
        </is>
      </c>
      <c r="E1" s="14" t="inlineStr">
        <is>
          <t>Tage bis Frist</t>
        </is>
      </c>
    </row>
    <row r="2">
      <c r="A2" s="15" t="n">
        <v>46037</v>
      </c>
      <c r="B2" s="16" t="inlineStr">
        <is>
          <t>Kartons packen</t>
        </is>
      </c>
      <c r="C2" s="20">
        <f>IF(D2&lt;TODAY(),"Überfällig","In Planung")</f>
        <v/>
      </c>
      <c r="D2" s="15" t="n">
        <v>46042</v>
      </c>
      <c r="E2" s="21">
        <f>D2-TODAY()</f>
        <v/>
      </c>
    </row>
    <row r="3">
      <c r="A3" s="15" t="n">
        <v>46038</v>
      </c>
      <c r="B3" s="16" t="inlineStr">
        <is>
          <t>Möbel abbauen</t>
        </is>
      </c>
      <c r="C3" s="20">
        <f>IF(D3&lt;TODAY(),"Überfällig","In Planung")</f>
        <v/>
      </c>
      <c r="D3" s="15" t="n">
        <v>46044</v>
      </c>
      <c r="E3" s="21">
        <f>D3-TODAY()</f>
        <v/>
      </c>
    </row>
    <row r="4">
      <c r="A4" s="15" t="n">
        <v>46039</v>
      </c>
      <c r="B4" s="16" t="inlineStr">
        <is>
          <t>Neue Wohnung reinigen</t>
        </is>
      </c>
      <c r="C4" s="20">
        <f>IF(D4&lt;TODAY(),"Überfällig","In Planung")</f>
        <v/>
      </c>
      <c r="D4" s="15" t="n">
        <v>46047</v>
      </c>
      <c r="E4" s="21">
        <f>D4-TODAY()</f>
        <v/>
      </c>
    </row>
    <row r="5">
      <c r="A5" s="15" t="n"/>
      <c r="B5" s="16" t="n"/>
      <c r="C5" s="20">
        <f>IF(A5="","",IF(D5&lt;TODAY(),"Überfällig","In Planung"))</f>
        <v/>
      </c>
      <c r="D5" s="15" t="n"/>
      <c r="E5" s="21">
        <f>IF(A5="","",D5-TODAY())</f>
        <v/>
      </c>
    </row>
    <row r="6">
      <c r="A6" s="15" t="n"/>
      <c r="B6" s="16" t="n"/>
      <c r="C6" s="20">
        <f>IF(A6="","",IF(D6&lt;TODAY(),"Überfällig","In Planung"))</f>
        <v/>
      </c>
      <c r="D6" s="15" t="n"/>
      <c r="E6" s="21">
        <f>IF(A6="","",D6-TODAY())</f>
        <v/>
      </c>
    </row>
    <row r="7">
      <c r="A7" s="15" t="n"/>
      <c r="B7" s="16" t="n"/>
      <c r="C7" s="20">
        <f>IF(A7="","",IF(D7&lt;TODAY(),"Überfällig","In Planung"))</f>
        <v/>
      </c>
      <c r="D7" s="15" t="n"/>
      <c r="E7" s="21">
        <f>IF(A7="","",D7-TODAY())</f>
        <v/>
      </c>
    </row>
    <row r="8">
      <c r="A8" s="15" t="n"/>
      <c r="B8" s="16" t="n"/>
      <c r="C8" s="20">
        <f>IF(A8="","",IF(D8&lt;TODAY(),"Überfällig","In Planung"))</f>
        <v/>
      </c>
      <c r="D8" s="15" t="n"/>
      <c r="E8" s="21">
        <f>IF(A8="","",D8-TODAY())</f>
        <v/>
      </c>
    </row>
    <row r="9">
      <c r="A9" s="15" t="n"/>
      <c r="B9" s="16" t="n"/>
      <c r="C9" s="20">
        <f>IF(A9="","",IF(D9&lt;TODAY(),"Überfällig","In Planung"))</f>
        <v/>
      </c>
      <c r="D9" s="15" t="n"/>
      <c r="E9" s="21">
        <f>IF(A9="","",D9-TODAY())</f>
        <v/>
      </c>
    </row>
    <row r="10">
      <c r="A10" s="15" t="n"/>
      <c r="B10" s="16" t="n"/>
      <c r="C10" s="20">
        <f>IF(A10="","",IF(D10&lt;TODAY(),"Überfällig","In Planung"))</f>
        <v/>
      </c>
      <c r="D10" s="15" t="n"/>
      <c r="E10" s="21">
        <f>IF(A10="","",D10-TODAY())</f>
        <v/>
      </c>
    </row>
    <row r="11">
      <c r="A11" s="15" t="n"/>
      <c r="B11" s="16" t="n"/>
      <c r="C11" s="20">
        <f>IF(A11="","",IF(D11&lt;TODAY(),"Überfällig","In Planung"))</f>
        <v/>
      </c>
      <c r="D11" s="15" t="n"/>
      <c r="E11" s="21">
        <f>IF(A11="","",D11-TODAY())</f>
        <v/>
      </c>
    </row>
    <row r="12">
      <c r="A12" s="15" t="n"/>
      <c r="B12" s="16" t="n"/>
      <c r="C12" s="20">
        <f>IF(A12="","",IF(D12&lt;TODAY(),"Überfällig","In Planung"))</f>
        <v/>
      </c>
      <c r="D12" s="15" t="n"/>
      <c r="E12" s="21">
        <f>IF(A12="","",D12-TODAY())</f>
        <v/>
      </c>
    </row>
    <row r="13">
      <c r="A13" s="15" t="n"/>
      <c r="B13" s="16" t="n"/>
      <c r="C13" s="20">
        <f>IF(A13="","",IF(D13&lt;TODAY(),"Überfällig","In Planung"))</f>
        <v/>
      </c>
      <c r="D13" s="15" t="n"/>
      <c r="E13" s="21">
        <f>IF(A13="","",D13-TODAY())</f>
        <v/>
      </c>
    </row>
    <row r="14">
      <c r="A14" s="15" t="n"/>
      <c r="B14" s="16" t="n"/>
      <c r="C14" s="20">
        <f>IF(A14="","",IF(D14&lt;TODAY(),"Überfällig","In Planung"))</f>
        <v/>
      </c>
      <c r="D14" s="15" t="n"/>
      <c r="E14" s="21">
        <f>IF(A14="","",D14-TODAY())</f>
        <v/>
      </c>
    </row>
    <row r="15">
      <c r="A15" s="15" t="n"/>
      <c r="B15" s="16" t="n"/>
      <c r="C15" s="20">
        <f>IF(A15="","",IF(D15&lt;TODAY(),"Überfällig","In Planung"))</f>
        <v/>
      </c>
      <c r="D15" s="15" t="n"/>
      <c r="E15" s="21">
        <f>IF(A15="","",D15-TODAY())</f>
        <v/>
      </c>
    </row>
    <row r="16">
      <c r="A16" s="15" t="n"/>
      <c r="B16" s="16" t="n"/>
      <c r="C16" s="20">
        <f>IF(A16="","",IF(D16&lt;TODAY(),"Überfällig","In Planung"))</f>
        <v/>
      </c>
      <c r="D16" s="15" t="n"/>
      <c r="E16" s="21">
        <f>IF(A16="","",D16-TODAY())</f>
        <v/>
      </c>
    </row>
    <row r="17">
      <c r="A17" s="15" t="n"/>
      <c r="B17" s="16" t="n"/>
      <c r="C17" s="20">
        <f>IF(A17="","",IF(D17&lt;TODAY(),"Überfällig","In Planung"))</f>
        <v/>
      </c>
      <c r="D17" s="15" t="n"/>
      <c r="E17" s="21">
        <f>IF(A17="","",D17-TODAY())</f>
        <v/>
      </c>
    </row>
    <row r="18">
      <c r="A18" s="15" t="n"/>
      <c r="B18" s="16" t="n"/>
      <c r="C18" s="20">
        <f>IF(A18="","",IF(D18&lt;TODAY(),"Überfällig","In Planung"))</f>
        <v/>
      </c>
      <c r="D18" s="15" t="n"/>
      <c r="E18" s="21">
        <f>IF(A18="","",D18-TODAY())</f>
        <v/>
      </c>
    </row>
    <row r="19">
      <c r="A19" s="15" t="n"/>
      <c r="B19" s="16" t="n"/>
      <c r="C19" s="20">
        <f>IF(A19="","",IF(D19&lt;TODAY(),"Überfällig","In Planung"))</f>
        <v/>
      </c>
      <c r="D19" s="15" t="n"/>
      <c r="E19" s="21">
        <f>IF(A19="","",D19-TODAY())</f>
        <v/>
      </c>
    </row>
    <row r="20">
      <c r="A20" s="15" t="n"/>
      <c r="B20" s="16" t="n"/>
      <c r="C20" s="20">
        <f>IF(A20="","",IF(D20&lt;TODAY(),"Überfällig","In Planung"))</f>
        <v/>
      </c>
      <c r="D20" s="15" t="n"/>
      <c r="E20" s="21">
        <f>IF(A20="","",D20-TODAY())</f>
        <v/>
      </c>
    </row>
    <row r="21">
      <c r="A21" s="15" t="n"/>
      <c r="B21" s="16" t="n"/>
      <c r="C21" s="20">
        <f>IF(A21="","",IF(D21&lt;TODAY(),"Überfällig","In Planung"))</f>
        <v/>
      </c>
      <c r="D21" s="15" t="n"/>
      <c r="E21" s="21">
        <f>IF(A21="","",D21-TODAY())</f>
        <v/>
      </c>
    </row>
    <row r="22">
      <c r="A22" s="15" t="n"/>
      <c r="B22" s="16" t="n"/>
      <c r="C22" s="20">
        <f>IF(A22="","",IF(D22&lt;TODAY(),"Überfällig","In Planung"))</f>
        <v/>
      </c>
      <c r="D22" s="15" t="n"/>
      <c r="E22" s="21">
        <f>IF(A22="","",D22-TODAY())</f>
        <v/>
      </c>
    </row>
    <row r="23">
      <c r="A23" s="15" t="n"/>
      <c r="B23" s="16" t="n"/>
      <c r="C23" s="20">
        <f>IF(A23="","",IF(D23&lt;TODAY(),"Überfällig","In Planung"))</f>
        <v/>
      </c>
      <c r="D23" s="15" t="n"/>
      <c r="E23" s="21">
        <f>IF(A23="","",D23-TODAY())</f>
        <v/>
      </c>
    </row>
    <row r="24">
      <c r="A24" s="15" t="n"/>
      <c r="B24" s="16" t="n"/>
      <c r="C24" s="20">
        <f>IF(A24="","",IF(D24&lt;TODAY(),"Überfällig","In Planung"))</f>
        <v/>
      </c>
      <c r="D24" s="15" t="n"/>
      <c r="E24" s="21">
        <f>IF(A24="","",D24-TODAY())</f>
        <v/>
      </c>
    </row>
    <row r="25">
      <c r="A25" s="15" t="n"/>
      <c r="B25" s="16" t="n"/>
      <c r="C25" s="20">
        <f>IF(A25="","",IF(D25&lt;TODAY(),"Überfällig","In Planung"))</f>
        <v/>
      </c>
      <c r="D25" s="15" t="n"/>
      <c r="E25" s="21">
        <f>IF(A25="","",D25-TODAY())</f>
        <v/>
      </c>
    </row>
    <row r="26">
      <c r="A26" s="15" t="n"/>
      <c r="B26" s="16" t="n"/>
      <c r="C26" s="20">
        <f>IF(A26="","",IF(D26&lt;TODAY(),"Überfällig","In Planung"))</f>
        <v/>
      </c>
      <c r="D26" s="15" t="n"/>
      <c r="E26" s="21">
        <f>IF(A26="","",D26-TODAY())</f>
        <v/>
      </c>
    </row>
    <row r="27">
      <c r="A27" s="15" t="n"/>
      <c r="B27" s="16" t="n"/>
      <c r="C27" s="20">
        <f>IF(A27="","",IF(D27&lt;TODAY(),"Überfällig","In Planung"))</f>
        <v/>
      </c>
      <c r="D27" s="15" t="n"/>
      <c r="E27" s="21">
        <f>IF(A27="","",D27-TODAY())</f>
        <v/>
      </c>
    </row>
    <row r="28">
      <c r="A28" s="15" t="n"/>
      <c r="B28" s="16" t="n"/>
      <c r="C28" s="20">
        <f>IF(A28="","",IF(D28&lt;TODAY(),"Überfällig","In Planung"))</f>
        <v/>
      </c>
      <c r="D28" s="15" t="n"/>
      <c r="E28" s="21">
        <f>IF(A28="","",D28-TODAY())</f>
        <v/>
      </c>
    </row>
    <row r="29">
      <c r="A29" s="15" t="n"/>
      <c r="B29" s="16" t="n"/>
      <c r="C29" s="20">
        <f>IF(A29="","",IF(D29&lt;TODAY(),"Überfällig","In Planung"))</f>
        <v/>
      </c>
      <c r="D29" s="15" t="n"/>
      <c r="E29" s="21">
        <f>IF(A29="","",D29-TODAY())</f>
        <v/>
      </c>
    </row>
    <row r="30">
      <c r="A30" s="15" t="n"/>
      <c r="B30" s="16" t="n"/>
      <c r="C30" s="20">
        <f>IF(A30="","",IF(D30&lt;TODAY(),"Überfällig","In Planung"))</f>
        <v/>
      </c>
      <c r="D30" s="15" t="n"/>
      <c r="E30" s="21">
        <f>IF(A30="","",D30-TODAY())</f>
        <v/>
      </c>
    </row>
    <row r="31">
      <c r="A31" s="15" t="n"/>
      <c r="B31" s="16" t="n"/>
      <c r="C31" s="20">
        <f>IF(A31="","",IF(D31&lt;TODAY(),"Überfällig","In Planung"))</f>
        <v/>
      </c>
      <c r="D31" s="15" t="n"/>
      <c r="E31" s="21">
        <f>IF(A31="","",D31-TODAY())</f>
        <v/>
      </c>
    </row>
    <row r="32">
      <c r="A32" s="15" t="n"/>
      <c r="B32" s="16" t="n"/>
      <c r="C32" s="20">
        <f>IF(A32="","",IF(D32&lt;TODAY(),"Überfällig","In Planung"))</f>
        <v/>
      </c>
      <c r="D32" s="15" t="n"/>
      <c r="E32" s="21">
        <f>IF(A32="","",D32-TODAY())</f>
        <v/>
      </c>
    </row>
    <row r="33">
      <c r="A33" s="15" t="n"/>
      <c r="B33" s="16" t="n"/>
      <c r="C33" s="20">
        <f>IF(A33="","",IF(D33&lt;TODAY(),"Überfällig","In Planung"))</f>
        <v/>
      </c>
      <c r="D33" s="15" t="n"/>
      <c r="E33" s="21">
        <f>IF(A33="","",D33-TODAY())</f>
        <v/>
      </c>
    </row>
    <row r="34">
      <c r="A34" s="15" t="n"/>
      <c r="B34" s="16" t="n"/>
      <c r="C34" s="20">
        <f>IF(A34="","",IF(D34&lt;TODAY(),"Überfällig","In Planung"))</f>
        <v/>
      </c>
      <c r="D34" s="15" t="n"/>
      <c r="E34" s="21">
        <f>IF(A34="","",D34-TODAY())</f>
        <v/>
      </c>
    </row>
    <row r="35">
      <c r="A35" s="15" t="n"/>
      <c r="B35" s="16" t="n"/>
      <c r="C35" s="20">
        <f>IF(A35="","",IF(D35&lt;TODAY(),"Überfällig","In Planung"))</f>
        <v/>
      </c>
      <c r="D35" s="15" t="n"/>
      <c r="E35" s="21">
        <f>IF(A35="","",D35-TODAY())</f>
        <v/>
      </c>
    </row>
    <row r="36">
      <c r="A36" s="15" t="n"/>
      <c r="B36" s="16" t="n"/>
      <c r="C36" s="20">
        <f>IF(A36="","",IF(D36&lt;TODAY(),"Überfällig","In Planung"))</f>
        <v/>
      </c>
      <c r="D36" s="15" t="n"/>
      <c r="E36" s="21">
        <f>IF(A36="","",D36-TODAY())</f>
        <v/>
      </c>
    </row>
    <row r="37">
      <c r="A37" s="15" t="n"/>
      <c r="B37" s="16" t="n"/>
      <c r="C37" s="20">
        <f>IF(A37="","",IF(D37&lt;TODAY(),"Überfällig","In Planung"))</f>
        <v/>
      </c>
      <c r="D37" s="15" t="n"/>
      <c r="E37" s="21">
        <f>IF(A37="","",D37-TODAY())</f>
        <v/>
      </c>
    </row>
    <row r="38">
      <c r="A38" s="15" t="n"/>
      <c r="B38" s="16" t="n"/>
      <c r="C38" s="20">
        <f>IF(A38="","",IF(D38&lt;TODAY(),"Überfällig","In Planung"))</f>
        <v/>
      </c>
      <c r="D38" s="15" t="n"/>
      <c r="E38" s="21">
        <f>IF(A38="","",D38-TODAY())</f>
        <v/>
      </c>
    </row>
    <row r="39">
      <c r="A39" s="15" t="n"/>
      <c r="B39" s="16" t="n"/>
      <c r="C39" s="20">
        <f>IF(A39="","",IF(D39&lt;TODAY(),"Überfällig","In Planung"))</f>
        <v/>
      </c>
      <c r="D39" s="15" t="n"/>
      <c r="E39" s="21">
        <f>IF(A39="","",D39-TODAY())</f>
        <v/>
      </c>
    </row>
    <row r="40">
      <c r="A40" s="15" t="n"/>
      <c r="B40" s="16" t="n"/>
      <c r="C40" s="20">
        <f>IF(A40="","",IF(D40&lt;TODAY(),"Überfällig","In Planung"))</f>
        <v/>
      </c>
      <c r="D40" s="15" t="n"/>
      <c r="E40" s="21">
        <f>IF(A40="","",D40-TODAY())</f>
        <v/>
      </c>
    </row>
    <row r="41">
      <c r="A41" s="15" t="n"/>
      <c r="B41" s="16" t="n"/>
      <c r="C41" s="20">
        <f>IF(A41="","",IF(D41&lt;TODAY(),"Überfällig","In Planung"))</f>
        <v/>
      </c>
      <c r="D41" s="15" t="n"/>
      <c r="E41" s="21">
        <f>IF(A41="","",D41-TODAY())</f>
        <v/>
      </c>
    </row>
    <row r="42">
      <c r="A42" s="15" t="n"/>
      <c r="B42" s="16" t="n"/>
      <c r="C42" s="20">
        <f>IF(A42="","",IF(D42&lt;TODAY(),"Überfällig","In Planung"))</f>
        <v/>
      </c>
      <c r="D42" s="15" t="n"/>
      <c r="E42" s="21">
        <f>IF(A42="","",D42-TODAY())</f>
        <v/>
      </c>
    </row>
    <row r="43">
      <c r="A43" s="15" t="n"/>
      <c r="B43" s="16" t="n"/>
      <c r="C43" s="20">
        <f>IF(A43="","",IF(D43&lt;TODAY(),"Überfällig","In Planung"))</f>
        <v/>
      </c>
      <c r="D43" s="15" t="n"/>
      <c r="E43" s="21">
        <f>IF(A43="","",D43-TODAY())</f>
        <v/>
      </c>
    </row>
    <row r="44">
      <c r="A44" s="15" t="n"/>
      <c r="B44" s="16" t="n"/>
      <c r="C44" s="20">
        <f>IF(A44="","",IF(D44&lt;TODAY(),"Überfällig","In Planung"))</f>
        <v/>
      </c>
      <c r="D44" s="15" t="n"/>
      <c r="E44" s="21">
        <f>IF(A44="","",D44-TODAY())</f>
        <v/>
      </c>
    </row>
  </sheetData>
  <dataValidations count="1">
    <dataValidation sqref="C2:C44" showDropDown="0" showInputMessage="0" showErrorMessage="0" allowBlank="1" type="list">
      <formula1>"Geplant,In Bearbeitung,Erledigt,Überfällig"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Umzugskosten-Tracker &amp; Renovierungsplaner für Selbstständige</dc:title>
  <dcterms:created xsi:type="dcterms:W3CDTF">2026-10-09T17:07:37Z</dcterms:created>
  <dcterms:modified xsi:type="dcterms:W3CDTF">2026-10-09T17:07:37Z</dcterms:modified>
</cp:coreProperties>
</file>