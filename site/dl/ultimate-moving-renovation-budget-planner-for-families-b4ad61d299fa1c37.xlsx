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Moving Expenses" sheetId="3" state="visible" r:id="rId3"/>
    <sheet name="Renovation" sheetId="4" state="visible" r:id="rId4"/>
    <sheet name="Dashboard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Moving 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'Moving Expenses'!F1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'Moving Expenses'!$B$2:$B$5</f>
            </numRef>
          </cat>
          <val>
            <numRef>
              <f>'Moving Expenses'!$F$2:$F$5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oving_Expenses_2724" displayName="T_Moving_Expenses_2724" ref="A1:F65" headerRowCount="1">
  <autoFilter ref="A1:F65"/>
  <tableColumns count="6">
    <tableColumn id="1" name="Date"/>
    <tableColumn id="2" name="Category"/>
    <tableColumn id="3" name="Description"/>
    <tableColumn id="4" name="Quantity"/>
    <tableColumn id="5" name="Unit Price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Renovation_353" displayName="T_Renovation_353" ref="A1:F65" headerRowCount="1">
  <autoFilter ref="A1:F65"/>
  <tableColumns count="6">
    <tableColumn id="1" name="Date"/>
    <tableColumn id="2" name="Room"/>
    <tableColumn id="3" name="Item"/>
    <tableColumn id="4" name="Quantity"/>
    <tableColumn id="5" name="Unit Price"/>
    <tableColumn id="6" name="Total"/>
  </tableColumns>
  <tableStyleInfo name="TableStyleMedium7" showRowStripes="1"/>
</table>
</file>

<file path=xl/tables/table3.xml><?xml version="1.0" encoding="utf-8"?>
<table xmlns="http://schemas.openxmlformats.org/spreadsheetml/2006/main" id="3" name="T_Dashboard_2_4778" displayName="T_Dashboard_2_4778" ref="A1:B11" headerRowCount="1">
  <autoFilter ref="A1:B11"/>
  <tableColumns count="2">
    <tableColumn id="1" name="Metric"/>
    <tableColumn id="2" name="Valu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oving Expenses'!A1" TargetMode="External" Id="rId2" /><Relationship Type="http://schemas.openxmlformats.org/officeDocument/2006/relationships/hyperlink" Target="#'Renovation'!A1" TargetMode="External" Id="rId3" /><Relationship Type="http://schemas.openxmlformats.org/officeDocument/2006/relationships/hyperlink" Target="#'Dashboard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Moving &amp; Renovation Budget Planner for Families</t>
        </is>
      </c>
    </row>
    <row r="3" ht="45" customHeight="1">
      <c r="C3" s="2" t="inlineStr">
        <is>
          <t>Track all moving and renovation costs in one place with automated calculations and visual overviews. Perfect for families staying organized during stressful transitions.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all planned moving/renovation expenses</t>
        </is>
      </c>
    </row>
    <row r="7" ht="18" customHeight="1">
      <c r="B7" s="4" t="inlineStr">
        <is>
          <t>2.</t>
        </is>
      </c>
      <c r="C7" s="5" t="inlineStr">
        <is>
          <t>Track actual costs as they occur</t>
        </is>
      </c>
    </row>
    <row r="8" ht="18" customHeight="1">
      <c r="B8" s="4" t="inlineStr">
        <is>
          <t>3.</t>
        </is>
      </c>
      <c r="C8" s="5" t="inlineStr">
        <is>
          <t>Compare budget vs actual spending</t>
        </is>
      </c>
    </row>
    <row r="9" ht="18" customHeight="1">
      <c r="B9" s="4" t="inlineStr">
        <is>
          <t>4.</t>
        </is>
      </c>
      <c r="C9" s="5" t="inlineStr">
        <is>
          <t>Monitor remaining budget</t>
        </is>
      </c>
    </row>
    <row r="10" ht="18" customHeight="1">
      <c r="B10" s="4" t="inlineStr">
        <is>
          <t>5.</t>
        </is>
      </c>
      <c r="C10" s="5" t="inlineStr">
        <is>
          <t>Export reports to share with family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Moving Expenses</t>
        </is>
      </c>
    </row>
    <row r="17">
      <c r="C17" s="7" t="inlineStr">
        <is>
          <t>→ Renovation</t>
        </is>
      </c>
    </row>
    <row r="18">
      <c r="C18" s="7" t="inlineStr">
        <is>
          <t>→ Dashboard-2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Moving &amp; Renovation Budget Planner for Families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Moving Budget</t>
        </is>
      </c>
      <c r="C5" s="12">
        <f>SUM('Moving Expenses'!F2:F300)</f>
        <v/>
      </c>
    </row>
    <row r="6" ht="24" customHeight="1">
      <c r="B6" s="11" t="inlineStr">
        <is>
          <t>Total Renovation Budget</t>
        </is>
      </c>
      <c r="C6" s="12">
        <f>SUM('Renovation'!F2:F300)</f>
        <v/>
      </c>
    </row>
    <row r="7" ht="24" customHeight="1">
      <c r="B7" s="11" t="inlineStr">
        <is>
          <t>Overall Budget Remaining</t>
        </is>
      </c>
      <c r="C7" s="12">
        <f>C1-(D1+D2)</f>
        <v/>
      </c>
    </row>
    <row r="8" ht="24" customHeight="1">
      <c r="B8" s="11" t="inlineStr">
        <is>
          <t>Top Spending Category</t>
        </is>
      </c>
      <c r="C8" s="13">
        <f>INDEX('Moving Expenses'!B2:B300,MATCH(MAX('Moving Expenses'!F2:F300),'Moving Expenses'!F2:F300,0))</f>
        <v/>
      </c>
    </row>
    <row r="9" ht="24" customHeight="1">
      <c r="B9" s="11" t="inlineStr">
        <is>
          <t>Most Expensive Room</t>
        </is>
      </c>
      <c r="C9" s="13">
        <f>INDEX('Renovation'!B2:B300,MATCH(MAX('Renovation'!F2:F300),'Renovation'!F2:F300,0))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2" customWidth="1" min="4" max="4"/>
    <col width="13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Quantity</t>
        </is>
      </c>
      <c r="E1" s="14" t="inlineStr">
        <is>
          <t>Unit Price</t>
        </is>
      </c>
      <c r="F1" s="14" t="inlineStr">
        <is>
          <t>Total</t>
        </is>
      </c>
    </row>
    <row r="2">
      <c r="A2" s="15" t="n">
        <v>46082</v>
      </c>
      <c r="B2" s="16" t="inlineStr">
        <is>
          <t>Packing</t>
        </is>
      </c>
      <c r="C2" s="16" t="inlineStr">
        <is>
          <t>Boxes (20)</t>
        </is>
      </c>
      <c r="D2" s="17" t="n">
        <v>20</v>
      </c>
      <c r="E2" s="18" t="n">
        <v>1.5</v>
      </c>
      <c r="F2" s="19">
        <f>D2*E2</f>
        <v/>
      </c>
    </row>
    <row r="3">
      <c r="A3" s="15" t="n">
        <v>46086</v>
      </c>
      <c r="B3" s="16" t="inlineStr">
        <is>
          <t>Transport</t>
        </is>
      </c>
      <c r="C3" s="16" t="inlineStr">
        <is>
          <t>Truck Rental</t>
        </is>
      </c>
      <c r="D3" s="17" t="n">
        <v>1</v>
      </c>
      <c r="E3" s="18" t="n">
        <v>120</v>
      </c>
      <c r="F3" s="19">
        <f>D3*E3</f>
        <v/>
      </c>
    </row>
    <row r="4">
      <c r="A4" s="15" t="n">
        <v>46091</v>
      </c>
      <c r="B4" s="16" t="inlineStr">
        <is>
          <t>Labor</t>
        </is>
      </c>
      <c r="C4" s="16" t="inlineStr">
        <is>
          <t>Movers (3 hours)</t>
        </is>
      </c>
      <c r="D4" s="17" t="n">
        <v>3</v>
      </c>
      <c r="E4" s="18" t="n">
        <v>45</v>
      </c>
      <c r="F4" s="19">
        <f>D4*E4</f>
        <v/>
      </c>
    </row>
    <row r="5">
      <c r="A5" s="15" t="n">
        <v>46093</v>
      </c>
      <c r="B5" s="16" t="inlineStr">
        <is>
          <t>Storage</t>
        </is>
      </c>
      <c r="C5" s="16" t="inlineStr">
        <is>
          <t>1 month</t>
        </is>
      </c>
      <c r="D5" s="17" t="n">
        <v>1</v>
      </c>
      <c r="E5" s="18" t="n">
        <v>85</v>
      </c>
      <c r="F5" s="19">
        <f>D5*E5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conditionalFormatting sqref="F2:F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"Packing,Transport,Labor,Storage,Other"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13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Room</t>
        </is>
      </c>
      <c r="C1" s="14" t="inlineStr">
        <is>
          <t>Item</t>
        </is>
      </c>
      <c r="D1" s="14" t="inlineStr">
        <is>
          <t>Quantity</t>
        </is>
      </c>
      <c r="E1" s="14" t="inlineStr">
        <is>
          <t>Unit Price</t>
        </is>
      </c>
      <c r="F1" s="14" t="inlineStr">
        <is>
          <t>Total</t>
        </is>
      </c>
    </row>
    <row r="2">
      <c r="A2" s="15" t="n">
        <v>46096</v>
      </c>
      <c r="B2" s="16" t="inlineStr">
        <is>
          <t>Kitchen</t>
        </is>
      </c>
      <c r="C2" s="16" t="inlineStr">
        <is>
          <t>Tiles (m2)</t>
        </is>
      </c>
      <c r="D2" s="17" t="n">
        <v>12</v>
      </c>
      <c r="E2" s="18" t="n">
        <v>35</v>
      </c>
      <c r="F2" s="19">
        <f>D2*E2</f>
        <v/>
      </c>
    </row>
    <row r="3">
      <c r="A3" s="15" t="n">
        <v>46099</v>
      </c>
      <c r="B3" s="16" t="inlineStr">
        <is>
          <t>Bathroom</t>
        </is>
      </c>
      <c r="C3" s="16" t="inlineStr">
        <is>
          <t>Vanity</t>
        </is>
      </c>
      <c r="D3" s="17" t="n">
        <v>1</v>
      </c>
      <c r="E3" s="18" t="n">
        <v>240</v>
      </c>
      <c r="F3" s="19">
        <f>D3*E3</f>
        <v/>
      </c>
    </row>
    <row r="4">
      <c r="A4" s="15" t="n">
        <v>46101</v>
      </c>
      <c r="B4" s="16" t="inlineStr">
        <is>
          <t>Living Room</t>
        </is>
      </c>
      <c r="C4" s="16" t="inlineStr">
        <is>
          <t>Paint (cans)</t>
        </is>
      </c>
      <c r="D4" s="17" t="n">
        <v>4</v>
      </c>
      <c r="E4" s="18" t="n">
        <v>28.5</v>
      </c>
      <c r="F4" s="19">
        <f>D4*E4</f>
        <v/>
      </c>
    </row>
    <row r="5">
      <c r="A5" s="15" t="n">
        <v>46103</v>
      </c>
      <c r="B5" s="16" t="inlineStr">
        <is>
          <t>Kitchen</t>
        </is>
      </c>
      <c r="C5" s="16" t="inlineStr">
        <is>
          <t>Countertop</t>
        </is>
      </c>
      <c r="D5" s="17" t="n">
        <v>1</v>
      </c>
      <c r="E5" s="18" t="n">
        <v>425</v>
      </c>
      <c r="F5" s="19">
        <f>D5*E5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conditionalFormatting sqref="F2:F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"Kitchen,Bathroom,Living Room,Bedroom,Other"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4" t="inlineStr">
        <is>
          <t>Metric</t>
        </is>
      </c>
      <c r="B1" s="14" t="inlineStr">
        <is>
          <t>Value</t>
        </is>
      </c>
    </row>
    <row r="2">
      <c r="A2" s="16" t="n"/>
      <c r="B2" s="18" t="n"/>
    </row>
    <row r="3">
      <c r="A3" s="16" t="n"/>
      <c r="B3" s="18" t="n"/>
    </row>
    <row r="4">
      <c r="A4" s="16" t="n"/>
      <c r="B4" s="18" t="n"/>
    </row>
    <row r="5">
      <c r="A5" s="16" t="n"/>
      <c r="B5" s="18" t="n"/>
    </row>
    <row r="6">
      <c r="A6" s="16" t="n"/>
      <c r="B6" s="18" t="n"/>
    </row>
    <row r="7">
      <c r="A7" s="16" t="n"/>
      <c r="B7" s="18" t="n"/>
    </row>
    <row r="8">
      <c r="A8" s="16" t="n"/>
      <c r="B8" s="18" t="n"/>
    </row>
    <row r="9">
      <c r="A9" s="16" t="n"/>
      <c r="B9" s="18" t="n"/>
    </row>
    <row r="10">
      <c r="A10" s="16" t="n"/>
      <c r="B10" s="18" t="n"/>
    </row>
    <row r="11">
      <c r="A11" s="16" t="n"/>
      <c r="B11" s="18" t="n"/>
    </row>
  </sheetData>
  <conditionalFormatting sqref="B2:B1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Moving &amp; Renovation Budget Planner for Families</dc:title>
  <dcterms:created xsi:type="dcterms:W3CDTF">2026-10-20T21:44:58Z</dcterms:created>
  <dcterms:modified xsi:type="dcterms:W3CDTF">2026-10-20T21:44:59Z</dcterms:modified>
</cp:coreProperties>
</file>