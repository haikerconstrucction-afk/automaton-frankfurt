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Gastos" sheetId="3" state="visible" r:id="rId3"/>
    <sheet name="Presupue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'Presupuesto'!$A$2:$A$5</f>
            </numRef>
          </cat>
          <val>
            <numRef>
              <f>'Presupuesto'!$C$2:$C$5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Gastos_2281" displayName="T_Gastos_2281" ref="A1:G65" headerRowCount="1">
  <autoFilter ref="A1:G65"/>
  <tableColumns count="7">
    <tableColumn id="1" name="Fecha"/>
    <tableColumn id="2" name="Categoria"/>
    <tableColumn id="3" name="Proveedor"/>
    <tableColumn id="4" name="Descripcion"/>
    <tableColumn id="5" name="Cantidad"/>
    <tableColumn id="6" name="Precio Unitario"/>
    <tableColumn id="7" name="Total"/>
  </tableColumns>
  <tableStyleInfo name="TableStyleMedium7" showRowStripes="1"/>
</table>
</file>

<file path=xl/tables/table2.xml><?xml version="1.0" encoding="utf-8"?>
<table xmlns="http://schemas.openxmlformats.org/spreadsheetml/2006/main" id="2" name="T_Presupuesto_3488" displayName="T_Presupuesto_3488" ref="A1:D25" headerRowCount="1">
  <autoFilter ref="A1:D25"/>
  <tableColumns count="4">
    <tableColumn id="1" name="Categoria"/>
    <tableColumn id="2" name="Presupuesto Inicial"/>
    <tableColumn id="3" name="Gastos Totales"/>
    <tableColumn id="4" name="Diferencia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Gastos'!A1" TargetMode="External" Id="rId2" /><Relationship Type="http://schemas.openxmlformats.org/officeDocument/2006/relationships/hyperlink" Target="#'Presupuesto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Presupuesto y Control de Gastos para Bodas</t>
        </is>
      </c>
    </row>
    <row r="3" ht="45" customHeight="1">
      <c r="C3" s="2" t="inlineStr">
        <is>
          <t>Simplifica la planificación de tu boda con este práctico planificador. Mantén el control de todos los gastos y asegúrate de cumplir con tu presupuesto.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tus datos básicos y tu presupuesto inicial.</t>
        </is>
      </c>
    </row>
    <row r="7" ht="18" customHeight="1">
      <c r="B7" s="4" t="inlineStr">
        <is>
          <t>2.</t>
        </is>
      </c>
      <c r="C7" s="5" t="inlineStr">
        <is>
          <t>Registra cada gasto por categoría (banquete, fotografía, decoración, etc.).</t>
        </is>
      </c>
    </row>
    <row r="8" ht="18" customHeight="1">
      <c r="B8" s="4" t="inlineStr">
        <is>
          <t>3.</t>
        </is>
      </c>
      <c r="C8" s="5" t="inlineStr">
        <is>
          <t>Utiliza los filtros para ver los gastos por categoría o por proveedor.</t>
        </is>
      </c>
    </row>
    <row r="9" ht="18" customHeight="1">
      <c r="B9" s="4" t="inlineStr">
        <is>
          <t>4.</t>
        </is>
      </c>
      <c r="C9" s="5" t="inlineStr">
        <is>
          <t>Revisa los gráficos para obtener una visión general de tu situación financiera.</t>
        </is>
      </c>
    </row>
    <row r="10" ht="18" customHeight="1">
      <c r="B10" s="4" t="inlineStr">
        <is>
          <t>5.</t>
        </is>
      </c>
      <c r="C10" s="5" t="inlineStr">
        <is>
          <t>Ajusta tu presupuesto en función de los gastos reales.</t>
        </is>
      </c>
    </row>
    <row r="11" ht="18" customHeight="1">
      <c r="B11" s="4" t="inlineStr">
        <is>
          <t>6.</t>
        </is>
      </c>
      <c r="C11" s="5" t="inlineStr">
        <is>
          <t>Descarga un informe detallado para compartir con los proveedores y familiares.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Gastos</t>
        </is>
      </c>
    </row>
    <row r="18">
      <c r="C18" s="7" t="inlineStr">
        <is>
          <t>→ Presupuesto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Presupuesto y Control de Gastos para Bodas</t>
        </is>
      </c>
    </row>
    <row r="4">
      <c r="B4" s="10" t="inlineStr">
        <is>
          <t>Indicadores</t>
        </is>
      </c>
    </row>
    <row r="5" ht="24" customHeight="1">
      <c r="B5" s="11" t="inlineStr">
        <is>
          <t>Presupuesto Total</t>
        </is>
      </c>
      <c r="C5" s="12">
        <f>SUM(Presupuesto!B2:B20)</f>
        <v/>
      </c>
    </row>
    <row r="6" ht="24" customHeight="1">
      <c r="B6" s="11" t="inlineStr">
        <is>
          <t>Gastos Totales</t>
        </is>
      </c>
      <c r="C6" s="12">
        <f>SUM(Presupuesto!C2:C20)</f>
        <v/>
      </c>
    </row>
    <row r="7" ht="24" customHeight="1">
      <c r="B7" s="11" t="inlineStr">
        <is>
          <t>Saldo Restante</t>
        </is>
      </c>
      <c r="C7" s="12">
        <f>SUM(Presupuesto!D2:D20)</f>
        <v/>
      </c>
    </row>
    <row r="8" ht="24" customHeight="1">
      <c r="B8" s="11" t="inlineStr">
        <is>
          <t>Número de Gastos</t>
        </is>
      </c>
      <c r="C8" s="13">
        <f>COUNTA(Gastos!A2:A300)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5" customWidth="1" min="4" max="4"/>
    <col width="12" customWidth="1" min="5" max="5"/>
    <col width="18" customWidth="1" min="6" max="6"/>
    <col width="25" customWidth="1" min="7" max="7"/>
  </cols>
  <sheetData>
    <row r="1" ht="32" customHeight="1">
      <c r="A1" s="14" t="inlineStr">
        <is>
          <t>Fecha</t>
        </is>
      </c>
      <c r="B1" s="14" t="inlineStr">
        <is>
          <t>Categoria</t>
        </is>
      </c>
      <c r="C1" s="14" t="inlineStr">
        <is>
          <t>Proveedor</t>
        </is>
      </c>
      <c r="D1" s="14" t="inlineStr">
        <is>
          <t>Descripcion</t>
        </is>
      </c>
      <c r="E1" s="14" t="inlineStr">
        <is>
          <t>Cantidad</t>
        </is>
      </c>
      <c r="F1" s="14" t="inlineStr">
        <is>
          <t>Precio Unitario</t>
        </is>
      </c>
      <c r="G1" s="14" t="inlineStr">
        <is>
          <t>Total</t>
        </is>
      </c>
    </row>
    <row r="2">
      <c r="A2" s="15" t="n">
        <v>46188</v>
      </c>
      <c r="B2" s="16" t="inlineStr">
        <is>
          <t>Banquete</t>
        </is>
      </c>
      <c r="C2" s="16" t="inlineStr">
        <is>
          <t>Restaurante Azul</t>
        </is>
      </c>
      <c r="D2" s="16" t="inlineStr">
        <is>
          <t>Menú para 100 personas</t>
        </is>
      </c>
      <c r="E2" s="17" t="n">
        <v>100</v>
      </c>
      <c r="F2" s="18" t="n">
        <v>50</v>
      </c>
      <c r="G2" s="19">
        <f>E2*F2</f>
        <v/>
      </c>
    </row>
    <row r="3">
      <c r="A3" s="15" t="n">
        <v>46193</v>
      </c>
      <c r="B3" s="16" t="inlineStr">
        <is>
          <t>Fotografía</t>
        </is>
      </c>
      <c r="C3" s="16" t="inlineStr">
        <is>
          <t>FotosPerfectas</t>
        </is>
      </c>
      <c r="D3" s="16" t="inlineStr">
        <is>
          <t>Fotos y vídeo</t>
        </is>
      </c>
      <c r="E3" s="17" t="n">
        <v>1</v>
      </c>
      <c r="F3" s="18" t="n">
        <v>1500</v>
      </c>
      <c r="G3" s="19">
        <f>E3*F3</f>
        <v/>
      </c>
    </row>
    <row r="4">
      <c r="A4" s="15" t="n">
        <v>46198</v>
      </c>
      <c r="B4" s="16" t="inlineStr">
        <is>
          <t>Decoracion</t>
        </is>
      </c>
      <c r="C4" s="16" t="inlineStr">
        <is>
          <t>Floristería Bella</t>
        </is>
      </c>
      <c r="D4" s="16" t="inlineStr">
        <is>
          <t>Arreglos florales</t>
        </is>
      </c>
      <c r="E4" s="17" t="n">
        <v>10</v>
      </c>
      <c r="F4" s="18" t="n">
        <v>80</v>
      </c>
      <c r="G4" s="19">
        <f>E4*F4</f>
        <v/>
      </c>
    </row>
    <row r="5">
      <c r="A5" s="15" t="n">
        <v>46204</v>
      </c>
      <c r="B5" s="16" t="inlineStr">
        <is>
          <t>Musica</t>
        </is>
      </c>
      <c r="C5" s="16" t="inlineStr">
        <is>
          <t>DjMúsica</t>
        </is>
      </c>
      <c r="D5" s="16" t="inlineStr">
        <is>
          <t>Servicio DJ</t>
        </is>
      </c>
      <c r="E5" s="17" t="n">
        <v>1</v>
      </c>
      <c r="F5" s="18" t="n">
        <v>800</v>
      </c>
      <c r="G5" s="19">
        <f>E5*F5</f>
        <v/>
      </c>
    </row>
    <row r="6">
      <c r="A6" s="15" t="n"/>
      <c r="B6" s="16" t="n"/>
      <c r="C6" s="16" t="n"/>
      <c r="D6" s="16" t="n"/>
      <c r="E6" s="17" t="n"/>
      <c r="F6" s="18" t="n"/>
      <c r="G6" s="19">
        <f>IF(A6="","",E6*F6)</f>
        <v/>
      </c>
    </row>
    <row r="7">
      <c r="A7" s="15" t="n"/>
      <c r="B7" s="16" t="n"/>
      <c r="C7" s="16" t="n"/>
      <c r="D7" s="16" t="n"/>
      <c r="E7" s="17" t="n"/>
      <c r="F7" s="18" t="n"/>
      <c r="G7" s="19">
        <f>IF(A7="","",E7*F7)</f>
        <v/>
      </c>
    </row>
    <row r="8">
      <c r="A8" s="15" t="n"/>
      <c r="B8" s="16" t="n"/>
      <c r="C8" s="16" t="n"/>
      <c r="D8" s="16" t="n"/>
      <c r="E8" s="17" t="n"/>
      <c r="F8" s="18" t="n"/>
      <c r="G8" s="19">
        <f>IF(A8="","",E8*F8)</f>
        <v/>
      </c>
    </row>
    <row r="9">
      <c r="A9" s="15" t="n"/>
      <c r="B9" s="16" t="n"/>
      <c r="C9" s="16" t="n"/>
      <c r="D9" s="16" t="n"/>
      <c r="E9" s="17" t="n"/>
      <c r="F9" s="18" t="n"/>
      <c r="G9" s="19">
        <f>IF(A9="","",E9*F9)</f>
        <v/>
      </c>
    </row>
    <row r="10">
      <c r="A10" s="15" t="n"/>
      <c r="B10" s="16" t="n"/>
      <c r="C10" s="16" t="n"/>
      <c r="D10" s="16" t="n"/>
      <c r="E10" s="17" t="n"/>
      <c r="F10" s="18" t="n"/>
      <c r="G10" s="19">
        <f>IF(A10="","",E10*F10)</f>
        <v/>
      </c>
    </row>
    <row r="11">
      <c r="A11" s="15" t="n"/>
      <c r="B11" s="16" t="n"/>
      <c r="C11" s="16" t="n"/>
      <c r="D11" s="16" t="n"/>
      <c r="E11" s="17" t="n"/>
      <c r="F11" s="18" t="n"/>
      <c r="G11" s="19">
        <f>IF(A11="","",E11*F11)</f>
        <v/>
      </c>
    </row>
    <row r="12">
      <c r="A12" s="15" t="n"/>
      <c r="B12" s="16" t="n"/>
      <c r="C12" s="16" t="n"/>
      <c r="D12" s="16" t="n"/>
      <c r="E12" s="17" t="n"/>
      <c r="F12" s="18" t="n"/>
      <c r="G12" s="19">
        <f>IF(A12="","",E12*F12)</f>
        <v/>
      </c>
    </row>
    <row r="13">
      <c r="A13" s="15" t="n"/>
      <c r="B13" s="16" t="n"/>
      <c r="C13" s="16" t="n"/>
      <c r="D13" s="16" t="n"/>
      <c r="E13" s="17" t="n"/>
      <c r="F13" s="18" t="n"/>
      <c r="G13" s="19">
        <f>IF(A13="","",E13*F13)</f>
        <v/>
      </c>
    </row>
    <row r="14">
      <c r="A14" s="15" t="n"/>
      <c r="B14" s="16" t="n"/>
      <c r="C14" s="16" t="n"/>
      <c r="D14" s="16" t="n"/>
      <c r="E14" s="17" t="n"/>
      <c r="F14" s="18" t="n"/>
      <c r="G14" s="19">
        <f>IF(A14="","",E14*F14)</f>
        <v/>
      </c>
    </row>
    <row r="15">
      <c r="A15" s="15" t="n"/>
      <c r="B15" s="16" t="n"/>
      <c r="C15" s="16" t="n"/>
      <c r="D15" s="16" t="n"/>
      <c r="E15" s="17" t="n"/>
      <c r="F15" s="18" t="n"/>
      <c r="G15" s="19">
        <f>IF(A15="","",E15*F15)</f>
        <v/>
      </c>
    </row>
    <row r="16">
      <c r="A16" s="15" t="n"/>
      <c r="B16" s="16" t="n"/>
      <c r="C16" s="16" t="n"/>
      <c r="D16" s="16" t="n"/>
      <c r="E16" s="17" t="n"/>
      <c r="F16" s="18" t="n"/>
      <c r="G16" s="19">
        <f>IF(A16="","",E16*F16)</f>
        <v/>
      </c>
    </row>
    <row r="17">
      <c r="A17" s="15" t="n"/>
      <c r="B17" s="16" t="n"/>
      <c r="C17" s="16" t="n"/>
      <c r="D17" s="16" t="n"/>
      <c r="E17" s="17" t="n"/>
      <c r="F17" s="18" t="n"/>
      <c r="G17" s="19">
        <f>IF(A17="","",E17*F17)</f>
        <v/>
      </c>
    </row>
    <row r="18">
      <c r="A18" s="15" t="n"/>
      <c r="B18" s="16" t="n"/>
      <c r="C18" s="16" t="n"/>
      <c r="D18" s="16" t="n"/>
      <c r="E18" s="17" t="n"/>
      <c r="F18" s="18" t="n"/>
      <c r="G18" s="19">
        <f>IF(A18="","",E18*F18)</f>
        <v/>
      </c>
    </row>
    <row r="19">
      <c r="A19" s="15" t="n"/>
      <c r="B19" s="16" t="n"/>
      <c r="C19" s="16" t="n"/>
      <c r="D19" s="16" t="n"/>
      <c r="E19" s="17" t="n"/>
      <c r="F19" s="18" t="n"/>
      <c r="G19" s="19">
        <f>IF(A19="","",E19*F19)</f>
        <v/>
      </c>
    </row>
    <row r="20">
      <c r="A20" s="15" t="n"/>
      <c r="B20" s="16" t="n"/>
      <c r="C20" s="16" t="n"/>
      <c r="D20" s="16" t="n"/>
      <c r="E20" s="17" t="n"/>
      <c r="F20" s="18" t="n"/>
      <c r="G20" s="19">
        <f>IF(A20="","",E20*F20)</f>
        <v/>
      </c>
    </row>
    <row r="21">
      <c r="A21" s="15" t="n"/>
      <c r="B21" s="16" t="n"/>
      <c r="C21" s="16" t="n"/>
      <c r="D21" s="16" t="n"/>
      <c r="E21" s="17" t="n"/>
      <c r="F21" s="18" t="n"/>
      <c r="G21" s="19">
        <f>IF(A21="","",E21*F21)</f>
        <v/>
      </c>
    </row>
    <row r="22">
      <c r="A22" s="15" t="n"/>
      <c r="B22" s="16" t="n"/>
      <c r="C22" s="16" t="n"/>
      <c r="D22" s="16" t="n"/>
      <c r="E22" s="17" t="n"/>
      <c r="F22" s="18" t="n"/>
      <c r="G22" s="19">
        <f>IF(A22="","",E22*F22)</f>
        <v/>
      </c>
    </row>
    <row r="23">
      <c r="A23" s="15" t="n"/>
      <c r="B23" s="16" t="n"/>
      <c r="C23" s="16" t="n"/>
      <c r="D23" s="16" t="n"/>
      <c r="E23" s="17" t="n"/>
      <c r="F23" s="18" t="n"/>
      <c r="G23" s="19">
        <f>IF(A23="","",E23*F23)</f>
        <v/>
      </c>
    </row>
    <row r="24">
      <c r="A24" s="15" t="n"/>
      <c r="B24" s="16" t="n"/>
      <c r="C24" s="16" t="n"/>
      <c r="D24" s="16" t="n"/>
      <c r="E24" s="17" t="n"/>
      <c r="F24" s="18" t="n"/>
      <c r="G24" s="19">
        <f>IF(A24="","",E24*F24)</f>
        <v/>
      </c>
    </row>
    <row r="25">
      <c r="A25" s="15" t="n"/>
      <c r="B25" s="16" t="n"/>
      <c r="C25" s="16" t="n"/>
      <c r="D25" s="16" t="n"/>
      <c r="E25" s="17" t="n"/>
      <c r="F25" s="18" t="n"/>
      <c r="G25" s="19">
        <f>IF(A25="","",E25*F25)</f>
        <v/>
      </c>
    </row>
    <row r="26">
      <c r="A26" s="15" t="n"/>
      <c r="B26" s="16" t="n"/>
      <c r="C26" s="16" t="n"/>
      <c r="D26" s="16" t="n"/>
      <c r="E26" s="17" t="n"/>
      <c r="F26" s="18" t="n"/>
      <c r="G26" s="19">
        <f>IF(A26="","",E26*F26)</f>
        <v/>
      </c>
    </row>
    <row r="27">
      <c r="A27" s="15" t="n"/>
      <c r="B27" s="16" t="n"/>
      <c r="C27" s="16" t="n"/>
      <c r="D27" s="16" t="n"/>
      <c r="E27" s="17" t="n"/>
      <c r="F27" s="18" t="n"/>
      <c r="G27" s="19">
        <f>IF(A27="","",E27*F27)</f>
        <v/>
      </c>
    </row>
    <row r="28">
      <c r="A28" s="15" t="n"/>
      <c r="B28" s="16" t="n"/>
      <c r="C28" s="16" t="n"/>
      <c r="D28" s="16" t="n"/>
      <c r="E28" s="17" t="n"/>
      <c r="F28" s="18" t="n"/>
      <c r="G28" s="19">
        <f>IF(A28="","",E28*F28)</f>
        <v/>
      </c>
    </row>
    <row r="29">
      <c r="A29" s="15" t="n"/>
      <c r="B29" s="16" t="n"/>
      <c r="C29" s="16" t="n"/>
      <c r="D29" s="16" t="n"/>
      <c r="E29" s="17" t="n"/>
      <c r="F29" s="18" t="n"/>
      <c r="G29" s="19">
        <f>IF(A29="","",E29*F29)</f>
        <v/>
      </c>
    </row>
    <row r="30">
      <c r="A30" s="15" t="n"/>
      <c r="B30" s="16" t="n"/>
      <c r="C30" s="16" t="n"/>
      <c r="D30" s="16" t="n"/>
      <c r="E30" s="17" t="n"/>
      <c r="F30" s="18" t="n"/>
      <c r="G30" s="19">
        <f>IF(A30="","",E30*F30)</f>
        <v/>
      </c>
    </row>
    <row r="31">
      <c r="A31" s="15" t="n"/>
      <c r="B31" s="16" t="n"/>
      <c r="C31" s="16" t="n"/>
      <c r="D31" s="16" t="n"/>
      <c r="E31" s="17" t="n"/>
      <c r="F31" s="18" t="n"/>
      <c r="G31" s="19">
        <f>IF(A31="","",E31*F31)</f>
        <v/>
      </c>
    </row>
    <row r="32">
      <c r="A32" s="15" t="n"/>
      <c r="B32" s="16" t="n"/>
      <c r="C32" s="16" t="n"/>
      <c r="D32" s="16" t="n"/>
      <c r="E32" s="17" t="n"/>
      <c r="F32" s="18" t="n"/>
      <c r="G32" s="19">
        <f>IF(A32="","",E32*F32)</f>
        <v/>
      </c>
    </row>
    <row r="33">
      <c r="A33" s="15" t="n"/>
      <c r="B33" s="16" t="n"/>
      <c r="C33" s="16" t="n"/>
      <c r="D33" s="16" t="n"/>
      <c r="E33" s="17" t="n"/>
      <c r="F33" s="18" t="n"/>
      <c r="G33" s="19">
        <f>IF(A33="","",E33*F33)</f>
        <v/>
      </c>
    </row>
    <row r="34">
      <c r="A34" s="15" t="n"/>
      <c r="B34" s="16" t="n"/>
      <c r="C34" s="16" t="n"/>
      <c r="D34" s="16" t="n"/>
      <c r="E34" s="17" t="n"/>
      <c r="F34" s="18" t="n"/>
      <c r="G34" s="19">
        <f>IF(A34="","",E34*F34)</f>
        <v/>
      </c>
    </row>
    <row r="35">
      <c r="A35" s="15" t="n"/>
      <c r="B35" s="16" t="n"/>
      <c r="C35" s="16" t="n"/>
      <c r="D35" s="16" t="n"/>
      <c r="E35" s="17" t="n"/>
      <c r="F35" s="18" t="n"/>
      <c r="G35" s="19">
        <f>IF(A35="","",E35*F35)</f>
        <v/>
      </c>
    </row>
    <row r="36">
      <c r="A36" s="15" t="n"/>
      <c r="B36" s="16" t="n"/>
      <c r="C36" s="16" t="n"/>
      <c r="D36" s="16" t="n"/>
      <c r="E36" s="17" t="n"/>
      <c r="F36" s="18" t="n"/>
      <c r="G36" s="19">
        <f>IF(A36="","",E36*F36)</f>
        <v/>
      </c>
    </row>
    <row r="37">
      <c r="A37" s="15" t="n"/>
      <c r="B37" s="16" t="n"/>
      <c r="C37" s="16" t="n"/>
      <c r="D37" s="16" t="n"/>
      <c r="E37" s="17" t="n"/>
      <c r="F37" s="18" t="n"/>
      <c r="G37" s="19">
        <f>IF(A37="","",E37*F37)</f>
        <v/>
      </c>
    </row>
    <row r="38">
      <c r="A38" s="15" t="n"/>
      <c r="B38" s="16" t="n"/>
      <c r="C38" s="16" t="n"/>
      <c r="D38" s="16" t="n"/>
      <c r="E38" s="17" t="n"/>
      <c r="F38" s="18" t="n"/>
      <c r="G38" s="19">
        <f>IF(A38="","",E38*F38)</f>
        <v/>
      </c>
    </row>
    <row r="39">
      <c r="A39" s="15" t="n"/>
      <c r="B39" s="16" t="n"/>
      <c r="C39" s="16" t="n"/>
      <c r="D39" s="16" t="n"/>
      <c r="E39" s="17" t="n"/>
      <c r="F39" s="18" t="n"/>
      <c r="G39" s="19">
        <f>IF(A39="","",E39*F39)</f>
        <v/>
      </c>
    </row>
    <row r="40">
      <c r="A40" s="15" t="n"/>
      <c r="B40" s="16" t="n"/>
      <c r="C40" s="16" t="n"/>
      <c r="D40" s="16" t="n"/>
      <c r="E40" s="17" t="n"/>
      <c r="F40" s="18" t="n"/>
      <c r="G40" s="19">
        <f>IF(A40="","",E40*F40)</f>
        <v/>
      </c>
    </row>
    <row r="41">
      <c r="A41" s="15" t="n"/>
      <c r="B41" s="16" t="n"/>
      <c r="C41" s="16" t="n"/>
      <c r="D41" s="16" t="n"/>
      <c r="E41" s="17" t="n"/>
      <c r="F41" s="18" t="n"/>
      <c r="G41" s="19">
        <f>IF(A41="","",E41*F41)</f>
        <v/>
      </c>
    </row>
    <row r="42">
      <c r="A42" s="15" t="n"/>
      <c r="B42" s="16" t="n"/>
      <c r="C42" s="16" t="n"/>
      <c r="D42" s="16" t="n"/>
      <c r="E42" s="17" t="n"/>
      <c r="F42" s="18" t="n"/>
      <c r="G42" s="19">
        <f>IF(A42="","",E42*F42)</f>
        <v/>
      </c>
    </row>
    <row r="43">
      <c r="A43" s="15" t="n"/>
      <c r="B43" s="16" t="n"/>
      <c r="C43" s="16" t="n"/>
      <c r="D43" s="16" t="n"/>
      <c r="E43" s="17" t="n"/>
      <c r="F43" s="18" t="n"/>
      <c r="G43" s="19">
        <f>IF(A43="","",E43*F43)</f>
        <v/>
      </c>
    </row>
    <row r="44">
      <c r="A44" s="15" t="n"/>
      <c r="B44" s="16" t="n"/>
      <c r="C44" s="16" t="n"/>
      <c r="D44" s="16" t="n"/>
      <c r="E44" s="17" t="n"/>
      <c r="F44" s="18" t="n"/>
      <c r="G44" s="19">
        <f>IF(A44="","",E44*F44)</f>
        <v/>
      </c>
    </row>
    <row r="45">
      <c r="A45" s="15" t="n"/>
      <c r="B45" s="16" t="n"/>
      <c r="C45" s="16" t="n"/>
      <c r="D45" s="16" t="n"/>
      <c r="E45" s="17" t="n"/>
      <c r="F45" s="18" t="n"/>
      <c r="G45" s="19">
        <f>IF(A45="","",E45*F45)</f>
        <v/>
      </c>
    </row>
    <row r="46">
      <c r="A46" s="15" t="n"/>
      <c r="B46" s="16" t="n"/>
      <c r="C46" s="16" t="n"/>
      <c r="D46" s="16" t="n"/>
      <c r="E46" s="17" t="n"/>
      <c r="F46" s="18" t="n"/>
      <c r="G46" s="19">
        <f>IF(A46="","",E46*F46)</f>
        <v/>
      </c>
    </row>
    <row r="47">
      <c r="A47" s="15" t="n"/>
      <c r="B47" s="16" t="n"/>
      <c r="C47" s="16" t="n"/>
      <c r="D47" s="16" t="n"/>
      <c r="E47" s="17" t="n"/>
      <c r="F47" s="18" t="n"/>
      <c r="G47" s="19">
        <f>IF(A47="","",E47*F47)</f>
        <v/>
      </c>
    </row>
    <row r="48">
      <c r="A48" s="15" t="n"/>
      <c r="B48" s="16" t="n"/>
      <c r="C48" s="16" t="n"/>
      <c r="D48" s="16" t="n"/>
      <c r="E48" s="17" t="n"/>
      <c r="F48" s="18" t="n"/>
      <c r="G48" s="19">
        <f>IF(A48="","",E48*F48)</f>
        <v/>
      </c>
    </row>
    <row r="49">
      <c r="A49" s="15" t="n"/>
      <c r="B49" s="16" t="n"/>
      <c r="C49" s="16" t="n"/>
      <c r="D49" s="16" t="n"/>
      <c r="E49" s="17" t="n"/>
      <c r="F49" s="18" t="n"/>
      <c r="G49" s="19">
        <f>IF(A49="","",E49*F49)</f>
        <v/>
      </c>
    </row>
    <row r="50">
      <c r="A50" s="15" t="n"/>
      <c r="B50" s="16" t="n"/>
      <c r="C50" s="16" t="n"/>
      <c r="D50" s="16" t="n"/>
      <c r="E50" s="17" t="n"/>
      <c r="F50" s="18" t="n"/>
      <c r="G50" s="19">
        <f>IF(A50="","",E50*F50)</f>
        <v/>
      </c>
    </row>
    <row r="51">
      <c r="A51" s="15" t="n"/>
      <c r="B51" s="16" t="n"/>
      <c r="C51" s="16" t="n"/>
      <c r="D51" s="16" t="n"/>
      <c r="E51" s="17" t="n"/>
      <c r="F51" s="18" t="n"/>
      <c r="G51" s="19">
        <f>IF(A51="","",E51*F51)</f>
        <v/>
      </c>
    </row>
    <row r="52">
      <c r="A52" s="15" t="n"/>
      <c r="B52" s="16" t="n"/>
      <c r="C52" s="16" t="n"/>
      <c r="D52" s="16" t="n"/>
      <c r="E52" s="17" t="n"/>
      <c r="F52" s="18" t="n"/>
      <c r="G52" s="19">
        <f>IF(A52="","",E52*F52)</f>
        <v/>
      </c>
    </row>
    <row r="53">
      <c r="A53" s="15" t="n"/>
      <c r="B53" s="16" t="n"/>
      <c r="C53" s="16" t="n"/>
      <c r="D53" s="16" t="n"/>
      <c r="E53" s="17" t="n"/>
      <c r="F53" s="18" t="n"/>
      <c r="G53" s="19">
        <f>IF(A53="","",E53*F53)</f>
        <v/>
      </c>
    </row>
    <row r="54">
      <c r="A54" s="15" t="n"/>
      <c r="B54" s="16" t="n"/>
      <c r="C54" s="16" t="n"/>
      <c r="D54" s="16" t="n"/>
      <c r="E54" s="17" t="n"/>
      <c r="F54" s="18" t="n"/>
      <c r="G54" s="19">
        <f>IF(A54="","",E54*F54)</f>
        <v/>
      </c>
    </row>
    <row r="55">
      <c r="A55" s="15" t="n"/>
      <c r="B55" s="16" t="n"/>
      <c r="C55" s="16" t="n"/>
      <c r="D55" s="16" t="n"/>
      <c r="E55" s="17" t="n"/>
      <c r="F55" s="18" t="n"/>
      <c r="G55" s="19">
        <f>IF(A55="","",E55*F55)</f>
        <v/>
      </c>
    </row>
    <row r="56">
      <c r="A56" s="15" t="n"/>
      <c r="B56" s="16" t="n"/>
      <c r="C56" s="16" t="n"/>
      <c r="D56" s="16" t="n"/>
      <c r="E56" s="17" t="n"/>
      <c r="F56" s="18" t="n"/>
      <c r="G56" s="19">
        <f>IF(A56="","",E56*F56)</f>
        <v/>
      </c>
    </row>
    <row r="57">
      <c r="A57" s="15" t="n"/>
      <c r="B57" s="16" t="n"/>
      <c r="C57" s="16" t="n"/>
      <c r="D57" s="16" t="n"/>
      <c r="E57" s="17" t="n"/>
      <c r="F57" s="18" t="n"/>
      <c r="G57" s="19">
        <f>IF(A57="","",E57*F57)</f>
        <v/>
      </c>
    </row>
    <row r="58">
      <c r="A58" s="15" t="n"/>
      <c r="B58" s="16" t="n"/>
      <c r="C58" s="16" t="n"/>
      <c r="D58" s="16" t="n"/>
      <c r="E58" s="17" t="n"/>
      <c r="F58" s="18" t="n"/>
      <c r="G58" s="19">
        <f>IF(A58="","",E58*F58)</f>
        <v/>
      </c>
    </row>
    <row r="59">
      <c r="A59" s="15" t="n"/>
      <c r="B59" s="16" t="n"/>
      <c r="C59" s="16" t="n"/>
      <c r="D59" s="16" t="n"/>
      <c r="E59" s="17" t="n"/>
      <c r="F59" s="18" t="n"/>
      <c r="G59" s="19">
        <f>IF(A59="","",E59*F59)</f>
        <v/>
      </c>
    </row>
    <row r="60">
      <c r="A60" s="15" t="n"/>
      <c r="B60" s="16" t="n"/>
      <c r="C60" s="16" t="n"/>
      <c r="D60" s="16" t="n"/>
      <c r="E60" s="17" t="n"/>
      <c r="F60" s="18" t="n"/>
      <c r="G60" s="19">
        <f>IF(A60="","",E60*F60)</f>
        <v/>
      </c>
    </row>
    <row r="61">
      <c r="A61" s="15" t="n"/>
      <c r="B61" s="16" t="n"/>
      <c r="C61" s="16" t="n"/>
      <c r="D61" s="16" t="n"/>
      <c r="E61" s="17" t="n"/>
      <c r="F61" s="18" t="n"/>
      <c r="G61" s="19">
        <f>IF(A61="","",E61*F61)</f>
        <v/>
      </c>
    </row>
    <row r="62">
      <c r="A62" s="15" t="n"/>
      <c r="B62" s="16" t="n"/>
      <c r="C62" s="16" t="n"/>
      <c r="D62" s="16" t="n"/>
      <c r="E62" s="17" t="n"/>
      <c r="F62" s="18" t="n"/>
      <c r="G62" s="19">
        <f>IF(A62="","",E62*F62)</f>
        <v/>
      </c>
    </row>
    <row r="63">
      <c r="A63" s="15" t="n"/>
      <c r="B63" s="16" t="n"/>
      <c r="C63" s="16" t="n"/>
      <c r="D63" s="16" t="n"/>
      <c r="E63" s="17" t="n"/>
      <c r="F63" s="18" t="n"/>
      <c r="G63" s="19">
        <f>IF(A63="","",E63*F63)</f>
        <v/>
      </c>
    </row>
    <row r="64">
      <c r="A64" s="15" t="n"/>
      <c r="B64" s="16" t="n"/>
      <c r="C64" s="16" t="n"/>
      <c r="D64" s="16" t="n"/>
      <c r="E64" s="17" t="n"/>
      <c r="F64" s="18" t="n"/>
      <c r="G64" s="19">
        <f>IF(A64="","",E64*F64)</f>
        <v/>
      </c>
    </row>
    <row r="65">
      <c r="A65" s="15" t="n"/>
      <c r="B65" s="16" t="n"/>
      <c r="C65" s="16" t="n"/>
      <c r="D65" s="16" t="n"/>
      <c r="E65" s="17" t="n"/>
      <c r="F65" s="18" t="n"/>
      <c r="G65" s="19">
        <f>IF(A65="","",E65*F65)</f>
        <v/>
      </c>
    </row>
  </sheetData>
  <conditionalFormatting sqref="E2:E65">
    <cfRule type="cellIs" priority="1" operator="lessThan" dxfId="0">
      <formula>0</formula>
    </cfRule>
  </conditionalFormatting>
  <conditionalFormatting sqref="F2:F65">
    <cfRule type="cellIs" priority="2" operator="lessThan" dxfId="0">
      <formula>0</formula>
    </cfRule>
  </conditionalFormatting>
  <conditionalFormatting sqref="G2:G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"Banquete,Fotografía,Decoracion,Musica,Ropa,Transporte,Otros"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0" customWidth="1" min="3" max="3"/>
    <col width="25" customWidth="1" min="4" max="4"/>
  </cols>
  <sheetData>
    <row r="1" ht="32" customHeight="1">
      <c r="A1" s="14" t="inlineStr">
        <is>
          <t>Categoria</t>
        </is>
      </c>
      <c r="B1" s="14" t="inlineStr">
        <is>
          <t>Presupuesto Inicial</t>
        </is>
      </c>
      <c r="C1" s="14" t="inlineStr">
        <is>
          <t>Gastos Totales</t>
        </is>
      </c>
      <c r="D1" s="14" t="inlineStr">
        <is>
          <t>Diferencia</t>
        </is>
      </c>
    </row>
    <row r="2">
      <c r="A2" s="16" t="inlineStr">
        <is>
          <t>Banquete</t>
        </is>
      </c>
      <c r="B2" s="18" t="n">
        <v>5000</v>
      </c>
      <c r="C2" s="19">
        <f>SUMIF(Gastos!B2:B300,A2,Gastos!G2:G300)</f>
        <v/>
      </c>
      <c r="D2" s="19">
        <f>B2-C2</f>
        <v/>
      </c>
    </row>
    <row r="3">
      <c r="A3" s="16" t="inlineStr">
        <is>
          <t>Fotografía</t>
        </is>
      </c>
      <c r="B3" s="18" t="n">
        <v>1500</v>
      </c>
      <c r="C3" s="19">
        <f>SUMIF(Gastos!B2:B300,A3,Gastos!G2:G300)</f>
        <v/>
      </c>
      <c r="D3" s="19">
        <f>B3-C3</f>
        <v/>
      </c>
    </row>
    <row r="4">
      <c r="A4" s="16" t="inlineStr">
        <is>
          <t>Decoracion</t>
        </is>
      </c>
      <c r="B4" s="18" t="n">
        <v>800</v>
      </c>
      <c r="C4" s="19">
        <f>SUMIF(Gastos!B2:B300,A4,Gastos!G2:G300)</f>
        <v/>
      </c>
      <c r="D4" s="19">
        <f>B4-C4</f>
        <v/>
      </c>
    </row>
    <row r="5">
      <c r="A5" s="16" t="inlineStr">
        <is>
          <t>Musica</t>
        </is>
      </c>
      <c r="B5" s="18" t="n">
        <v>800</v>
      </c>
      <c r="C5" s="19">
        <f>SUMIF(Gastos!B2:B300,A5,Gastos!G2:G300)</f>
        <v/>
      </c>
      <c r="D5" s="19">
        <f>B5-C5</f>
        <v/>
      </c>
    </row>
    <row r="6">
      <c r="A6" s="16" t="n"/>
      <c r="B6" s="18" t="n"/>
      <c r="C6" s="19">
        <f>IF(A6="","",SUMIF(Gastos!B2:B300,A6,Gastos!G2:G300))</f>
        <v/>
      </c>
      <c r="D6" s="19">
        <f>IF(A6="","",B6-C6)</f>
        <v/>
      </c>
    </row>
    <row r="7">
      <c r="A7" s="16" t="n"/>
      <c r="B7" s="18" t="n"/>
      <c r="C7" s="19">
        <f>IF(A7="","",SUMIF(Gastos!B2:B300,A7,Gastos!G2:G300))</f>
        <v/>
      </c>
      <c r="D7" s="19">
        <f>IF(A7="","",B7-C7)</f>
        <v/>
      </c>
    </row>
    <row r="8">
      <c r="A8" s="16" t="n"/>
      <c r="B8" s="18" t="n"/>
      <c r="C8" s="19">
        <f>IF(A8="","",SUMIF(Gastos!B2:B300,A8,Gastos!G2:G300))</f>
        <v/>
      </c>
      <c r="D8" s="19">
        <f>IF(A8="","",B8-C8)</f>
        <v/>
      </c>
    </row>
    <row r="9">
      <c r="A9" s="16" t="n"/>
      <c r="B9" s="18" t="n"/>
      <c r="C9" s="19">
        <f>IF(A9="","",SUMIF(Gastos!B2:B300,A9,Gastos!G2:G300))</f>
        <v/>
      </c>
      <c r="D9" s="19">
        <f>IF(A9="","",B9-C9)</f>
        <v/>
      </c>
    </row>
    <row r="10">
      <c r="A10" s="16" t="n"/>
      <c r="B10" s="18" t="n"/>
      <c r="C10" s="19">
        <f>IF(A10="","",SUMIF(Gastos!B2:B300,A10,Gastos!G2:G300))</f>
        <v/>
      </c>
      <c r="D10" s="19">
        <f>IF(A10="","",B10-C10)</f>
        <v/>
      </c>
    </row>
    <row r="11">
      <c r="A11" s="16" t="n"/>
      <c r="B11" s="18" t="n"/>
      <c r="C11" s="19">
        <f>IF(A11="","",SUMIF(Gastos!B2:B300,A11,Gastos!G2:G300))</f>
        <v/>
      </c>
      <c r="D11" s="19">
        <f>IF(A11="","",B11-C11)</f>
        <v/>
      </c>
    </row>
    <row r="12">
      <c r="A12" s="16" t="n"/>
      <c r="B12" s="18" t="n"/>
      <c r="C12" s="19">
        <f>IF(A12="","",SUMIF(Gastos!B2:B300,A12,Gastos!G2:G300))</f>
        <v/>
      </c>
      <c r="D12" s="19">
        <f>IF(A12="","",B12-C12)</f>
        <v/>
      </c>
    </row>
    <row r="13">
      <c r="A13" s="16" t="n"/>
      <c r="B13" s="18" t="n"/>
      <c r="C13" s="19">
        <f>IF(A13="","",SUMIF(Gastos!B2:B300,A13,Gastos!G2:G300))</f>
        <v/>
      </c>
      <c r="D13" s="19">
        <f>IF(A13="","",B13-C13)</f>
        <v/>
      </c>
    </row>
    <row r="14">
      <c r="A14" s="16" t="n"/>
      <c r="B14" s="18" t="n"/>
      <c r="C14" s="19">
        <f>IF(A14="","",SUMIF(Gastos!B2:B300,A14,Gastos!G2:G300))</f>
        <v/>
      </c>
      <c r="D14" s="19">
        <f>IF(A14="","",B14-C14)</f>
        <v/>
      </c>
    </row>
    <row r="15">
      <c r="A15" s="16" t="n"/>
      <c r="B15" s="18" t="n"/>
      <c r="C15" s="19">
        <f>IF(A15="","",SUMIF(Gastos!B2:B300,A15,Gastos!G2:G300))</f>
        <v/>
      </c>
      <c r="D15" s="19">
        <f>IF(A15="","",B15-C15)</f>
        <v/>
      </c>
    </row>
    <row r="16">
      <c r="A16" s="16" t="n"/>
      <c r="B16" s="18" t="n"/>
      <c r="C16" s="19">
        <f>IF(A16="","",SUMIF(Gastos!B2:B300,A16,Gastos!G2:G300))</f>
        <v/>
      </c>
      <c r="D16" s="19">
        <f>IF(A16="","",B16-C16)</f>
        <v/>
      </c>
    </row>
    <row r="17">
      <c r="A17" s="16" t="n"/>
      <c r="B17" s="18" t="n"/>
      <c r="C17" s="19">
        <f>IF(A17="","",SUMIF(Gastos!B2:B300,A17,Gastos!G2:G300))</f>
        <v/>
      </c>
      <c r="D17" s="19">
        <f>IF(A17="","",B17-C17)</f>
        <v/>
      </c>
    </row>
    <row r="18">
      <c r="A18" s="16" t="n"/>
      <c r="B18" s="18" t="n"/>
      <c r="C18" s="19">
        <f>IF(A18="","",SUMIF(Gastos!B2:B300,A18,Gastos!G2:G300))</f>
        <v/>
      </c>
      <c r="D18" s="19">
        <f>IF(A18="","",B18-C18)</f>
        <v/>
      </c>
    </row>
    <row r="19">
      <c r="A19" s="16" t="n"/>
      <c r="B19" s="18" t="n"/>
      <c r="C19" s="19">
        <f>IF(A19="","",SUMIF(Gastos!B2:B300,A19,Gastos!G2:G300))</f>
        <v/>
      </c>
      <c r="D19" s="19">
        <f>IF(A19="","",B19-C19)</f>
        <v/>
      </c>
    </row>
    <row r="20">
      <c r="A20" s="16" t="n"/>
      <c r="B20" s="18" t="n"/>
      <c r="C20" s="19">
        <f>IF(A20="","",SUMIF(Gastos!B2:B300,A20,Gastos!G2:G300))</f>
        <v/>
      </c>
      <c r="D20" s="19">
        <f>IF(A20="","",B20-C20)</f>
        <v/>
      </c>
    </row>
    <row r="21">
      <c r="A21" s="16" t="n"/>
      <c r="B21" s="18" t="n"/>
      <c r="C21" s="19">
        <f>IF(A21="","",SUMIF(Gastos!B2:B300,A21,Gastos!G2:G300))</f>
        <v/>
      </c>
      <c r="D21" s="19">
        <f>IF(A21="","",B21-C21)</f>
        <v/>
      </c>
    </row>
    <row r="22">
      <c r="A22" s="16" t="n"/>
      <c r="B22" s="18" t="n"/>
      <c r="C22" s="19">
        <f>IF(A22="","",SUMIF(Gastos!B2:B300,A22,Gastos!G2:G300))</f>
        <v/>
      </c>
      <c r="D22" s="19">
        <f>IF(A22="","",B22-C22)</f>
        <v/>
      </c>
    </row>
    <row r="23">
      <c r="A23" s="16" t="n"/>
      <c r="B23" s="18" t="n"/>
      <c r="C23" s="19">
        <f>IF(A23="","",SUMIF(Gastos!B2:B300,A23,Gastos!G2:G300))</f>
        <v/>
      </c>
      <c r="D23" s="19">
        <f>IF(A23="","",B23-C23)</f>
        <v/>
      </c>
    </row>
    <row r="24">
      <c r="A24" s="16" t="n"/>
      <c r="B24" s="18" t="n"/>
      <c r="C24" s="19">
        <f>IF(A24="","",SUMIF(Gastos!B2:B300,A24,Gastos!G2:G300))</f>
        <v/>
      </c>
      <c r="D24" s="19">
        <f>IF(A24="","",B24-C24)</f>
        <v/>
      </c>
    </row>
    <row r="25">
      <c r="A25" s="16" t="n"/>
      <c r="B25" s="18" t="n"/>
      <c r="C25" s="19">
        <f>IF(A25="","",SUMIF(Gastos!B2:B300,A25,Gastos!G2:G300))</f>
        <v/>
      </c>
      <c r="D25" s="19">
        <f>IF(A25="","",B25-C25)</f>
        <v/>
      </c>
    </row>
  </sheetData>
  <conditionalFormatting sqref="B2:B25">
    <cfRule type="cellIs" priority="1" operator="lessThan" dxfId="0">
      <formula>0</formula>
    </cfRule>
  </conditionalFormatting>
  <conditionalFormatting sqref="C2:C25">
    <cfRule type="cellIs" priority="2" operator="lessThan" dxfId="0">
      <formula>0</formula>
    </cfRule>
  </conditionalFormatting>
  <conditionalFormatting sqref="D2:D25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Presupuesto y Control de Gastos para Bodas</dc:title>
  <dcterms:created xsi:type="dcterms:W3CDTF">2026-10-11T05:53:08Z</dcterms:created>
  <dcterms:modified xsi:type="dcterms:W3CDTF">2026-10-11T05:53:08Z</dcterms:modified>
</cp:coreProperties>
</file>