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Route Planner" sheetId="4" state="visible" r:id="rId4"/>
    <sheet name="Budget 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Spending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Overview'!C1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 Overview'!$A$2:$A$5</f>
            </numRef>
          </cat>
          <val>
            <numRef>
              <f>'Budget Overview'!$C$2:$C$5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772" displayName="T_Expenses_2772" ref="A1:E65" headerRowCount="1">
  <autoFilter ref="A1:E65"/>
  <tableColumns count="5">
    <tableColumn id="1" name="Date"/>
    <tableColumn id="2" name="Category"/>
    <tableColumn id="3" name="Description"/>
    <tableColumn id="4" name="Amount"/>
    <tableColumn id="5" name="Currency"/>
  </tableColumns>
  <tableStyleInfo name="TableStyleMedium7" showRowStripes="1"/>
</table>
</file>

<file path=xl/tables/table2.xml><?xml version="1.0" encoding="utf-8"?>
<table xmlns="http://schemas.openxmlformats.org/spreadsheetml/2006/main" id="2" name="T_Route_Planner_3897" displayName="T_Route_Planner_3897" ref="A1:E65" headerRowCount="1">
  <autoFilter ref="A1:E65"/>
  <tableColumns count="5">
    <tableColumn id="1" name="Date"/>
    <tableColumn id="2" name="Location"/>
    <tableColumn id="3" name="Activity"/>
    <tableColumn id="4" name="Start Time"/>
    <tableColumn id="5" name="End Time"/>
  </tableColumns>
  <tableStyleInfo name="TableStyleMedium7" showRowStripes="1"/>
</table>
</file>

<file path=xl/tables/table3.xml><?xml version="1.0" encoding="utf-8"?>
<table xmlns="http://schemas.openxmlformats.org/spreadsheetml/2006/main" id="3" name="T_Budget_Overview_4402" displayName="T_Budget_Overview_4402" ref="A1:D15" headerRowCount="1">
  <autoFilter ref="A1:D15"/>
  <tableColumns count="4">
    <tableColumn id="1" name="Category"/>
    <tableColumn id="2" name="Planned Budget"/>
    <tableColumn id="3" name="Actual Spending"/>
    <tableColumn id="4" name="Differenc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Route Planner'!A1" TargetMode="External" Id="rId3" /><Relationship Type="http://schemas.openxmlformats.org/officeDocument/2006/relationships/hyperlink" Target="#'Budget Overview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North &amp; Baltic Sea Family Travel Budget Planner &amp; Route Organizer</t>
        </is>
      </c>
    </row>
    <row r="3" ht="45" customHeight="1">
      <c r="C3" s="2" t="inlineStr">
        <is>
          <t>Plan your family adventure to the North and Baltic Seas with ease. Track expenses, organize routes, and ensure a stress-free trip with this comprehensive Excel planner.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daily expenses in the 'Expenses' sheet.</t>
        </is>
      </c>
    </row>
    <row r="7" ht="18" customHeight="1">
      <c r="B7" s="4" t="inlineStr">
        <is>
          <t>2.</t>
        </is>
      </c>
      <c r="C7" s="5" t="inlineStr">
        <is>
          <t>Plan your travel route in the 'Route Planner' sheet.</t>
        </is>
      </c>
    </row>
    <row r="8" ht="18" customHeight="1">
      <c r="B8" s="4" t="inlineStr">
        <is>
          <t>3.</t>
        </is>
      </c>
      <c r="C8" s="5" t="inlineStr">
        <is>
          <t>Use the 'Budget Overview' sheet to monitor your total spending.</t>
        </is>
      </c>
    </row>
    <row r="9" ht="18" customHeight="1">
      <c r="B9" s="4" t="inlineStr">
        <is>
          <t>4.</t>
        </is>
      </c>
      <c r="C9" s="5" t="inlineStr">
        <is>
          <t>Adjust your plans based on the budget insights provided.</t>
        </is>
      </c>
    </row>
    <row r="10" ht="18" customHeight="1">
      <c r="B10" s="4" t="inlineStr">
        <is>
          <t>5.</t>
        </is>
      </c>
      <c r="C10" s="5" t="inlineStr">
        <is>
          <t>Enjoy a well-organized and stress-free family trip!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Expenses</t>
        </is>
      </c>
    </row>
    <row r="17">
      <c r="C17" s="7" t="inlineStr">
        <is>
          <t>→ Route Planner</t>
        </is>
      </c>
    </row>
    <row r="18">
      <c r="C18" s="7" t="inlineStr">
        <is>
          <t>→ Budget Overview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North &amp; Baltic Sea Family Travel Budget Planner &amp; 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SUM('Expenses'!D2:D300)</f>
        <v/>
      </c>
    </row>
    <row r="6" ht="24" customHeight="1">
      <c r="B6" s="11" t="inlineStr">
        <is>
          <t>Total Planned Budget</t>
        </is>
      </c>
      <c r="C6" s="12">
        <f>SUM('Budget Overview'!B2:B10)</f>
        <v/>
      </c>
    </row>
    <row r="7" ht="24" customHeight="1">
      <c r="B7" s="11" t="inlineStr">
        <is>
          <t>Total Actual Spending</t>
        </is>
      </c>
      <c r="C7" s="12">
        <f>SUM('Budget Overview'!C2:C10)</f>
        <v/>
      </c>
    </row>
    <row r="8" ht="24" customHeight="1">
      <c r="B8" s="11" t="inlineStr">
        <is>
          <t>Total Difference</t>
        </is>
      </c>
      <c r="C8" s="12">
        <f>SUM('Budget Overview'!D2:D10)</f>
        <v/>
      </c>
    </row>
    <row r="9" ht="24" customHeight="1">
      <c r="B9" s="11" t="inlineStr">
        <is>
          <t>Number of Activities</t>
        </is>
      </c>
      <c r="C9" s="13">
        <f>COUNTA('Route Planner'!C2:C300)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Currency</t>
        </is>
      </c>
    </row>
    <row r="2">
      <c r="A2" s="15" t="n">
        <v>46218</v>
      </c>
      <c r="B2" s="16" t="inlineStr">
        <is>
          <t>Accommodation</t>
        </is>
      </c>
      <c r="C2" s="16" t="inlineStr">
        <is>
          <t>Hotel stay</t>
        </is>
      </c>
      <c r="D2" s="17" t="n">
        <v>120</v>
      </c>
      <c r="E2" s="16" t="inlineStr">
        <is>
          <t>EUR</t>
        </is>
      </c>
    </row>
    <row r="3">
      <c r="A3" s="15" t="n">
        <v>46219</v>
      </c>
      <c r="B3" s="16" t="inlineStr">
        <is>
          <t>Food</t>
        </is>
      </c>
      <c r="C3" s="16" t="inlineStr">
        <is>
          <t>Lunch at restaurant</t>
        </is>
      </c>
      <c r="D3" s="17" t="n">
        <v>45</v>
      </c>
      <c r="E3" s="16" t="inlineStr">
        <is>
          <t>EUR</t>
        </is>
      </c>
    </row>
    <row r="4">
      <c r="A4" s="15" t="n">
        <v>46220</v>
      </c>
      <c r="B4" s="16" t="inlineStr">
        <is>
          <t>Transport</t>
        </is>
      </c>
      <c r="C4" s="16" t="inlineStr">
        <is>
          <t>Train tickets</t>
        </is>
      </c>
      <c r="D4" s="17" t="n">
        <v>60</v>
      </c>
      <c r="E4" s="16" t="inlineStr">
        <is>
          <t>EUR</t>
        </is>
      </c>
    </row>
    <row r="5">
      <c r="A5" s="15" t="n">
        <v>46221</v>
      </c>
      <c r="B5" s="16" t="inlineStr">
        <is>
          <t>Activities</t>
        </is>
      </c>
      <c r="C5" s="16" t="inlineStr">
        <is>
          <t>Museum entry</t>
        </is>
      </c>
      <c r="D5" s="17" t="n">
        <v>30</v>
      </c>
      <c r="E5" s="16" t="inlineStr">
        <is>
          <t>EUR</t>
        </is>
      </c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</sheetData>
  <conditionalFormatting sqref="D2:D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"Accommodation,Food,Transport,Activities,Other"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3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Location</t>
        </is>
      </c>
      <c r="C1" s="14" t="inlineStr">
        <is>
          <t>Activity</t>
        </is>
      </c>
      <c r="D1" s="14" t="inlineStr">
        <is>
          <t>Start Time</t>
        </is>
      </c>
      <c r="E1" s="14" t="inlineStr">
        <is>
          <t>End Time</t>
        </is>
      </c>
    </row>
    <row r="2">
      <c r="A2" s="15" t="n">
        <v>46218</v>
      </c>
      <c r="B2" s="16" t="inlineStr">
        <is>
          <t>Hamburg</t>
        </is>
      </c>
      <c r="C2" s="16" t="inlineStr">
        <is>
          <t>City tour</t>
        </is>
      </c>
      <c r="D2" s="16" t="inlineStr">
        <is>
          <t>10:00</t>
        </is>
      </c>
      <c r="E2" s="16" t="inlineStr">
        <is>
          <t>14:00</t>
        </is>
      </c>
    </row>
    <row r="3">
      <c r="A3" s="15" t="n">
        <v>46219</v>
      </c>
      <c r="B3" s="16" t="inlineStr">
        <is>
          <t>Lübeck</t>
        </is>
      </c>
      <c r="C3" s="16" t="inlineStr">
        <is>
          <t>Visit to the old town</t>
        </is>
      </c>
      <c r="D3" s="16" t="inlineStr">
        <is>
          <t>09:00</t>
        </is>
      </c>
      <c r="E3" s="16" t="inlineStr">
        <is>
          <t>12:00</t>
        </is>
      </c>
    </row>
    <row r="4">
      <c r="A4" s="15" t="n">
        <v>46220</v>
      </c>
      <c r="B4" s="16" t="inlineStr">
        <is>
          <t>Rostock</t>
        </is>
      </c>
      <c r="C4" s="16" t="inlineStr">
        <is>
          <t>Beach day</t>
        </is>
      </c>
      <c r="D4" s="16" t="inlineStr">
        <is>
          <t>08:00</t>
        </is>
      </c>
      <c r="E4" s="16" t="inlineStr">
        <is>
          <t>18:00</t>
        </is>
      </c>
    </row>
    <row r="5">
      <c r="A5" s="15" t="n">
        <v>46221</v>
      </c>
      <c r="B5" s="16" t="inlineStr">
        <is>
          <t>Stralsund</t>
        </is>
      </c>
      <c r="C5" s="16" t="inlineStr">
        <is>
          <t>Maritime museum</t>
        </is>
      </c>
      <c r="D5" s="16" t="inlineStr">
        <is>
          <t>10:00</t>
        </is>
      </c>
      <c r="E5" s="16" t="inlineStr">
        <is>
          <t>13:00</t>
        </is>
      </c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Planned Budget</t>
        </is>
      </c>
      <c r="C1" s="14" t="inlineStr">
        <is>
          <t>Actual Spending</t>
        </is>
      </c>
      <c r="D1" s="14" t="inlineStr">
        <is>
          <t>Difference</t>
        </is>
      </c>
    </row>
    <row r="2">
      <c r="A2" s="16" t="inlineStr">
        <is>
          <t>Accommodation</t>
        </is>
      </c>
      <c r="B2" s="18" t="n">
        <v>500</v>
      </c>
      <c r="C2" s="18" t="n">
        <v>120</v>
      </c>
      <c r="D2" s="19">
        <f>C2-B2</f>
        <v/>
      </c>
    </row>
    <row r="3">
      <c r="A3" s="16" t="inlineStr">
        <is>
          <t>Food</t>
        </is>
      </c>
      <c r="B3" s="18" t="n">
        <v>300</v>
      </c>
      <c r="C3" s="18" t="n">
        <v>45</v>
      </c>
      <c r="D3" s="19">
        <f>C3-B3</f>
        <v/>
      </c>
    </row>
    <row r="4">
      <c r="A4" s="16" t="inlineStr">
        <is>
          <t>Transport</t>
        </is>
      </c>
      <c r="B4" s="18" t="n">
        <v>200</v>
      </c>
      <c r="C4" s="18" t="n">
        <v>60</v>
      </c>
      <c r="D4" s="19">
        <f>C4-B4</f>
        <v/>
      </c>
    </row>
    <row r="5">
      <c r="A5" s="16" t="inlineStr">
        <is>
          <t>Activities</t>
        </is>
      </c>
      <c r="B5" s="18" t="n">
        <v>150</v>
      </c>
      <c r="C5" s="18" t="n">
        <v>30</v>
      </c>
      <c r="D5" s="19">
        <f>C5-B5</f>
        <v/>
      </c>
    </row>
    <row r="6">
      <c r="A6" s="16" t="n"/>
      <c r="B6" s="18" t="n"/>
      <c r="C6" s="18" t="n"/>
      <c r="D6" s="19">
        <f>IF(A6="","",C6-B6)</f>
        <v/>
      </c>
    </row>
    <row r="7">
      <c r="A7" s="16" t="n"/>
      <c r="B7" s="18" t="n"/>
      <c r="C7" s="18" t="n"/>
      <c r="D7" s="19">
        <f>IF(A7="","",C7-B7)</f>
        <v/>
      </c>
    </row>
    <row r="8">
      <c r="A8" s="16" t="n"/>
      <c r="B8" s="18" t="n"/>
      <c r="C8" s="18" t="n"/>
      <c r="D8" s="19">
        <f>IF(A8="","",C8-B8)</f>
        <v/>
      </c>
    </row>
    <row r="9">
      <c r="A9" s="16" t="n"/>
      <c r="B9" s="18" t="n"/>
      <c r="C9" s="18" t="n"/>
      <c r="D9" s="19">
        <f>IF(A9="","",C9-B9)</f>
        <v/>
      </c>
    </row>
    <row r="10">
      <c r="A10" s="16" t="n"/>
      <c r="B10" s="18" t="n"/>
      <c r="C10" s="18" t="n"/>
      <c r="D10" s="19">
        <f>IF(A10="","",C10-B10)</f>
        <v/>
      </c>
    </row>
    <row r="11">
      <c r="A11" s="16" t="n"/>
      <c r="B11" s="18" t="n"/>
      <c r="C11" s="18" t="n"/>
      <c r="D11" s="19">
        <f>IF(A11="","",C11-B11)</f>
        <v/>
      </c>
    </row>
    <row r="12">
      <c r="A12" s="16" t="n"/>
      <c r="B12" s="18" t="n"/>
      <c r="C12" s="18" t="n"/>
      <c r="D12" s="19">
        <f>IF(A12="","",C12-B12)</f>
        <v/>
      </c>
    </row>
    <row r="13">
      <c r="A13" s="16" t="n"/>
      <c r="B13" s="18" t="n"/>
      <c r="C13" s="18" t="n"/>
      <c r="D13" s="19">
        <f>IF(A13="","",C13-B13)</f>
        <v/>
      </c>
    </row>
    <row r="14">
      <c r="A14" s="16" t="n"/>
      <c r="B14" s="18" t="n"/>
      <c r="C14" s="18" t="n"/>
      <c r="D14" s="19">
        <f>IF(A14="","",C14-B14)</f>
        <v/>
      </c>
    </row>
    <row r="15">
      <c r="A15" s="16" t="n"/>
      <c r="B15" s="18" t="n"/>
      <c r="C15" s="18" t="n"/>
      <c r="D15" s="19">
        <f>IF(A15="","",C15-B15)</f>
        <v/>
      </c>
    </row>
  </sheetData>
  <conditionalFormatting sqref="B2:B15">
    <cfRule type="cellIs" priority="1" operator="lessThan" dxfId="0">
      <formula>0</formula>
    </cfRule>
  </conditionalFormatting>
  <conditionalFormatting sqref="C2:C15">
    <cfRule type="cellIs" priority="2" operator="lessThan" dxfId="0">
      <formula>0</formula>
    </cfRule>
  </conditionalFormatting>
  <conditionalFormatting sqref="D2:D15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North &amp; Baltic Sea Family Travel Budget Planner &amp; Route Organizer</dc:title>
  <dcterms:created xsi:type="dcterms:W3CDTF">2026-10-10T18:40:09Z</dcterms:created>
  <dcterms:modified xsi:type="dcterms:W3CDTF">2026-10-10T18:40:09Z</dcterms:modified>
</cp:coreProperties>
</file>