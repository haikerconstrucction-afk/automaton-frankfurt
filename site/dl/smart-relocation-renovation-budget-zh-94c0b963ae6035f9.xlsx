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开支记录" sheetId="3" state="visible" r:id="rId3"/>
    <sheet name="供应商比较" sheetId="4" state="visible" r:id="rId4"/>
    <sheet name="仪表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支出分类占比</a:t>
            </a:r>
          </a:p>
        </rich>
      </tx>
    </title>
    <plotArea>
      <pieChart>
        <varyColors val="1"/>
        <ser>
          <idx val="0"/>
          <order val="0"/>
          <tx>
            <strRef>
              <f>'开支记录'!G1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'开支记录'!$B$2:$B$6</f>
            </numRef>
          </cat>
          <val>
            <numRef>
              <f>'开支记录'!$G$2:$G$6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" displayName="T_____" ref="A1:G106" headerRowCount="1">
  <autoFilter ref="A1:G106"/>
  <tableColumns count="7">
    <tableColumn id="1" name="日期"/>
    <tableColumn id="2" name="类别"/>
    <tableColumn id="3" name="项目"/>
    <tableColumn id="4" name="供应商"/>
    <tableColumn id="5" name="数量"/>
    <tableColumn id="6" name="单价"/>
    <tableColumn id="7" name="总价"/>
  </tableColumns>
  <tableStyleInfo name="TableStyleMedium7" showRowStripes="1"/>
</table>
</file>

<file path=xl/tables/table2.xml><?xml version="1.0" encoding="utf-8"?>
<table xmlns="http://schemas.openxmlformats.org/spreadsheetml/2006/main" id="2" name="T______" displayName="T______" ref="A1:E24" headerRowCount="1">
  <autoFilter ref="A1:E24"/>
  <tableColumns count="5">
    <tableColumn id="1" name="供应商名称"/>
    <tableColumn id="2" name="服务类型"/>
    <tableColumn id="3" name="报价"/>
    <tableColumn id="4" name="评分"/>
    <tableColumn id="5" name="选择"/>
  </tableColumns>
  <tableStyleInfo name="TableStyleMedium7" showRowStripes="1"/>
</table>
</file>

<file path=xl/tables/table3.xml><?xml version="1.0" encoding="utf-8"?>
<table xmlns="http://schemas.openxmlformats.org/spreadsheetml/2006/main" id="3" name="T____" displayName="T____" ref="A1:B31" headerRowCount="1">
  <autoFilter ref="A1:B31"/>
  <tableColumns count="2">
    <tableColumn id="1" name="指标"/>
    <tableColumn id="2" name="数值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4320;&#25903;&#35760;&#24405;'!A1" TargetMode="External" Id="rId2" /><Relationship Type="http://schemas.openxmlformats.org/officeDocument/2006/relationships/hyperlink" Target="#'&#20379;&#24212;&#21830;&#27604;&#36739;'!A1" TargetMode="External" Id="rId3" /><Relationship Type="http://schemas.openxmlformats.org/officeDocument/2006/relationships/hyperlink" Target="#'&#20202;&#34920;&#30424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智能搬迁与装修预算追踪器 - 2026专业版</t>
        </is>
      </c>
    </row>
    <row r="3" ht="45" customHeight="1">
      <c r="C3" s="2" t="inlineStr">
        <is>
          <t>一站式管理您的搬迁和装修开支，自动计算总成本并提供可视化的花费分析，帮您节省高达20%的预算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填写基本信息表设置总预算</t>
        </is>
      </c>
    </row>
    <row r="7" ht="18" customHeight="1">
      <c r="B7" s="4" t="inlineStr">
        <is>
          <t>2.</t>
        </is>
      </c>
      <c r="C7" s="5" t="inlineStr">
        <is>
          <t>在“开支记录”页录入每笔费用</t>
        </is>
      </c>
    </row>
    <row r="8" ht="18" customHeight="1">
      <c r="B8" s="4" t="inlineStr">
        <is>
          <t>3.</t>
        </is>
      </c>
      <c r="C8" s="5" t="inlineStr">
        <is>
          <t>使用“供应商比较”页评估报价</t>
        </is>
      </c>
    </row>
    <row r="9" ht="18" customHeight="1">
      <c r="B9" s="4" t="inlineStr">
        <is>
          <t>4.</t>
        </is>
      </c>
      <c r="C9" s="5" t="inlineStr">
        <is>
          <t>查看仪表盘掌握实时预算状态</t>
        </is>
      </c>
    </row>
    <row r="10" ht="18" customHeight="1">
      <c r="B10" s="4" t="inlineStr">
        <is>
          <t>5.</t>
        </is>
      </c>
      <c r="C10" s="5" t="inlineStr">
        <is>
          <t>根据预警调整开支计划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开支记录</t>
        </is>
      </c>
    </row>
    <row r="17">
      <c r="C17" s="7" t="inlineStr">
        <is>
          <t>→ 供应商比较</t>
        </is>
      </c>
    </row>
    <row r="18">
      <c r="C18" s="7" t="inlineStr">
        <is>
          <t>→ 仪表盘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智能搬迁与装修预算追踪器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总支出</t>
        </is>
      </c>
      <c r="C5" s="12">
        <f>SUM('开支记录'!G2:G300)</f>
        <v/>
      </c>
    </row>
    <row r="6" ht="24" customHeight="1">
      <c r="B6" s="11" t="inlineStr">
        <is>
          <t>剩余预算</t>
        </is>
      </c>
      <c r="C6" s="12">
        <f>B2-'开支记录'!G300</f>
        <v/>
      </c>
    </row>
    <row r="7" ht="24" customHeight="1">
      <c r="B7" s="11" t="inlineStr">
        <is>
          <t>装修材料占比</t>
        </is>
      </c>
      <c r="C7" s="13">
        <f>SUMIF('开支记录'!B2:B300,"装修材料",'开支记录'!G2:G300)/SUM('开支记录'!G2:G300)</f>
        <v/>
      </c>
    </row>
    <row r="8" ht="24" customHeight="1">
      <c r="B8" s="11" t="inlineStr">
        <is>
          <t>优选供应商数</t>
        </is>
      </c>
      <c r="C8" s="14">
        <f>COUNTIF('供应商比较'!E2:E20,"✓")</f>
        <v/>
      </c>
    </row>
    <row r="9" ht="24" customHeight="1">
      <c r="B9" s="11" t="inlineStr">
        <is>
          <t>日均支出</t>
        </is>
      </c>
      <c r="C9" s="12">
        <f>AVERAGE('开支记录'!G2:G300)</f>
        <v/>
      </c>
    </row>
    <row r="10" ht="24" customHeight="1">
      <c r="B10" s="11" t="inlineStr">
        <is>
          <t>最高单笔支出</t>
        </is>
      </c>
      <c r="C10" s="12">
        <f>MAX('开支记录'!G2:G300)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 ht="32" customHeight="1">
      <c r="A1" s="15" t="inlineStr">
        <is>
          <t>日期</t>
        </is>
      </c>
      <c r="B1" s="15" t="inlineStr">
        <is>
          <t>类别</t>
        </is>
      </c>
      <c r="C1" s="15" t="inlineStr">
        <is>
          <t>项目</t>
        </is>
      </c>
      <c r="D1" s="15" t="inlineStr">
        <is>
          <t>供应商</t>
        </is>
      </c>
      <c r="E1" s="15" t="inlineStr">
        <is>
          <t>数量</t>
        </is>
      </c>
      <c r="F1" s="15" t="inlineStr">
        <is>
          <t>单价</t>
        </is>
      </c>
      <c r="G1" s="15" t="inlineStr">
        <is>
          <t>总价</t>
        </is>
      </c>
    </row>
    <row r="2">
      <c r="A2" s="16" t="n">
        <v>46091</v>
      </c>
      <c r="B2" s="17" t="inlineStr">
        <is>
          <t>装修材料</t>
        </is>
      </c>
      <c r="C2" s="17" t="inlineStr">
        <is>
          <t>墙面漆</t>
        </is>
      </c>
      <c r="D2" s="17" t="inlineStr">
        <is>
          <t>立邦专卖店</t>
        </is>
      </c>
      <c r="E2" s="18" t="n">
        <v>2</v>
      </c>
      <c r="F2" s="19" t="n">
        <v>350</v>
      </c>
      <c r="G2" s="20">
        <f>E2*F2</f>
        <v/>
      </c>
    </row>
    <row r="3">
      <c r="A3" s="16" t="n">
        <v>46093</v>
      </c>
      <c r="B3" s="17" t="inlineStr">
        <is>
          <t>人工费</t>
        </is>
      </c>
      <c r="C3" s="17" t="inlineStr">
        <is>
          <t>水电改造</t>
        </is>
      </c>
      <c r="D3" s="17" t="inlineStr">
        <is>
          <t>李师傅团队</t>
        </is>
      </c>
      <c r="E3" s="18" t="n">
        <v>1</v>
      </c>
      <c r="F3" s="19" t="n">
        <v>1200</v>
      </c>
      <c r="G3" s="20">
        <f>E3*F3</f>
        <v/>
      </c>
    </row>
    <row r="4">
      <c r="A4" s="16" t="n">
        <v>46096</v>
      </c>
      <c r="B4" s="17" t="inlineStr">
        <is>
          <t>搬迁服务</t>
        </is>
      </c>
      <c r="C4" s="17" t="inlineStr">
        <is>
          <t>家具搬运</t>
        </is>
      </c>
      <c r="D4" s="17" t="inlineStr">
        <is>
          <t>蚂蚁搬家</t>
        </is>
      </c>
      <c r="E4" s="18" t="n">
        <v>1</v>
      </c>
      <c r="F4" s="19" t="n">
        <v>800</v>
      </c>
      <c r="G4" s="20">
        <f>E4*F4</f>
        <v/>
      </c>
    </row>
    <row r="5">
      <c r="A5" s="16" t="n">
        <v>46099</v>
      </c>
      <c r="B5" s="17" t="inlineStr">
        <is>
          <t>装修材料</t>
        </is>
      </c>
      <c r="C5" s="17" t="inlineStr">
        <is>
          <t>地砖</t>
        </is>
      </c>
      <c r="D5" s="17" t="inlineStr">
        <is>
          <t>马可波罗</t>
        </is>
      </c>
      <c r="E5" s="18" t="n">
        <v>25</v>
      </c>
      <c r="F5" s="19" t="n">
        <v>68</v>
      </c>
      <c r="G5" s="20">
        <f>E5*F5</f>
        <v/>
      </c>
    </row>
    <row r="6">
      <c r="A6" s="16" t="n">
        <v>46101</v>
      </c>
      <c r="B6" s="17" t="inlineStr">
        <is>
          <t>设计费</t>
        </is>
      </c>
      <c r="C6" s="17" t="inlineStr">
        <is>
          <t>空间设计</t>
        </is>
      </c>
      <c r="D6" s="17" t="inlineStr">
        <is>
          <t>张设计师</t>
        </is>
      </c>
      <c r="E6" s="18" t="n">
        <v>1</v>
      </c>
      <c r="F6" s="19" t="n">
        <v>3000</v>
      </c>
      <c r="G6" s="20">
        <f>E6*F6</f>
        <v/>
      </c>
    </row>
    <row r="7">
      <c r="A7" s="16" t="n"/>
      <c r="B7" s="17" t="n"/>
      <c r="C7" s="17" t="n"/>
      <c r="D7" s="17" t="n"/>
      <c r="E7" s="18" t="n"/>
      <c r="F7" s="19" t="n"/>
      <c r="G7" s="20">
        <f>IF(A7="","",E7*F7)</f>
        <v/>
      </c>
    </row>
    <row r="8">
      <c r="A8" s="16" t="n"/>
      <c r="B8" s="17" t="n"/>
      <c r="C8" s="17" t="n"/>
      <c r="D8" s="17" t="n"/>
      <c r="E8" s="18" t="n"/>
      <c r="F8" s="19" t="n"/>
      <c r="G8" s="20">
        <f>IF(A8="","",E8*F8)</f>
        <v/>
      </c>
    </row>
    <row r="9">
      <c r="A9" s="16" t="n"/>
      <c r="B9" s="17" t="n"/>
      <c r="C9" s="17" t="n"/>
      <c r="D9" s="17" t="n"/>
      <c r="E9" s="18" t="n"/>
      <c r="F9" s="19" t="n"/>
      <c r="G9" s="20">
        <f>IF(A9="","",E9*F9)</f>
        <v/>
      </c>
    </row>
    <row r="10">
      <c r="A10" s="16" t="n"/>
      <c r="B10" s="17" t="n"/>
      <c r="C10" s="17" t="n"/>
      <c r="D10" s="17" t="n"/>
      <c r="E10" s="18" t="n"/>
      <c r="F10" s="19" t="n"/>
      <c r="G10" s="20">
        <f>IF(A10="","",E10*F10)</f>
        <v/>
      </c>
    </row>
    <row r="11">
      <c r="A11" s="16" t="n"/>
      <c r="B11" s="17" t="n"/>
      <c r="C11" s="17" t="n"/>
      <c r="D11" s="17" t="n"/>
      <c r="E11" s="18" t="n"/>
      <c r="F11" s="19" t="n"/>
      <c r="G11" s="20">
        <f>IF(A11="","",E11*F11)</f>
        <v/>
      </c>
    </row>
    <row r="12">
      <c r="A12" s="16" t="n"/>
      <c r="B12" s="17" t="n"/>
      <c r="C12" s="17" t="n"/>
      <c r="D12" s="17" t="n"/>
      <c r="E12" s="18" t="n"/>
      <c r="F12" s="19" t="n"/>
      <c r="G12" s="20">
        <f>IF(A12="","",E12*F12)</f>
        <v/>
      </c>
    </row>
    <row r="13">
      <c r="A13" s="16" t="n"/>
      <c r="B13" s="17" t="n"/>
      <c r="C13" s="17" t="n"/>
      <c r="D13" s="17" t="n"/>
      <c r="E13" s="18" t="n"/>
      <c r="F13" s="19" t="n"/>
      <c r="G13" s="20">
        <f>IF(A13="","",E13*F13)</f>
        <v/>
      </c>
    </row>
    <row r="14">
      <c r="A14" s="16" t="n"/>
      <c r="B14" s="17" t="n"/>
      <c r="C14" s="17" t="n"/>
      <c r="D14" s="17" t="n"/>
      <c r="E14" s="18" t="n"/>
      <c r="F14" s="19" t="n"/>
      <c r="G14" s="20">
        <f>IF(A14="","",E14*F14)</f>
        <v/>
      </c>
    </row>
    <row r="15">
      <c r="A15" s="16" t="n"/>
      <c r="B15" s="17" t="n"/>
      <c r="C15" s="17" t="n"/>
      <c r="D15" s="17" t="n"/>
      <c r="E15" s="18" t="n"/>
      <c r="F15" s="19" t="n"/>
      <c r="G15" s="20">
        <f>IF(A15="","",E15*F15)</f>
        <v/>
      </c>
    </row>
    <row r="16">
      <c r="A16" s="16" t="n"/>
      <c r="B16" s="17" t="n"/>
      <c r="C16" s="17" t="n"/>
      <c r="D16" s="17" t="n"/>
      <c r="E16" s="18" t="n"/>
      <c r="F16" s="19" t="n"/>
      <c r="G16" s="20">
        <f>IF(A16="","",E16*F16)</f>
        <v/>
      </c>
    </row>
    <row r="17">
      <c r="A17" s="16" t="n"/>
      <c r="B17" s="17" t="n"/>
      <c r="C17" s="17" t="n"/>
      <c r="D17" s="17" t="n"/>
      <c r="E17" s="18" t="n"/>
      <c r="F17" s="19" t="n"/>
      <c r="G17" s="20">
        <f>IF(A17="","",E17*F17)</f>
        <v/>
      </c>
    </row>
    <row r="18">
      <c r="A18" s="16" t="n"/>
      <c r="B18" s="17" t="n"/>
      <c r="C18" s="17" t="n"/>
      <c r="D18" s="17" t="n"/>
      <c r="E18" s="18" t="n"/>
      <c r="F18" s="19" t="n"/>
      <c r="G18" s="20">
        <f>IF(A18="","",E18*F18)</f>
        <v/>
      </c>
    </row>
    <row r="19">
      <c r="A19" s="16" t="n"/>
      <c r="B19" s="17" t="n"/>
      <c r="C19" s="17" t="n"/>
      <c r="D19" s="17" t="n"/>
      <c r="E19" s="18" t="n"/>
      <c r="F19" s="19" t="n"/>
      <c r="G19" s="20">
        <f>IF(A19="","",E19*F19)</f>
        <v/>
      </c>
    </row>
    <row r="20">
      <c r="A20" s="16" t="n"/>
      <c r="B20" s="17" t="n"/>
      <c r="C20" s="17" t="n"/>
      <c r="D20" s="17" t="n"/>
      <c r="E20" s="18" t="n"/>
      <c r="F20" s="19" t="n"/>
      <c r="G20" s="20">
        <f>IF(A20="","",E20*F20)</f>
        <v/>
      </c>
    </row>
    <row r="21">
      <c r="A21" s="16" t="n"/>
      <c r="B21" s="17" t="n"/>
      <c r="C21" s="17" t="n"/>
      <c r="D21" s="17" t="n"/>
      <c r="E21" s="18" t="n"/>
      <c r="F21" s="19" t="n"/>
      <c r="G21" s="20">
        <f>IF(A21="","",E21*F21)</f>
        <v/>
      </c>
    </row>
    <row r="22">
      <c r="A22" s="16" t="n"/>
      <c r="B22" s="17" t="n"/>
      <c r="C22" s="17" t="n"/>
      <c r="D22" s="17" t="n"/>
      <c r="E22" s="18" t="n"/>
      <c r="F22" s="19" t="n"/>
      <c r="G22" s="20">
        <f>IF(A22="","",E22*F22)</f>
        <v/>
      </c>
    </row>
    <row r="23">
      <c r="A23" s="16" t="n"/>
      <c r="B23" s="17" t="n"/>
      <c r="C23" s="17" t="n"/>
      <c r="D23" s="17" t="n"/>
      <c r="E23" s="18" t="n"/>
      <c r="F23" s="19" t="n"/>
      <c r="G23" s="20">
        <f>IF(A23="","",E23*F23)</f>
        <v/>
      </c>
    </row>
    <row r="24">
      <c r="A24" s="16" t="n"/>
      <c r="B24" s="17" t="n"/>
      <c r="C24" s="17" t="n"/>
      <c r="D24" s="17" t="n"/>
      <c r="E24" s="18" t="n"/>
      <c r="F24" s="19" t="n"/>
      <c r="G24" s="20">
        <f>IF(A24="","",E24*F24)</f>
        <v/>
      </c>
    </row>
    <row r="25">
      <c r="A25" s="16" t="n"/>
      <c r="B25" s="17" t="n"/>
      <c r="C25" s="17" t="n"/>
      <c r="D25" s="17" t="n"/>
      <c r="E25" s="18" t="n"/>
      <c r="F25" s="19" t="n"/>
      <c r="G25" s="20">
        <f>IF(A25="","",E25*F25)</f>
        <v/>
      </c>
    </row>
    <row r="26">
      <c r="A26" s="16" t="n"/>
      <c r="B26" s="17" t="n"/>
      <c r="C26" s="17" t="n"/>
      <c r="D26" s="17" t="n"/>
      <c r="E26" s="18" t="n"/>
      <c r="F26" s="19" t="n"/>
      <c r="G26" s="20">
        <f>IF(A26="","",E26*F26)</f>
        <v/>
      </c>
    </row>
    <row r="27">
      <c r="A27" s="16" t="n"/>
      <c r="B27" s="17" t="n"/>
      <c r="C27" s="17" t="n"/>
      <c r="D27" s="17" t="n"/>
      <c r="E27" s="18" t="n"/>
      <c r="F27" s="19" t="n"/>
      <c r="G27" s="20">
        <f>IF(A27="","",E27*F27)</f>
        <v/>
      </c>
    </row>
    <row r="28">
      <c r="A28" s="16" t="n"/>
      <c r="B28" s="17" t="n"/>
      <c r="C28" s="17" t="n"/>
      <c r="D28" s="17" t="n"/>
      <c r="E28" s="18" t="n"/>
      <c r="F28" s="19" t="n"/>
      <c r="G28" s="20">
        <f>IF(A28="","",E28*F28)</f>
        <v/>
      </c>
    </row>
    <row r="29">
      <c r="A29" s="16" t="n"/>
      <c r="B29" s="17" t="n"/>
      <c r="C29" s="17" t="n"/>
      <c r="D29" s="17" t="n"/>
      <c r="E29" s="18" t="n"/>
      <c r="F29" s="19" t="n"/>
      <c r="G29" s="20">
        <f>IF(A29="","",E29*F29)</f>
        <v/>
      </c>
    </row>
    <row r="30">
      <c r="A30" s="16" t="n"/>
      <c r="B30" s="17" t="n"/>
      <c r="C30" s="17" t="n"/>
      <c r="D30" s="17" t="n"/>
      <c r="E30" s="18" t="n"/>
      <c r="F30" s="19" t="n"/>
      <c r="G30" s="20">
        <f>IF(A30="","",E30*F30)</f>
        <v/>
      </c>
    </row>
    <row r="31">
      <c r="A31" s="16" t="n"/>
      <c r="B31" s="17" t="n"/>
      <c r="C31" s="17" t="n"/>
      <c r="D31" s="17" t="n"/>
      <c r="E31" s="18" t="n"/>
      <c r="F31" s="19" t="n"/>
      <c r="G31" s="20">
        <f>IF(A31="","",E31*F31)</f>
        <v/>
      </c>
    </row>
    <row r="32">
      <c r="A32" s="16" t="n"/>
      <c r="B32" s="17" t="n"/>
      <c r="C32" s="17" t="n"/>
      <c r="D32" s="17" t="n"/>
      <c r="E32" s="18" t="n"/>
      <c r="F32" s="19" t="n"/>
      <c r="G32" s="20">
        <f>IF(A32="","",E32*F32)</f>
        <v/>
      </c>
    </row>
    <row r="33">
      <c r="A33" s="16" t="n"/>
      <c r="B33" s="17" t="n"/>
      <c r="C33" s="17" t="n"/>
      <c r="D33" s="17" t="n"/>
      <c r="E33" s="18" t="n"/>
      <c r="F33" s="19" t="n"/>
      <c r="G33" s="20">
        <f>IF(A33="","",E33*F33)</f>
        <v/>
      </c>
    </row>
    <row r="34">
      <c r="A34" s="16" t="n"/>
      <c r="B34" s="17" t="n"/>
      <c r="C34" s="17" t="n"/>
      <c r="D34" s="17" t="n"/>
      <c r="E34" s="18" t="n"/>
      <c r="F34" s="19" t="n"/>
      <c r="G34" s="20">
        <f>IF(A34="","",E34*F34)</f>
        <v/>
      </c>
    </row>
    <row r="35">
      <c r="A35" s="16" t="n"/>
      <c r="B35" s="17" t="n"/>
      <c r="C35" s="17" t="n"/>
      <c r="D35" s="17" t="n"/>
      <c r="E35" s="18" t="n"/>
      <c r="F35" s="19" t="n"/>
      <c r="G35" s="20">
        <f>IF(A35="","",E35*F35)</f>
        <v/>
      </c>
    </row>
    <row r="36">
      <c r="A36" s="16" t="n"/>
      <c r="B36" s="17" t="n"/>
      <c r="C36" s="17" t="n"/>
      <c r="D36" s="17" t="n"/>
      <c r="E36" s="18" t="n"/>
      <c r="F36" s="19" t="n"/>
      <c r="G36" s="20">
        <f>IF(A36="","",E36*F36)</f>
        <v/>
      </c>
    </row>
    <row r="37">
      <c r="A37" s="16" t="n"/>
      <c r="B37" s="17" t="n"/>
      <c r="C37" s="17" t="n"/>
      <c r="D37" s="17" t="n"/>
      <c r="E37" s="18" t="n"/>
      <c r="F37" s="19" t="n"/>
      <c r="G37" s="20">
        <f>IF(A37="","",E37*F37)</f>
        <v/>
      </c>
    </row>
    <row r="38">
      <c r="A38" s="16" t="n"/>
      <c r="B38" s="17" t="n"/>
      <c r="C38" s="17" t="n"/>
      <c r="D38" s="17" t="n"/>
      <c r="E38" s="18" t="n"/>
      <c r="F38" s="19" t="n"/>
      <c r="G38" s="20">
        <f>IF(A38="","",E38*F38)</f>
        <v/>
      </c>
    </row>
    <row r="39">
      <c r="A39" s="16" t="n"/>
      <c r="B39" s="17" t="n"/>
      <c r="C39" s="17" t="n"/>
      <c r="D39" s="17" t="n"/>
      <c r="E39" s="18" t="n"/>
      <c r="F39" s="19" t="n"/>
      <c r="G39" s="20">
        <f>IF(A39="","",E39*F39)</f>
        <v/>
      </c>
    </row>
    <row r="40">
      <c r="A40" s="16" t="n"/>
      <c r="B40" s="17" t="n"/>
      <c r="C40" s="17" t="n"/>
      <c r="D40" s="17" t="n"/>
      <c r="E40" s="18" t="n"/>
      <c r="F40" s="19" t="n"/>
      <c r="G40" s="20">
        <f>IF(A40="","",E40*F40)</f>
        <v/>
      </c>
    </row>
    <row r="41">
      <c r="A41" s="16" t="n"/>
      <c r="B41" s="17" t="n"/>
      <c r="C41" s="17" t="n"/>
      <c r="D41" s="17" t="n"/>
      <c r="E41" s="18" t="n"/>
      <c r="F41" s="19" t="n"/>
      <c r="G41" s="20">
        <f>IF(A41="","",E41*F41)</f>
        <v/>
      </c>
    </row>
    <row r="42">
      <c r="A42" s="16" t="n"/>
      <c r="B42" s="17" t="n"/>
      <c r="C42" s="17" t="n"/>
      <c r="D42" s="17" t="n"/>
      <c r="E42" s="18" t="n"/>
      <c r="F42" s="19" t="n"/>
      <c r="G42" s="20">
        <f>IF(A42="","",E42*F42)</f>
        <v/>
      </c>
    </row>
    <row r="43">
      <c r="A43" s="16" t="n"/>
      <c r="B43" s="17" t="n"/>
      <c r="C43" s="17" t="n"/>
      <c r="D43" s="17" t="n"/>
      <c r="E43" s="18" t="n"/>
      <c r="F43" s="19" t="n"/>
      <c r="G43" s="20">
        <f>IF(A43="","",E43*F43)</f>
        <v/>
      </c>
    </row>
    <row r="44">
      <c r="A44" s="16" t="n"/>
      <c r="B44" s="17" t="n"/>
      <c r="C44" s="17" t="n"/>
      <c r="D44" s="17" t="n"/>
      <c r="E44" s="18" t="n"/>
      <c r="F44" s="19" t="n"/>
      <c r="G44" s="20">
        <f>IF(A44="","",E44*F44)</f>
        <v/>
      </c>
    </row>
    <row r="45">
      <c r="A45" s="16" t="n"/>
      <c r="B45" s="17" t="n"/>
      <c r="C45" s="17" t="n"/>
      <c r="D45" s="17" t="n"/>
      <c r="E45" s="18" t="n"/>
      <c r="F45" s="19" t="n"/>
      <c r="G45" s="20">
        <f>IF(A45="","",E45*F45)</f>
        <v/>
      </c>
    </row>
    <row r="46">
      <c r="A46" s="16" t="n"/>
      <c r="B46" s="17" t="n"/>
      <c r="C46" s="17" t="n"/>
      <c r="D46" s="17" t="n"/>
      <c r="E46" s="18" t="n"/>
      <c r="F46" s="19" t="n"/>
      <c r="G46" s="20">
        <f>IF(A46="","",E46*F46)</f>
        <v/>
      </c>
    </row>
    <row r="47">
      <c r="A47" s="16" t="n"/>
      <c r="B47" s="17" t="n"/>
      <c r="C47" s="17" t="n"/>
      <c r="D47" s="17" t="n"/>
      <c r="E47" s="18" t="n"/>
      <c r="F47" s="19" t="n"/>
      <c r="G47" s="20">
        <f>IF(A47="","",E47*F47)</f>
        <v/>
      </c>
    </row>
    <row r="48">
      <c r="A48" s="16" t="n"/>
      <c r="B48" s="17" t="n"/>
      <c r="C48" s="17" t="n"/>
      <c r="D48" s="17" t="n"/>
      <c r="E48" s="18" t="n"/>
      <c r="F48" s="19" t="n"/>
      <c r="G48" s="20">
        <f>IF(A48="","",E48*F48)</f>
        <v/>
      </c>
    </row>
    <row r="49">
      <c r="A49" s="16" t="n"/>
      <c r="B49" s="17" t="n"/>
      <c r="C49" s="17" t="n"/>
      <c r="D49" s="17" t="n"/>
      <c r="E49" s="18" t="n"/>
      <c r="F49" s="19" t="n"/>
      <c r="G49" s="20">
        <f>IF(A49="","",E49*F49)</f>
        <v/>
      </c>
    </row>
    <row r="50">
      <c r="A50" s="16" t="n"/>
      <c r="B50" s="17" t="n"/>
      <c r="C50" s="17" t="n"/>
      <c r="D50" s="17" t="n"/>
      <c r="E50" s="18" t="n"/>
      <c r="F50" s="19" t="n"/>
      <c r="G50" s="20">
        <f>IF(A50="","",E50*F50)</f>
        <v/>
      </c>
    </row>
    <row r="51">
      <c r="A51" s="16" t="n"/>
      <c r="B51" s="17" t="n"/>
      <c r="C51" s="17" t="n"/>
      <c r="D51" s="17" t="n"/>
      <c r="E51" s="18" t="n"/>
      <c r="F51" s="19" t="n"/>
      <c r="G51" s="20">
        <f>IF(A51="","",E51*F51)</f>
        <v/>
      </c>
    </row>
    <row r="52">
      <c r="A52" s="16" t="n"/>
      <c r="B52" s="17" t="n"/>
      <c r="C52" s="17" t="n"/>
      <c r="D52" s="17" t="n"/>
      <c r="E52" s="18" t="n"/>
      <c r="F52" s="19" t="n"/>
      <c r="G52" s="20">
        <f>IF(A52="","",E52*F52)</f>
        <v/>
      </c>
    </row>
    <row r="53">
      <c r="A53" s="16" t="n"/>
      <c r="B53" s="17" t="n"/>
      <c r="C53" s="17" t="n"/>
      <c r="D53" s="17" t="n"/>
      <c r="E53" s="18" t="n"/>
      <c r="F53" s="19" t="n"/>
      <c r="G53" s="20">
        <f>IF(A53="","",E53*F53)</f>
        <v/>
      </c>
    </row>
    <row r="54">
      <c r="A54" s="16" t="n"/>
      <c r="B54" s="17" t="n"/>
      <c r="C54" s="17" t="n"/>
      <c r="D54" s="17" t="n"/>
      <c r="E54" s="18" t="n"/>
      <c r="F54" s="19" t="n"/>
      <c r="G54" s="20">
        <f>IF(A54="","",E54*F54)</f>
        <v/>
      </c>
    </row>
    <row r="55">
      <c r="A55" s="16" t="n"/>
      <c r="B55" s="17" t="n"/>
      <c r="C55" s="17" t="n"/>
      <c r="D55" s="17" t="n"/>
      <c r="E55" s="18" t="n"/>
      <c r="F55" s="19" t="n"/>
      <c r="G55" s="20">
        <f>IF(A55="","",E55*F55)</f>
        <v/>
      </c>
    </row>
    <row r="56">
      <c r="A56" s="16" t="n"/>
      <c r="B56" s="17" t="n"/>
      <c r="C56" s="17" t="n"/>
      <c r="D56" s="17" t="n"/>
      <c r="E56" s="18" t="n"/>
      <c r="F56" s="19" t="n"/>
      <c r="G56" s="20">
        <f>IF(A56="","",E56*F56)</f>
        <v/>
      </c>
    </row>
    <row r="57">
      <c r="A57" s="16" t="n"/>
      <c r="B57" s="17" t="n"/>
      <c r="C57" s="17" t="n"/>
      <c r="D57" s="17" t="n"/>
      <c r="E57" s="18" t="n"/>
      <c r="F57" s="19" t="n"/>
      <c r="G57" s="20">
        <f>IF(A57="","",E57*F57)</f>
        <v/>
      </c>
    </row>
    <row r="58">
      <c r="A58" s="16" t="n"/>
      <c r="B58" s="17" t="n"/>
      <c r="C58" s="17" t="n"/>
      <c r="D58" s="17" t="n"/>
      <c r="E58" s="18" t="n"/>
      <c r="F58" s="19" t="n"/>
      <c r="G58" s="20">
        <f>IF(A58="","",E58*F58)</f>
        <v/>
      </c>
    </row>
    <row r="59">
      <c r="A59" s="16" t="n"/>
      <c r="B59" s="17" t="n"/>
      <c r="C59" s="17" t="n"/>
      <c r="D59" s="17" t="n"/>
      <c r="E59" s="18" t="n"/>
      <c r="F59" s="19" t="n"/>
      <c r="G59" s="20">
        <f>IF(A59="","",E59*F59)</f>
        <v/>
      </c>
    </row>
    <row r="60">
      <c r="A60" s="16" t="n"/>
      <c r="B60" s="17" t="n"/>
      <c r="C60" s="17" t="n"/>
      <c r="D60" s="17" t="n"/>
      <c r="E60" s="18" t="n"/>
      <c r="F60" s="19" t="n"/>
      <c r="G60" s="20">
        <f>IF(A60="","",E60*F60)</f>
        <v/>
      </c>
    </row>
    <row r="61">
      <c r="A61" s="16" t="n"/>
      <c r="B61" s="17" t="n"/>
      <c r="C61" s="17" t="n"/>
      <c r="D61" s="17" t="n"/>
      <c r="E61" s="18" t="n"/>
      <c r="F61" s="19" t="n"/>
      <c r="G61" s="20">
        <f>IF(A61="","",E61*F61)</f>
        <v/>
      </c>
    </row>
    <row r="62">
      <c r="A62" s="16" t="n"/>
      <c r="B62" s="17" t="n"/>
      <c r="C62" s="17" t="n"/>
      <c r="D62" s="17" t="n"/>
      <c r="E62" s="18" t="n"/>
      <c r="F62" s="19" t="n"/>
      <c r="G62" s="20">
        <f>IF(A62="","",E62*F62)</f>
        <v/>
      </c>
    </row>
    <row r="63">
      <c r="A63" s="16" t="n"/>
      <c r="B63" s="17" t="n"/>
      <c r="C63" s="17" t="n"/>
      <c r="D63" s="17" t="n"/>
      <c r="E63" s="18" t="n"/>
      <c r="F63" s="19" t="n"/>
      <c r="G63" s="20">
        <f>IF(A63="","",E63*F63)</f>
        <v/>
      </c>
    </row>
    <row r="64">
      <c r="A64" s="16" t="n"/>
      <c r="B64" s="17" t="n"/>
      <c r="C64" s="17" t="n"/>
      <c r="D64" s="17" t="n"/>
      <c r="E64" s="18" t="n"/>
      <c r="F64" s="19" t="n"/>
      <c r="G64" s="20">
        <f>IF(A64="","",E64*F64)</f>
        <v/>
      </c>
    </row>
    <row r="65">
      <c r="A65" s="16" t="n"/>
      <c r="B65" s="17" t="n"/>
      <c r="C65" s="17" t="n"/>
      <c r="D65" s="17" t="n"/>
      <c r="E65" s="18" t="n"/>
      <c r="F65" s="19" t="n"/>
      <c r="G65" s="20">
        <f>IF(A65="","",E65*F65)</f>
        <v/>
      </c>
    </row>
    <row r="66">
      <c r="A66" s="16" t="n"/>
      <c r="B66" s="17" t="n"/>
      <c r="C66" s="17" t="n"/>
      <c r="D66" s="17" t="n"/>
      <c r="E66" s="18" t="n"/>
      <c r="F66" s="19" t="n"/>
      <c r="G66" s="20">
        <f>IF(A66="","",E66*F66)</f>
        <v/>
      </c>
    </row>
    <row r="67">
      <c r="A67" s="16" t="n"/>
      <c r="B67" s="17" t="n"/>
      <c r="C67" s="17" t="n"/>
      <c r="D67" s="17" t="n"/>
      <c r="E67" s="18" t="n"/>
      <c r="F67" s="19" t="n"/>
      <c r="G67" s="20">
        <f>IF(A67="","",E67*F67)</f>
        <v/>
      </c>
    </row>
    <row r="68">
      <c r="A68" s="16" t="n"/>
      <c r="B68" s="17" t="n"/>
      <c r="C68" s="17" t="n"/>
      <c r="D68" s="17" t="n"/>
      <c r="E68" s="18" t="n"/>
      <c r="F68" s="19" t="n"/>
      <c r="G68" s="20">
        <f>IF(A68="","",E68*F68)</f>
        <v/>
      </c>
    </row>
    <row r="69">
      <c r="A69" s="16" t="n"/>
      <c r="B69" s="17" t="n"/>
      <c r="C69" s="17" t="n"/>
      <c r="D69" s="17" t="n"/>
      <c r="E69" s="18" t="n"/>
      <c r="F69" s="19" t="n"/>
      <c r="G69" s="20">
        <f>IF(A69="","",E69*F69)</f>
        <v/>
      </c>
    </row>
    <row r="70">
      <c r="A70" s="16" t="n"/>
      <c r="B70" s="17" t="n"/>
      <c r="C70" s="17" t="n"/>
      <c r="D70" s="17" t="n"/>
      <c r="E70" s="18" t="n"/>
      <c r="F70" s="19" t="n"/>
      <c r="G70" s="20">
        <f>IF(A70="","",E70*F70)</f>
        <v/>
      </c>
    </row>
    <row r="71">
      <c r="A71" s="16" t="n"/>
      <c r="B71" s="17" t="n"/>
      <c r="C71" s="17" t="n"/>
      <c r="D71" s="17" t="n"/>
      <c r="E71" s="18" t="n"/>
      <c r="F71" s="19" t="n"/>
      <c r="G71" s="20">
        <f>IF(A71="","",E71*F71)</f>
        <v/>
      </c>
    </row>
    <row r="72">
      <c r="A72" s="16" t="n"/>
      <c r="B72" s="17" t="n"/>
      <c r="C72" s="17" t="n"/>
      <c r="D72" s="17" t="n"/>
      <c r="E72" s="18" t="n"/>
      <c r="F72" s="19" t="n"/>
      <c r="G72" s="20">
        <f>IF(A72="","",E72*F72)</f>
        <v/>
      </c>
    </row>
    <row r="73">
      <c r="A73" s="16" t="n"/>
      <c r="B73" s="17" t="n"/>
      <c r="C73" s="17" t="n"/>
      <c r="D73" s="17" t="n"/>
      <c r="E73" s="18" t="n"/>
      <c r="F73" s="19" t="n"/>
      <c r="G73" s="20">
        <f>IF(A73="","",E73*F73)</f>
        <v/>
      </c>
    </row>
    <row r="74">
      <c r="A74" s="16" t="n"/>
      <c r="B74" s="17" t="n"/>
      <c r="C74" s="17" t="n"/>
      <c r="D74" s="17" t="n"/>
      <c r="E74" s="18" t="n"/>
      <c r="F74" s="19" t="n"/>
      <c r="G74" s="20">
        <f>IF(A74="","",E74*F74)</f>
        <v/>
      </c>
    </row>
    <row r="75">
      <c r="A75" s="16" t="n"/>
      <c r="B75" s="17" t="n"/>
      <c r="C75" s="17" t="n"/>
      <c r="D75" s="17" t="n"/>
      <c r="E75" s="18" t="n"/>
      <c r="F75" s="19" t="n"/>
      <c r="G75" s="20">
        <f>IF(A75="","",E75*F75)</f>
        <v/>
      </c>
    </row>
    <row r="76">
      <c r="A76" s="16" t="n"/>
      <c r="B76" s="17" t="n"/>
      <c r="C76" s="17" t="n"/>
      <c r="D76" s="17" t="n"/>
      <c r="E76" s="18" t="n"/>
      <c r="F76" s="19" t="n"/>
      <c r="G76" s="20">
        <f>IF(A76="","",E76*F76)</f>
        <v/>
      </c>
    </row>
    <row r="77">
      <c r="A77" s="16" t="n"/>
      <c r="B77" s="17" t="n"/>
      <c r="C77" s="17" t="n"/>
      <c r="D77" s="17" t="n"/>
      <c r="E77" s="18" t="n"/>
      <c r="F77" s="19" t="n"/>
      <c r="G77" s="20">
        <f>IF(A77="","",E77*F77)</f>
        <v/>
      </c>
    </row>
    <row r="78">
      <c r="A78" s="16" t="n"/>
      <c r="B78" s="17" t="n"/>
      <c r="C78" s="17" t="n"/>
      <c r="D78" s="17" t="n"/>
      <c r="E78" s="18" t="n"/>
      <c r="F78" s="19" t="n"/>
      <c r="G78" s="20">
        <f>IF(A78="","",E78*F78)</f>
        <v/>
      </c>
    </row>
    <row r="79">
      <c r="A79" s="16" t="n"/>
      <c r="B79" s="17" t="n"/>
      <c r="C79" s="17" t="n"/>
      <c r="D79" s="17" t="n"/>
      <c r="E79" s="18" t="n"/>
      <c r="F79" s="19" t="n"/>
      <c r="G79" s="20">
        <f>IF(A79="","",E79*F79)</f>
        <v/>
      </c>
    </row>
    <row r="80">
      <c r="A80" s="16" t="n"/>
      <c r="B80" s="17" t="n"/>
      <c r="C80" s="17" t="n"/>
      <c r="D80" s="17" t="n"/>
      <c r="E80" s="18" t="n"/>
      <c r="F80" s="19" t="n"/>
      <c r="G80" s="20">
        <f>IF(A80="","",E80*F80)</f>
        <v/>
      </c>
    </row>
    <row r="81">
      <c r="A81" s="16" t="n"/>
      <c r="B81" s="17" t="n"/>
      <c r="C81" s="17" t="n"/>
      <c r="D81" s="17" t="n"/>
      <c r="E81" s="18" t="n"/>
      <c r="F81" s="19" t="n"/>
      <c r="G81" s="20">
        <f>IF(A81="","",E81*F81)</f>
        <v/>
      </c>
    </row>
    <row r="82">
      <c r="A82" s="16" t="n"/>
      <c r="B82" s="17" t="n"/>
      <c r="C82" s="17" t="n"/>
      <c r="D82" s="17" t="n"/>
      <c r="E82" s="18" t="n"/>
      <c r="F82" s="19" t="n"/>
      <c r="G82" s="20">
        <f>IF(A82="","",E82*F82)</f>
        <v/>
      </c>
    </row>
    <row r="83">
      <c r="A83" s="16" t="n"/>
      <c r="B83" s="17" t="n"/>
      <c r="C83" s="17" t="n"/>
      <c r="D83" s="17" t="n"/>
      <c r="E83" s="18" t="n"/>
      <c r="F83" s="19" t="n"/>
      <c r="G83" s="20">
        <f>IF(A83="","",E83*F83)</f>
        <v/>
      </c>
    </row>
    <row r="84">
      <c r="A84" s="16" t="n"/>
      <c r="B84" s="17" t="n"/>
      <c r="C84" s="17" t="n"/>
      <c r="D84" s="17" t="n"/>
      <c r="E84" s="18" t="n"/>
      <c r="F84" s="19" t="n"/>
      <c r="G84" s="20">
        <f>IF(A84="","",E84*F84)</f>
        <v/>
      </c>
    </row>
    <row r="85">
      <c r="A85" s="16" t="n"/>
      <c r="B85" s="17" t="n"/>
      <c r="C85" s="17" t="n"/>
      <c r="D85" s="17" t="n"/>
      <c r="E85" s="18" t="n"/>
      <c r="F85" s="19" t="n"/>
      <c r="G85" s="20">
        <f>IF(A85="","",E85*F85)</f>
        <v/>
      </c>
    </row>
    <row r="86">
      <c r="A86" s="16" t="n"/>
      <c r="B86" s="17" t="n"/>
      <c r="C86" s="17" t="n"/>
      <c r="D86" s="17" t="n"/>
      <c r="E86" s="18" t="n"/>
      <c r="F86" s="19" t="n"/>
      <c r="G86" s="20">
        <f>IF(A86="","",E86*F86)</f>
        <v/>
      </c>
    </row>
    <row r="87">
      <c r="A87" s="16" t="n"/>
      <c r="B87" s="17" t="n"/>
      <c r="C87" s="17" t="n"/>
      <c r="D87" s="17" t="n"/>
      <c r="E87" s="18" t="n"/>
      <c r="F87" s="19" t="n"/>
      <c r="G87" s="20">
        <f>IF(A87="","",E87*F87)</f>
        <v/>
      </c>
    </row>
    <row r="88">
      <c r="A88" s="16" t="n"/>
      <c r="B88" s="17" t="n"/>
      <c r="C88" s="17" t="n"/>
      <c r="D88" s="17" t="n"/>
      <c r="E88" s="18" t="n"/>
      <c r="F88" s="19" t="n"/>
      <c r="G88" s="20">
        <f>IF(A88="","",E88*F88)</f>
        <v/>
      </c>
    </row>
    <row r="89">
      <c r="A89" s="16" t="n"/>
      <c r="B89" s="17" t="n"/>
      <c r="C89" s="17" t="n"/>
      <c r="D89" s="17" t="n"/>
      <c r="E89" s="18" t="n"/>
      <c r="F89" s="19" t="n"/>
      <c r="G89" s="20">
        <f>IF(A89="","",E89*F89)</f>
        <v/>
      </c>
    </row>
    <row r="90">
      <c r="A90" s="16" t="n"/>
      <c r="B90" s="17" t="n"/>
      <c r="C90" s="17" t="n"/>
      <c r="D90" s="17" t="n"/>
      <c r="E90" s="18" t="n"/>
      <c r="F90" s="19" t="n"/>
      <c r="G90" s="20">
        <f>IF(A90="","",E90*F90)</f>
        <v/>
      </c>
    </row>
    <row r="91">
      <c r="A91" s="16" t="n"/>
      <c r="B91" s="17" t="n"/>
      <c r="C91" s="17" t="n"/>
      <c r="D91" s="17" t="n"/>
      <c r="E91" s="18" t="n"/>
      <c r="F91" s="19" t="n"/>
      <c r="G91" s="20">
        <f>IF(A91="","",E91*F91)</f>
        <v/>
      </c>
    </row>
    <row r="92">
      <c r="A92" s="16" t="n"/>
      <c r="B92" s="17" t="n"/>
      <c r="C92" s="17" t="n"/>
      <c r="D92" s="17" t="n"/>
      <c r="E92" s="18" t="n"/>
      <c r="F92" s="19" t="n"/>
      <c r="G92" s="20">
        <f>IF(A92="","",E92*F92)</f>
        <v/>
      </c>
    </row>
    <row r="93">
      <c r="A93" s="16" t="n"/>
      <c r="B93" s="17" t="n"/>
      <c r="C93" s="17" t="n"/>
      <c r="D93" s="17" t="n"/>
      <c r="E93" s="18" t="n"/>
      <c r="F93" s="19" t="n"/>
      <c r="G93" s="20">
        <f>IF(A93="","",E93*F93)</f>
        <v/>
      </c>
    </row>
    <row r="94">
      <c r="A94" s="16" t="n"/>
      <c r="B94" s="17" t="n"/>
      <c r="C94" s="17" t="n"/>
      <c r="D94" s="17" t="n"/>
      <c r="E94" s="18" t="n"/>
      <c r="F94" s="19" t="n"/>
      <c r="G94" s="20">
        <f>IF(A94="","",E94*F94)</f>
        <v/>
      </c>
    </row>
    <row r="95">
      <c r="A95" s="16" t="n"/>
      <c r="B95" s="17" t="n"/>
      <c r="C95" s="17" t="n"/>
      <c r="D95" s="17" t="n"/>
      <c r="E95" s="18" t="n"/>
      <c r="F95" s="19" t="n"/>
      <c r="G95" s="20">
        <f>IF(A95="","",E95*F95)</f>
        <v/>
      </c>
    </row>
    <row r="96">
      <c r="A96" s="16" t="n"/>
      <c r="B96" s="17" t="n"/>
      <c r="C96" s="17" t="n"/>
      <c r="D96" s="17" t="n"/>
      <c r="E96" s="18" t="n"/>
      <c r="F96" s="19" t="n"/>
      <c r="G96" s="20">
        <f>IF(A96="","",E96*F96)</f>
        <v/>
      </c>
    </row>
    <row r="97">
      <c r="A97" s="16" t="n"/>
      <c r="B97" s="17" t="n"/>
      <c r="C97" s="17" t="n"/>
      <c r="D97" s="17" t="n"/>
      <c r="E97" s="18" t="n"/>
      <c r="F97" s="19" t="n"/>
      <c r="G97" s="20">
        <f>IF(A97="","",E97*F97)</f>
        <v/>
      </c>
    </row>
    <row r="98">
      <c r="A98" s="16" t="n"/>
      <c r="B98" s="17" t="n"/>
      <c r="C98" s="17" t="n"/>
      <c r="D98" s="17" t="n"/>
      <c r="E98" s="18" t="n"/>
      <c r="F98" s="19" t="n"/>
      <c r="G98" s="20">
        <f>IF(A98="","",E98*F98)</f>
        <v/>
      </c>
    </row>
    <row r="99">
      <c r="A99" s="16" t="n"/>
      <c r="B99" s="17" t="n"/>
      <c r="C99" s="17" t="n"/>
      <c r="D99" s="17" t="n"/>
      <c r="E99" s="18" t="n"/>
      <c r="F99" s="19" t="n"/>
      <c r="G99" s="20">
        <f>IF(A99="","",E99*F99)</f>
        <v/>
      </c>
    </row>
    <row r="100">
      <c r="A100" s="16" t="n"/>
      <c r="B100" s="17" t="n"/>
      <c r="C100" s="17" t="n"/>
      <c r="D100" s="17" t="n"/>
      <c r="E100" s="18" t="n"/>
      <c r="F100" s="19" t="n"/>
      <c r="G100" s="20">
        <f>IF(A100="","",E100*F100)</f>
        <v/>
      </c>
    </row>
    <row r="101">
      <c r="A101" s="16" t="n"/>
      <c r="B101" s="17" t="n"/>
      <c r="C101" s="17" t="n"/>
      <c r="D101" s="17" t="n"/>
      <c r="E101" s="18" t="n"/>
      <c r="F101" s="19" t="n"/>
      <c r="G101" s="20">
        <f>IF(A101="","",E101*F101)</f>
        <v/>
      </c>
    </row>
    <row r="102">
      <c r="A102" s="16" t="n"/>
      <c r="B102" s="17" t="n"/>
      <c r="C102" s="17" t="n"/>
      <c r="D102" s="17" t="n"/>
      <c r="E102" s="18" t="n"/>
      <c r="F102" s="19" t="n"/>
      <c r="G102" s="20">
        <f>IF(A102="","",E102*F102)</f>
        <v/>
      </c>
    </row>
    <row r="103">
      <c r="A103" s="16" t="n"/>
      <c r="B103" s="17" t="n"/>
      <c r="C103" s="17" t="n"/>
      <c r="D103" s="17" t="n"/>
      <c r="E103" s="18" t="n"/>
      <c r="F103" s="19" t="n"/>
      <c r="G103" s="20">
        <f>IF(A103="","",E103*F103)</f>
        <v/>
      </c>
    </row>
    <row r="104">
      <c r="A104" s="16" t="n"/>
      <c r="B104" s="17" t="n"/>
      <c r="C104" s="17" t="n"/>
      <c r="D104" s="17" t="n"/>
      <c r="E104" s="18" t="n"/>
      <c r="F104" s="19" t="n"/>
      <c r="G104" s="20">
        <f>IF(A104="","",E104*F104)</f>
        <v/>
      </c>
    </row>
    <row r="105">
      <c r="A105" s="16" t="n"/>
      <c r="B105" s="17" t="n"/>
      <c r="C105" s="17" t="n"/>
      <c r="D105" s="17" t="n"/>
      <c r="E105" s="18" t="n"/>
      <c r="F105" s="19" t="n"/>
      <c r="G105" s="20">
        <f>IF(A105="","",E105*F105)</f>
        <v/>
      </c>
    </row>
    <row r="106">
      <c r="A106" s="16" t="n"/>
      <c r="B106" s="17" t="n"/>
      <c r="C106" s="17" t="n"/>
      <c r="D106" s="17" t="n"/>
      <c r="E106" s="18" t="n"/>
      <c r="F106" s="19" t="n"/>
      <c r="G106" s="20">
        <f>IF(A106="","",E106*F106)</f>
        <v/>
      </c>
    </row>
  </sheetData>
  <conditionalFormatting sqref="E2:E106">
    <cfRule type="cellIs" priority="1" operator="lessThan" dxfId="0">
      <formula>0</formula>
    </cfRule>
  </conditionalFormatting>
  <conditionalFormatting sqref="F2:F106">
    <cfRule type="cellIs" priority="2" operator="lessThan" dxfId="0">
      <formula>0</formula>
    </cfRule>
  </conditionalFormatting>
  <conditionalFormatting sqref="G2:G106">
    <cfRule type="cellIs" priority="3" operator="lessThan" dxfId="0">
      <formula>0</formula>
    </cfRule>
  </conditionalFormatting>
  <dataValidations count="1">
    <dataValidation sqref="B2:B106" showDropDown="0" showInputMessage="0" showErrorMessage="0" allowBlank="1" type="list">
      <formula1>"装修材料,人工费,设计费,搬迁服务,其他"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7" customWidth="1" min="5" max="5"/>
  </cols>
  <sheetData>
    <row r="1" ht="32" customHeight="1">
      <c r="A1" s="15" t="inlineStr">
        <is>
          <t>供应商名称</t>
        </is>
      </c>
      <c r="B1" s="15" t="inlineStr">
        <is>
          <t>服务类型</t>
        </is>
      </c>
      <c r="C1" s="15" t="inlineStr">
        <is>
          <t>报价</t>
        </is>
      </c>
      <c r="D1" s="15" t="inlineStr">
        <is>
          <t>评分</t>
        </is>
      </c>
      <c r="E1" s="15" t="inlineStr">
        <is>
          <t>选择</t>
        </is>
      </c>
    </row>
    <row r="2">
      <c r="A2" s="17" t="inlineStr">
        <is>
          <t>蚂蚁搬家</t>
        </is>
      </c>
      <c r="B2" s="17" t="inlineStr">
        <is>
          <t>搬迁服务</t>
        </is>
      </c>
      <c r="C2" s="19" t="n">
        <v>800</v>
      </c>
      <c r="D2" s="18" t="n">
        <v>4.5</v>
      </c>
      <c r="E2" s="21">
        <f>IF(D2&gt;=4.5,"✓","")</f>
        <v/>
      </c>
    </row>
    <row r="3">
      <c r="A3" s="17" t="inlineStr">
        <is>
          <t>自如装修</t>
        </is>
      </c>
      <c r="B3" s="17" t="inlineStr">
        <is>
          <t>全包装修</t>
        </is>
      </c>
      <c r="C3" s="19" t="n">
        <v>85000</v>
      </c>
      <c r="D3" s="18" t="n">
        <v>4.2</v>
      </c>
      <c r="E3" s="21">
        <f>IF(D3&gt;=4.5,"✓","")</f>
        <v/>
      </c>
    </row>
    <row r="4">
      <c r="A4" s="17" t="inlineStr">
        <is>
          <t>李师傅团队</t>
        </is>
      </c>
      <c r="B4" s="17" t="inlineStr">
        <is>
          <t>水电工程</t>
        </is>
      </c>
      <c r="C4" s="19" t="n">
        <v>1200</v>
      </c>
      <c r="D4" s="18" t="n">
        <v>4.8</v>
      </c>
      <c r="E4" s="21">
        <f>IF(D4&gt;=4.5,"✓","")</f>
        <v/>
      </c>
    </row>
    <row r="5">
      <c r="A5" s="17" t="n"/>
      <c r="B5" s="17" t="n"/>
      <c r="C5" s="19" t="n"/>
      <c r="D5" s="18" t="n"/>
      <c r="E5" s="21">
        <f>IF(A5="","",IF(D5&gt;=4.5,"✓",""))</f>
        <v/>
      </c>
    </row>
    <row r="6">
      <c r="A6" s="17" t="n"/>
      <c r="B6" s="17" t="n"/>
      <c r="C6" s="19" t="n"/>
      <c r="D6" s="18" t="n"/>
      <c r="E6" s="21">
        <f>IF(A6="","",IF(D6&gt;=4.5,"✓",""))</f>
        <v/>
      </c>
    </row>
    <row r="7">
      <c r="A7" s="17" t="n"/>
      <c r="B7" s="17" t="n"/>
      <c r="C7" s="19" t="n"/>
      <c r="D7" s="18" t="n"/>
      <c r="E7" s="21">
        <f>IF(A7="","",IF(D7&gt;=4.5,"✓",""))</f>
        <v/>
      </c>
    </row>
    <row r="8">
      <c r="A8" s="17" t="n"/>
      <c r="B8" s="17" t="n"/>
      <c r="C8" s="19" t="n"/>
      <c r="D8" s="18" t="n"/>
      <c r="E8" s="21">
        <f>IF(A8="","",IF(D8&gt;=4.5,"✓",""))</f>
        <v/>
      </c>
    </row>
    <row r="9">
      <c r="A9" s="17" t="n"/>
      <c r="B9" s="17" t="n"/>
      <c r="C9" s="19" t="n"/>
      <c r="D9" s="18" t="n"/>
      <c r="E9" s="21">
        <f>IF(A9="","",IF(D9&gt;=4.5,"✓",""))</f>
        <v/>
      </c>
    </row>
    <row r="10">
      <c r="A10" s="17" t="n"/>
      <c r="B10" s="17" t="n"/>
      <c r="C10" s="19" t="n"/>
      <c r="D10" s="18" t="n"/>
      <c r="E10" s="21">
        <f>IF(A10="","",IF(D10&gt;=4.5,"✓",""))</f>
        <v/>
      </c>
    </row>
    <row r="11">
      <c r="A11" s="17" t="n"/>
      <c r="B11" s="17" t="n"/>
      <c r="C11" s="19" t="n"/>
      <c r="D11" s="18" t="n"/>
      <c r="E11" s="21">
        <f>IF(A11="","",IF(D11&gt;=4.5,"✓",""))</f>
        <v/>
      </c>
    </row>
    <row r="12">
      <c r="A12" s="17" t="n"/>
      <c r="B12" s="17" t="n"/>
      <c r="C12" s="19" t="n"/>
      <c r="D12" s="18" t="n"/>
      <c r="E12" s="21">
        <f>IF(A12="","",IF(D12&gt;=4.5,"✓",""))</f>
        <v/>
      </c>
    </row>
    <row r="13">
      <c r="A13" s="17" t="n"/>
      <c r="B13" s="17" t="n"/>
      <c r="C13" s="19" t="n"/>
      <c r="D13" s="18" t="n"/>
      <c r="E13" s="21">
        <f>IF(A13="","",IF(D13&gt;=4.5,"✓",""))</f>
        <v/>
      </c>
    </row>
    <row r="14">
      <c r="A14" s="17" t="n"/>
      <c r="B14" s="17" t="n"/>
      <c r="C14" s="19" t="n"/>
      <c r="D14" s="18" t="n"/>
      <c r="E14" s="21">
        <f>IF(A14="","",IF(D14&gt;=4.5,"✓",""))</f>
        <v/>
      </c>
    </row>
    <row r="15">
      <c r="A15" s="17" t="n"/>
      <c r="B15" s="17" t="n"/>
      <c r="C15" s="19" t="n"/>
      <c r="D15" s="18" t="n"/>
      <c r="E15" s="21">
        <f>IF(A15="","",IF(D15&gt;=4.5,"✓",""))</f>
        <v/>
      </c>
    </row>
    <row r="16">
      <c r="A16" s="17" t="n"/>
      <c r="B16" s="17" t="n"/>
      <c r="C16" s="19" t="n"/>
      <c r="D16" s="18" t="n"/>
      <c r="E16" s="21">
        <f>IF(A16="","",IF(D16&gt;=4.5,"✓",""))</f>
        <v/>
      </c>
    </row>
    <row r="17">
      <c r="A17" s="17" t="n"/>
      <c r="B17" s="17" t="n"/>
      <c r="C17" s="19" t="n"/>
      <c r="D17" s="18" t="n"/>
      <c r="E17" s="21">
        <f>IF(A17="","",IF(D17&gt;=4.5,"✓",""))</f>
        <v/>
      </c>
    </row>
    <row r="18">
      <c r="A18" s="17" t="n"/>
      <c r="B18" s="17" t="n"/>
      <c r="C18" s="19" t="n"/>
      <c r="D18" s="18" t="n"/>
      <c r="E18" s="21">
        <f>IF(A18="","",IF(D18&gt;=4.5,"✓",""))</f>
        <v/>
      </c>
    </row>
    <row r="19">
      <c r="A19" s="17" t="n"/>
      <c r="B19" s="17" t="n"/>
      <c r="C19" s="19" t="n"/>
      <c r="D19" s="18" t="n"/>
      <c r="E19" s="21">
        <f>IF(A19="","",IF(D19&gt;=4.5,"✓",""))</f>
        <v/>
      </c>
    </row>
    <row r="20">
      <c r="A20" s="17" t="n"/>
      <c r="B20" s="17" t="n"/>
      <c r="C20" s="19" t="n"/>
      <c r="D20" s="18" t="n"/>
      <c r="E20" s="21">
        <f>IF(A20="","",IF(D20&gt;=4.5,"✓",""))</f>
        <v/>
      </c>
    </row>
    <row r="21">
      <c r="A21" s="17" t="n"/>
      <c r="B21" s="17" t="n"/>
      <c r="C21" s="19" t="n"/>
      <c r="D21" s="18" t="n"/>
      <c r="E21" s="21">
        <f>IF(A21="","",IF(D21&gt;=4.5,"✓",""))</f>
        <v/>
      </c>
    </row>
    <row r="22">
      <c r="A22" s="17" t="n"/>
      <c r="B22" s="17" t="n"/>
      <c r="C22" s="19" t="n"/>
      <c r="D22" s="18" t="n"/>
      <c r="E22" s="21">
        <f>IF(A22="","",IF(D22&gt;=4.5,"✓",""))</f>
        <v/>
      </c>
    </row>
    <row r="23">
      <c r="A23" s="17" t="n"/>
      <c r="B23" s="17" t="n"/>
      <c r="C23" s="19" t="n"/>
      <c r="D23" s="18" t="n"/>
      <c r="E23" s="21">
        <f>IF(A23="","",IF(D23&gt;=4.5,"✓",""))</f>
        <v/>
      </c>
    </row>
    <row r="24">
      <c r="A24" s="17" t="n"/>
      <c r="B24" s="17" t="n"/>
      <c r="C24" s="19" t="n"/>
      <c r="D24" s="18" t="n"/>
      <c r="E24" s="21">
        <f>IF(A24="","",IF(D24&gt;=4.5,"✓",""))</f>
        <v/>
      </c>
    </row>
  </sheetData>
  <conditionalFormatting sqref="C2:C24">
    <cfRule type="cellIs" priority="1" operator="lessThan" dxfId="0">
      <formula>0</formula>
    </cfRule>
  </conditionalFormatting>
  <conditionalFormatting sqref="D2:D24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5" t="inlineStr">
        <is>
          <t>指标</t>
        </is>
      </c>
      <c r="B1" s="15" t="inlineStr">
        <is>
          <t>数值</t>
        </is>
      </c>
    </row>
    <row r="2">
      <c r="A2" s="17" t="n"/>
      <c r="B2" s="17" t="n"/>
    </row>
    <row r="3">
      <c r="A3" s="17" t="n"/>
      <c r="B3" s="17" t="n"/>
    </row>
    <row r="4">
      <c r="A4" s="17" t="n"/>
      <c r="B4" s="17" t="n"/>
    </row>
    <row r="5">
      <c r="A5" s="17" t="n"/>
      <c r="B5" s="17" t="n"/>
    </row>
    <row r="6">
      <c r="A6" s="17" t="n"/>
      <c r="B6" s="17" t="n"/>
    </row>
    <row r="7">
      <c r="A7" s="17" t="n"/>
      <c r="B7" s="17" t="n"/>
    </row>
    <row r="8">
      <c r="A8" s="17" t="n"/>
      <c r="B8" s="17" t="n"/>
    </row>
    <row r="9">
      <c r="A9" s="17" t="n"/>
      <c r="B9" s="17" t="n"/>
    </row>
    <row r="10">
      <c r="A10" s="17" t="n"/>
      <c r="B10" s="17" t="n"/>
    </row>
    <row r="11">
      <c r="A11" s="17" t="n"/>
      <c r="B11" s="17" t="n"/>
    </row>
    <row r="12">
      <c r="A12" s="17" t="n"/>
      <c r="B12" s="17" t="n"/>
    </row>
    <row r="13">
      <c r="A13" s="17" t="n"/>
      <c r="B13" s="17" t="n"/>
    </row>
    <row r="14">
      <c r="A14" s="17" t="n"/>
      <c r="B14" s="17" t="n"/>
    </row>
    <row r="15">
      <c r="A15" s="17" t="n"/>
      <c r="B15" s="17" t="n"/>
    </row>
    <row r="16">
      <c r="A16" s="17" t="n"/>
      <c r="B16" s="17" t="n"/>
    </row>
    <row r="17">
      <c r="A17" s="17" t="n"/>
      <c r="B17" s="17" t="n"/>
    </row>
    <row r="18">
      <c r="A18" s="17" t="n"/>
      <c r="B18" s="17" t="n"/>
    </row>
    <row r="19">
      <c r="A19" s="17" t="n"/>
      <c r="B19" s="17" t="n"/>
    </row>
    <row r="20">
      <c r="A20" s="17" t="n"/>
      <c r="B20" s="17" t="n"/>
    </row>
    <row r="21">
      <c r="A21" s="17" t="n"/>
      <c r="B21" s="17" t="n"/>
    </row>
    <row r="22">
      <c r="A22" s="17" t="n"/>
      <c r="B22" s="17" t="n"/>
    </row>
    <row r="23">
      <c r="A23" s="17" t="n"/>
      <c r="B23" s="17" t="n"/>
    </row>
    <row r="24">
      <c r="A24" s="17" t="n"/>
      <c r="B24" s="17" t="n"/>
    </row>
    <row r="25">
      <c r="A25" s="17" t="n"/>
      <c r="B25" s="17" t="n"/>
    </row>
    <row r="26">
      <c r="A26" s="17" t="n"/>
      <c r="B26" s="17" t="n"/>
    </row>
    <row r="27">
      <c r="A27" s="17" t="n"/>
      <c r="B27" s="17" t="n"/>
    </row>
    <row r="28">
      <c r="A28" s="17" t="n"/>
      <c r="B28" s="17" t="n"/>
    </row>
    <row r="29">
      <c r="A29" s="17" t="n"/>
      <c r="B29" s="17" t="n"/>
    </row>
    <row r="30">
      <c r="A30" s="17" t="n"/>
      <c r="B30" s="17" t="n"/>
    </row>
    <row r="31">
      <c r="A31" s="17" t="n"/>
      <c r="B31" s="17" t="n"/>
    </row>
  </sheetData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智能搬迁与装修预算追踪器 - 2026专业版</dc:title>
  <dcterms:created xsi:type="dcterms:W3CDTF">2026-10-01T06:06:39Z</dcterms:created>
  <dcterms:modified xsi:type="dcterms:W3CDTF">2026-10-01T06:06:39Z</dcterms:modified>
</cp:coreProperties>
</file>