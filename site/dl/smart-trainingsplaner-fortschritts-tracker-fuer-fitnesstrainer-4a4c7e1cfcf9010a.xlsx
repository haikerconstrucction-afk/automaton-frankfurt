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Profile" sheetId="2" state="visible" r:id="rId2"/>
    <sheet name="Planung" sheetId="3" state="visible" r:id="rId3"/>
    <sheet name="Tracking" sheetId="4" state="visible" r:id="rId4"/>
    <sheet name="Analy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Smart Trainingsplaner &amp; Fortschritts-Tracker für Fitnesstrainer</t>
        </is>
      </c>
    </row>
    <row r="2">
      <c r="A2" t="inlineStr">
        <is>
          <t>1. Schritt 1: Kundendaten im Tab 'Profile' eintragen</t>
        </is>
      </c>
    </row>
    <row r="3">
      <c r="A3" t="inlineStr">
        <is>
          <t>2. Schritt 2: Trainingsplan im Tab 'Planung' erstellen</t>
        </is>
      </c>
    </row>
    <row r="4">
      <c r="A4" t="inlineStr">
        <is>
          <t>3. Schritt 3: Fortschritte im Tab 'Tracking' dokumentieren</t>
        </is>
      </c>
    </row>
    <row r="5">
      <c r="A5" t="inlineStr">
        <is>
          <t>4. Schritt 4: Automatische Auswertungen im Tab 'Analyse' nutzen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Kunden-ID</t>
        </is>
      </c>
      <c r="B1" s="2" t="inlineStr">
        <is>
          <t>Name</t>
        </is>
      </c>
      <c r="C1" s="2" t="inlineStr">
        <is>
          <t>E-Mail</t>
        </is>
      </c>
      <c r="D1" s="2" t="inlineStr">
        <is>
          <t>Ziel</t>
        </is>
      </c>
      <c r="E1" s="2" t="inlineStr">
        <is>
          <t>Startdatum</t>
        </is>
      </c>
    </row>
    <row r="2">
      <c r="A2" t="inlineStr">
        <is>
          <t>T2026-001</t>
        </is>
      </c>
      <c r="B2" t="inlineStr">
        <is>
          <t>Max Mustermann</t>
        </is>
      </c>
      <c r="C2" t="inlineStr">
        <is>
          <t>max@example.com</t>
        </is>
      </c>
      <c r="D2" t="inlineStr">
        <is>
          <t>Muskelaufbau</t>
        </is>
      </c>
      <c r="E2" t="inlineStr">
        <is>
          <t>15.03.2026</t>
        </is>
      </c>
    </row>
    <row r="3">
      <c r="A3" t="inlineStr">
        <is>
          <t>T2026-002</t>
        </is>
      </c>
      <c r="B3" t="inlineStr">
        <is>
          <t>Anna Beispiel</t>
        </is>
      </c>
      <c r="C3" t="inlineStr">
        <is>
          <t>anna@example.com</t>
        </is>
      </c>
      <c r="D3" t="inlineStr">
        <is>
          <t>Ausdauer</t>
        </is>
      </c>
      <c r="E3" t="inlineStr">
        <is>
          <t>22.03.2026</t>
        </is>
      </c>
    </row>
    <row r="4">
      <c r="A4" t="inlineStr">
        <is>
          <t>T2026-003</t>
        </is>
      </c>
      <c r="B4" t="inlineStr">
        <is>
          <t>Tim Test</t>
        </is>
      </c>
      <c r="C4" t="inlineStr">
        <is>
          <t>tim@example.com</t>
        </is>
      </c>
      <c r="D4" t="inlineStr">
        <is>
          <t>Gewichtsreduktion</t>
        </is>
      </c>
      <c r="E4" t="inlineStr">
        <is>
          <t>01.04.2026</t>
        </is>
      </c>
    </row>
    <row r="5">
      <c r="A5" t="inlineStr">
        <is>
          <t>T2026-004</t>
        </is>
      </c>
      <c r="B5" t="inlineStr">
        <is>
          <t>Lisa Muster</t>
        </is>
      </c>
      <c r="C5" t="inlineStr">
        <is>
          <t>lisa@example.com</t>
        </is>
      </c>
      <c r="D5" t="inlineStr">
        <is>
          <t>Reha</t>
        </is>
      </c>
      <c r="E5" t="inlineStr">
        <is>
          <t>10.04.2026</t>
        </is>
      </c>
    </row>
    <row r="6">
      <c r="A6" t="inlineStr">
        <is>
          <t>T2026-005</t>
        </is>
      </c>
      <c r="B6" t="inlineStr">
        <is>
          <t>Paul Probe</t>
        </is>
      </c>
      <c r="C6" t="inlineStr">
        <is>
          <t>paul@example.com</t>
        </is>
      </c>
      <c r="D6" t="inlineStr">
        <is>
          <t>Kraftsteigerung</t>
        </is>
      </c>
      <c r="E6" t="inlineStr">
        <is>
          <t>18.04.2026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Kunden-ID</t>
        </is>
      </c>
      <c r="B1" s="2" t="inlineStr">
        <is>
          <t>Übung</t>
        </is>
      </c>
      <c r="C1" s="2" t="inlineStr">
        <is>
          <t>Sätze</t>
        </is>
      </c>
      <c r="D1" s="2" t="inlineStr">
        <is>
          <t>Wdh.</t>
        </is>
      </c>
      <c r="E1" s="2" t="inlineStr">
        <is>
          <t>Gewicht</t>
        </is>
      </c>
      <c r="F1" s="2" t="inlineStr">
        <is>
          <t>Pause (sec)</t>
        </is>
      </c>
      <c r="G1" s="2" t="inlineStr">
        <is>
          <t>Notizen</t>
        </is>
      </c>
    </row>
    <row r="2">
      <c r="A2" t="inlineStr">
        <is>
          <t>T2026-001</t>
        </is>
      </c>
      <c r="B2" t="inlineStr">
        <is>
          <t>Bankdrücken</t>
        </is>
      </c>
      <c r="C2" t="n">
        <v>3</v>
      </c>
      <c r="D2" t="n">
        <v>10</v>
      </c>
      <c r="E2" t="n">
        <v>70</v>
      </c>
      <c r="F2" t="n">
        <v>90</v>
      </c>
      <c r="G2" t="inlineStr">
        <is>
          <t>Technik verbessern</t>
        </is>
      </c>
    </row>
    <row r="3">
      <c r="A3" t="inlineStr">
        <is>
          <t>T2026-001</t>
        </is>
      </c>
      <c r="B3" t="inlineStr">
        <is>
          <t>Kniebeugen</t>
        </is>
      </c>
      <c r="C3" t="n">
        <v>4</v>
      </c>
      <c r="D3" t="n">
        <v>8</v>
      </c>
      <c r="E3" t="n">
        <v>60</v>
      </c>
      <c r="F3" t="n">
        <v>120</v>
      </c>
      <c r="G3" t="inlineStr">
        <is>
          <t>Tiefe kontrollieren</t>
        </is>
      </c>
    </row>
    <row r="4">
      <c r="A4" t="inlineStr">
        <is>
          <t>T2026-002</t>
        </is>
      </c>
      <c r="B4" t="inlineStr">
        <is>
          <t>Rudern</t>
        </is>
      </c>
      <c r="C4" t="n">
        <v>3</v>
      </c>
      <c r="D4" t="n">
        <v>12</v>
      </c>
      <c r="E4" t="n">
        <v>40</v>
      </c>
      <c r="F4" t="n">
        <v>60</v>
      </c>
      <c r="G4" t="inlineStr">
        <is>
          <t>Schultern stabilisieren</t>
        </is>
      </c>
    </row>
    <row r="5">
      <c r="A5" t="inlineStr">
        <is>
          <t>T2026-003</t>
        </is>
      </c>
      <c r="B5" t="inlineStr">
        <is>
          <t>Liegestütze</t>
        </is>
      </c>
      <c r="C5" t="n">
        <v>4</v>
      </c>
      <c r="D5" t="n">
        <v>15</v>
      </c>
      <c r="E5" t="n">
        <v>0</v>
      </c>
      <c r="F5" t="n">
        <v>45</v>
      </c>
      <c r="G5" t="inlineStr">
        <is>
          <t>Variationen einführen</t>
        </is>
      </c>
    </row>
    <row r="6">
      <c r="A6" t="inlineStr">
        <is>
          <t>T2026-004</t>
        </is>
      </c>
      <c r="B6" t="inlineStr">
        <is>
          <t>Dehnen</t>
        </is>
      </c>
      <c r="C6" t="n">
        <v>2</v>
      </c>
      <c r="D6" t="n">
        <v>30</v>
      </c>
      <c r="E6" t="n">
        <v>0</v>
      </c>
      <c r="F6" t="n">
        <v>30</v>
      </c>
      <c r="G6" t="inlineStr">
        <is>
          <t>Schwerpunkt Rücken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Kunden-ID</t>
        </is>
      </c>
      <c r="B1" s="2" t="inlineStr">
        <is>
          <t>Datum</t>
        </is>
      </c>
      <c r="C1" s="2" t="inlineStr">
        <is>
          <t>Übung</t>
        </is>
      </c>
      <c r="D1" s="2" t="inlineStr">
        <is>
          <t>Sätze</t>
        </is>
      </c>
      <c r="E1" s="2" t="inlineStr">
        <is>
          <t>Wdh.</t>
        </is>
      </c>
      <c r="F1" s="2" t="inlineStr">
        <is>
          <t>Gewicht</t>
        </is>
      </c>
      <c r="G1" s="2" t="inlineStr">
        <is>
          <t>Bemerkungen</t>
        </is>
      </c>
    </row>
    <row r="2">
      <c r="A2" t="inlineStr">
        <is>
          <t>T2026-001</t>
        </is>
      </c>
      <c r="B2" t="inlineStr">
        <is>
          <t>20.03.2026</t>
        </is>
      </c>
      <c r="C2" t="inlineStr">
        <is>
          <t>Bankdrücken</t>
        </is>
      </c>
      <c r="D2" t="n">
        <v>3</v>
      </c>
      <c r="E2" t="n">
        <v>10</v>
      </c>
      <c r="F2" t="n">
        <v>70</v>
      </c>
      <c r="G2" t="inlineStr">
        <is>
          <t>Gute Form</t>
        </is>
      </c>
    </row>
    <row r="3">
      <c r="A3" t="inlineStr">
        <is>
          <t>T2026-001</t>
        </is>
      </c>
      <c r="B3" t="inlineStr">
        <is>
          <t>20.03.2026</t>
        </is>
      </c>
      <c r="C3" t="inlineStr">
        <is>
          <t>Kniebeugen</t>
        </is>
      </c>
      <c r="D3" t="n">
        <v>4</v>
      </c>
      <c r="E3" t="n">
        <v>8</v>
      </c>
      <c r="F3" t="n">
        <v>60</v>
      </c>
      <c r="G3" t="inlineStr">
        <is>
          <t>Tiefe ok</t>
        </is>
      </c>
    </row>
    <row r="4">
      <c r="A4" t="inlineStr">
        <is>
          <t>T2026-002</t>
        </is>
      </c>
      <c r="B4" t="inlineStr">
        <is>
          <t>25.03.2026</t>
        </is>
      </c>
      <c r="C4" t="inlineStr">
        <is>
          <t>Rudern</t>
        </is>
      </c>
      <c r="D4" t="n">
        <v>3</v>
      </c>
      <c r="E4" t="n">
        <v>12</v>
      </c>
      <c r="F4" t="n">
        <v>40</v>
      </c>
      <c r="G4" t="inlineStr">
        <is>
          <t>Schultern stabil</t>
        </is>
      </c>
    </row>
    <row r="5">
      <c r="A5" t="inlineStr">
        <is>
          <t>T2026-003</t>
        </is>
      </c>
      <c r="B5" t="inlineStr">
        <is>
          <t>05.04.2026</t>
        </is>
      </c>
      <c r="C5" t="inlineStr">
        <is>
          <t>Liegestütze</t>
        </is>
      </c>
      <c r="D5" t="n">
        <v>4</v>
      </c>
      <c r="E5" t="n">
        <v>15</v>
      </c>
      <c r="F5" t="n">
        <v>0</v>
      </c>
      <c r="G5" t="inlineStr">
        <is>
          <t>Kontrolle verbessert</t>
        </is>
      </c>
    </row>
    <row r="6">
      <c r="A6" t="inlineStr">
        <is>
          <t>T2026-004</t>
        </is>
      </c>
      <c r="B6" t="inlineStr">
        <is>
          <t>15.04.2026</t>
        </is>
      </c>
      <c r="C6" t="inlineStr">
        <is>
          <t>Dehnen</t>
        </is>
      </c>
      <c r="D6" t="n">
        <v>2</v>
      </c>
      <c r="E6" t="n">
        <v>30</v>
      </c>
      <c r="F6" t="n">
        <v>0</v>
      </c>
      <c r="G6" t="inlineStr">
        <is>
          <t>Fortschritte sichtbar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Kunden-ID</t>
        </is>
      </c>
      <c r="B1" s="2" t="inlineStr">
        <is>
          <t>Übung</t>
        </is>
      </c>
      <c r="C1" s="2" t="inlineStr">
        <is>
          <t>Start Gewicht</t>
        </is>
      </c>
      <c r="D1" s="2" t="inlineStr">
        <is>
          <t>Aktuell Gewicht</t>
        </is>
      </c>
      <c r="E1" s="2" t="inlineStr">
        <is>
          <t>Steigerung %</t>
        </is>
      </c>
      <c r="F1" s="2" t="inlineStr">
        <is>
          <t>Notizen</t>
        </is>
      </c>
    </row>
    <row r="2">
      <c r="A2">
        <f>A2</f>
        <v/>
      </c>
      <c r="B2">
        <f>B2</f>
        <v/>
      </c>
      <c r="C2">
        <f>VLOOKUP(A2,Planung!A:G,5,FALSE)</f>
        <v/>
      </c>
      <c r="D2">
        <f>MAX(Tracking!F:F)</f>
        <v/>
      </c>
      <c r="E2">
        <f>ROUND((D2-C2)/C2*100,1)</f>
        <v/>
      </c>
      <c r="F2">
        <f>VLOOKUP(A2,Profile!A:E,5,FALSE)</f>
        <v/>
      </c>
    </row>
    <row r="3">
      <c r="A3">
        <f>A3</f>
        <v/>
      </c>
      <c r="B3">
        <f>B3</f>
        <v/>
      </c>
      <c r="C3">
        <f>VLOOKUP(A3,Planung!A:G,5,FALSE)</f>
        <v/>
      </c>
      <c r="D3">
        <f>MAX(Tracking!F:F)</f>
        <v/>
      </c>
      <c r="E3">
        <f>ROUND((D3-C3)/C3*100,1)</f>
        <v/>
      </c>
      <c r="F3">
        <f>VLOOKUP(A3,Profile!A:E,5,FALSE)</f>
        <v/>
      </c>
    </row>
    <row r="4">
      <c r="A4">
        <f>A4</f>
        <v/>
      </c>
      <c r="B4">
        <f>B4</f>
        <v/>
      </c>
      <c r="C4">
        <f>VLOOKUP(A4,Planung!A:G,5,FALSE)</f>
        <v/>
      </c>
      <c r="D4">
        <f>MAX(Tracking!F:F)</f>
        <v/>
      </c>
      <c r="E4">
        <f>ROUND((D4-C4)/C4*100,1)</f>
        <v/>
      </c>
      <c r="F4">
        <f>VLOOKUP(A4,Profile!A:E,5,FALSE)</f>
        <v/>
      </c>
    </row>
    <row r="5">
      <c r="A5">
        <f>A5</f>
        <v/>
      </c>
      <c r="B5">
        <f>B5</f>
        <v/>
      </c>
      <c r="C5">
        <f>VLOOKUP(A5,Planung!A:G,5,FALSE)</f>
        <v/>
      </c>
      <c r="D5">
        <f>MAX(Tracking!F:F)</f>
        <v/>
      </c>
      <c r="E5">
        <f>ROUND((D5-C5)/C5*100,1)</f>
        <v/>
      </c>
      <c r="F5">
        <f>VLOOKUP(A5,Profile!A:E,5,FALSE)</f>
        <v/>
      </c>
    </row>
    <row r="6">
      <c r="A6">
        <f>A6</f>
        <v/>
      </c>
      <c r="B6">
        <f>B6</f>
        <v/>
      </c>
      <c r="C6">
        <f>VLOOKUP(A6,Planung!A:G,5,FALSE)</f>
        <v/>
      </c>
      <c r="D6">
        <f>MAX(Tracking!F:F)</f>
        <v/>
      </c>
      <c r="E6">
        <f>ROUND((D6-C6)/C6*100,1)</f>
        <v/>
      </c>
      <c r="F6">
        <f>VLOOKUP(A6,Profile!A:E,5,FALSE)</f>
        <v/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>
      <c r="A27" s="3" t="inlineStr">
        <is>
          <t>Durchschnitt</t>
        </is>
      </c>
      <c r="B27" s="3" t="inlineStr"/>
      <c r="C27" s="3">
        <f>AVERAGE(C2:C40)</f>
        <v/>
      </c>
      <c r="D27" s="3">
        <f>AVERAGE(D2:D40)</f>
        <v/>
      </c>
      <c r="E27" s="3">
        <f>AVERAGE(E2:E40)</f>
        <v/>
      </c>
      <c r="F2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2026-09-27T09:39:03Z</dcterms:created>
  <dcterms:modified xsi:type="dcterms:W3CDTF">2026-09-27T09:39:03Z</dcterms:modified>
</cp:coreProperties>
</file>