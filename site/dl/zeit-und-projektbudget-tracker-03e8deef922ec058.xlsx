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Projekte" sheetId="2" state="visible" r:id="rId2"/>
    <sheet name="Zeitplanung" sheetId="3" state="visible" r:id="rId3"/>
    <sheet name="Budgetübersich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Zeit- und Projektbudget-Tracker für Selbstständige</t>
        </is>
      </c>
    </row>
    <row r="2">
      <c r="A2" t="inlineStr">
        <is>
          <t>1. Schritt 1: Trage deine Projektdetails in die 'Projekte'-Tabelle ein.</t>
        </is>
      </c>
    </row>
    <row r="3">
      <c r="A3" t="inlineStr">
        <is>
          <t>2. Schritt 2: Füge deine täglichen Zeiterfassungen in der 'Zeitplanung'-Tabelle hinzu.</t>
        </is>
      </c>
    </row>
    <row r="4">
      <c r="A4" t="inlineStr">
        <is>
          <t>3. Schritt 3: Überprüfe die automatischen Berechnungen in der 'Budgetübersicht'-Tabelle.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Projektname</t>
        </is>
      </c>
      <c r="B1" s="2" t="inlineStr">
        <is>
          <t>Startdatum</t>
        </is>
      </c>
      <c r="C1" s="2" t="inlineStr">
        <is>
          <t>Enddatum</t>
        </is>
      </c>
      <c r="D1" s="2" t="inlineStr">
        <is>
          <t>Budget</t>
        </is>
      </c>
    </row>
    <row r="2">
      <c r="A2" t="inlineStr">
        <is>
          <t>Website-Relaunch</t>
        </is>
      </c>
      <c r="B2" t="inlineStr">
        <is>
          <t>01.02.2026</t>
        </is>
      </c>
      <c r="C2" t="inlineStr">
        <is>
          <t>15.03.2026</t>
        </is>
      </c>
      <c r="D2" t="n">
        <v>5000</v>
      </c>
    </row>
    <row r="3">
      <c r="A3" t="inlineStr">
        <is>
          <t>Marketingkampagne</t>
        </is>
      </c>
      <c r="B3" t="inlineStr">
        <is>
          <t>10.03.2026</t>
        </is>
      </c>
      <c r="C3" t="inlineStr">
        <is>
          <t>30.04.2026</t>
        </is>
      </c>
      <c r="D3" t="n">
        <v>3000</v>
      </c>
    </row>
    <row r="4">
      <c r="A4" t="inlineStr">
        <is>
          <t>Produktentwicklung</t>
        </is>
      </c>
      <c r="B4" t="inlineStr">
        <is>
          <t>01.05.2026</t>
        </is>
      </c>
      <c r="C4" t="inlineStr">
        <is>
          <t>30.06.2026</t>
        </is>
      </c>
      <c r="D4" t="n">
        <v>7500</v>
      </c>
    </row>
    <row r="5">
      <c r="A5" t="inlineStr">
        <is>
          <t>Schulungsprogramm</t>
        </is>
      </c>
      <c r="B5" t="inlineStr">
        <is>
          <t>15.07.2026</t>
        </is>
      </c>
      <c r="C5" t="inlineStr">
        <is>
          <t>31.08.2026</t>
        </is>
      </c>
      <c r="D5" t="n">
        <v>2000</v>
      </c>
    </row>
    <row r="6">
      <c r="A6" t="inlineStr">
        <is>
          <t>Kundenumfrage</t>
        </is>
      </c>
      <c r="B6" t="inlineStr">
        <is>
          <t>01.09.2026</t>
        </is>
      </c>
      <c r="C6" t="inlineStr">
        <is>
          <t>30.09.2026</t>
        </is>
      </c>
      <c r="D6" t="n">
        <v>1500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 t="inlineStr"/>
      <c r="D37" s="3">
        <f>SUM(D2:D40)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" t="inlineStr">
        <is>
          <t>Datum</t>
        </is>
      </c>
      <c r="B1" s="2" t="inlineStr">
        <is>
          <t>Projekt</t>
        </is>
      </c>
      <c r="C1" s="2" t="inlineStr">
        <is>
          <t>Stunden</t>
        </is>
      </c>
      <c r="D1" s="2" t="inlineStr">
        <is>
          <t>Stundensatz</t>
        </is>
      </c>
      <c r="E1" s="2" t="inlineStr">
        <is>
          <t>Kosten</t>
        </is>
      </c>
    </row>
    <row r="2">
      <c r="A2" t="inlineStr">
        <is>
          <t>01.02.2026</t>
        </is>
      </c>
      <c r="B2" t="inlineStr">
        <is>
          <t>Website-Relaunch</t>
        </is>
      </c>
      <c r="C2" t="n">
        <v>8</v>
      </c>
      <c r="D2" t="n">
        <v>50</v>
      </c>
      <c r="E2">
        <f>C2*D2</f>
        <v/>
      </c>
    </row>
    <row r="3">
      <c r="A3" t="inlineStr">
        <is>
          <t>02.02.2026</t>
        </is>
      </c>
      <c r="B3" t="inlineStr">
        <is>
          <t>Website-Relaunch</t>
        </is>
      </c>
      <c r="C3" t="n">
        <v>6</v>
      </c>
      <c r="D3" t="n">
        <v>50</v>
      </c>
      <c r="E3">
        <f>C3*D3</f>
        <v/>
      </c>
    </row>
    <row r="4">
      <c r="A4" t="inlineStr">
        <is>
          <t>10.03.2026</t>
        </is>
      </c>
      <c r="B4" t="inlineStr">
        <is>
          <t>Marketingkampagne</t>
        </is>
      </c>
      <c r="C4" t="n">
        <v>4</v>
      </c>
      <c r="D4" t="n">
        <v>60</v>
      </c>
      <c r="E4">
        <f>C4*D4</f>
        <v/>
      </c>
    </row>
    <row r="5">
      <c r="A5" t="inlineStr">
        <is>
          <t>11.03.2026</t>
        </is>
      </c>
      <c r="B5" t="inlineStr">
        <is>
          <t>Marketingkampagne</t>
        </is>
      </c>
      <c r="C5" t="n">
        <v>5</v>
      </c>
      <c r="D5" t="n">
        <v>60</v>
      </c>
      <c r="E5">
        <f>C5*D5</f>
        <v/>
      </c>
    </row>
    <row r="6">
      <c r="A6" t="inlineStr">
        <is>
          <t>01.05.2026</t>
        </is>
      </c>
      <c r="B6" t="inlineStr">
        <is>
          <t>Produktentwicklung</t>
        </is>
      </c>
      <c r="C6" t="n">
        <v>7</v>
      </c>
      <c r="D6" t="n">
        <v>70</v>
      </c>
      <c r="E6">
        <f>C6*D6</f>
        <v/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Gesamt</t>
        </is>
      </c>
      <c r="B37" s="3" t="inlineStr"/>
      <c r="C37" s="3" t="inlineStr"/>
      <c r="D37" s="3" t="inlineStr"/>
      <c r="E37" s="3">
        <f>SUM(E2:E40)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Projekt</t>
        </is>
      </c>
      <c r="B1" s="2" t="inlineStr">
        <is>
          <t>Gesamtkosten</t>
        </is>
      </c>
      <c r="C1" s="2" t="inlineStr">
        <is>
          <t>Budget</t>
        </is>
      </c>
      <c r="D1" s="2" t="inlineStr">
        <is>
          <t>Differenz</t>
        </is>
      </c>
    </row>
    <row r="2">
      <c r="A2" t="inlineStr">
        <is>
          <t>Website-Relaunch</t>
        </is>
      </c>
      <c r="B2">
        <f>SUMIF(Zeitplanung!B2:B40,'Website-Relaunch',Zeitplanung!E2:E40)</f>
        <v/>
      </c>
      <c r="C2" t="n">
        <v>5000</v>
      </c>
      <c r="D2">
        <f>C2-B2</f>
        <v/>
      </c>
    </row>
    <row r="3">
      <c r="A3" t="inlineStr">
        <is>
          <t>Marketingkampagne</t>
        </is>
      </c>
      <c r="B3">
        <f>SUMIF(Zeitplanung!B2:B40,'Marketingkampagne',Zeitplanung!E2:E40)</f>
        <v/>
      </c>
      <c r="C3" t="n">
        <v>3000</v>
      </c>
      <c r="D3">
        <f>C3-B3</f>
        <v/>
      </c>
    </row>
    <row r="4">
      <c r="A4" t="inlineStr">
        <is>
          <t>Produktentwicklung</t>
        </is>
      </c>
      <c r="B4">
        <f>SUMIF(Zeitplanung!B2:B40,'Produktentwicklung',Zeitplanung!E2:E40)</f>
        <v/>
      </c>
      <c r="C4" t="n">
        <v>7500</v>
      </c>
      <c r="D4">
        <f>C4-B4</f>
        <v/>
      </c>
    </row>
    <row r="5">
      <c r="A5" t="inlineStr">
        <is>
          <t>Schulungsprogramm</t>
        </is>
      </c>
      <c r="B5">
        <f>SUMIF(Zeitplanung!B2:B40,'Schulungsprogramm',Zeitplanung!E2:E40)</f>
        <v/>
      </c>
      <c r="C5" t="n">
        <v>2000</v>
      </c>
      <c r="D5">
        <f>C5-B5</f>
        <v/>
      </c>
    </row>
    <row r="6">
      <c r="A6" t="inlineStr">
        <is>
          <t>Kundenumfrage</t>
        </is>
      </c>
      <c r="B6">
        <f>SUMIF(Zeitplanung!B2:B40,'Kundenumfrage',Zeitplanung!E2:E40)</f>
        <v/>
      </c>
      <c r="C6" t="n">
        <v>1500</v>
      </c>
      <c r="D6">
        <f>C6-B6</f>
        <v/>
      </c>
    </row>
    <row r="7"/>
    <row r="8"/>
    <row r="9"/>
    <row r="10"/>
    <row r="11"/>
    <row r="12"/>
    <row r="13"/>
    <row r="14"/>
    <row r="15"/>
    <row r="16"/>
    <row r="17">
      <c r="A17" s="3" t="inlineStr">
        <is>
          <t>Gesamt</t>
        </is>
      </c>
      <c r="B17" s="3">
        <f>SUM(B2:B40)</f>
        <v/>
      </c>
      <c r="C17" s="3">
        <f>SUM(C2:C40)</f>
        <v/>
      </c>
      <c r="D17" s="3">
        <f>SUM(D2:D40)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2026-09-26T18:16:16Z</dcterms:created>
  <dcterms:modified xsi:type="dcterms:W3CDTF">2026-09-26T18:16:16Z</dcterms:modified>
</cp:coreProperties>
</file>