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Pflegekosten" sheetId="3" state="visible" r:id="rId3"/>
    <sheet name="Budgetplan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Verteilung der Pflegekosten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'Pflegekosten'!F1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'Pflegekosten'!$B$2:$B$4</f>
            </numRef>
          </cat>
          <val>
            <numRef>
              <f>'Pflegekosten'!$F$2:$F$4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flegekosten_2789" displayName="T_Pflegekosten_2789" ref="A1:F104" headerRowCount="1">
  <autoFilter ref="A1:F104"/>
  <tableColumns count="6">
    <tableColumn id="1" name="Datum"/>
    <tableColumn id="2" name="Kategorie"/>
    <tableColumn id="3" name="Beschreibung"/>
    <tableColumn id="4" name="Menge"/>
    <tableColumn id="5" name="Einzelpreis"/>
    <tableColumn id="6" name="Summe"/>
  </tableColumns>
  <tableStyleInfo name="TableStyleMedium7" showRowStripes="1"/>
</table>
</file>

<file path=xl/tables/table2.xml><?xml version="1.0" encoding="utf-8"?>
<table xmlns="http://schemas.openxmlformats.org/spreadsheetml/2006/main" id="2" name="T_Budgetplanung_3661" displayName="T_Budgetplanung_3661" ref="A1:D3" headerRowCount="1">
  <autoFilter ref="A1:D3"/>
  <tableColumns count="4">
    <tableColumn id="1" name="Kategorie"/>
    <tableColumn id="2" name="Monatliches Budget"/>
    <tableColumn id="3" name="Ausgaben YTD"/>
    <tableColumn id="4" name="Verbleiben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Pflegekosten'!A1" TargetMode="External" Id="rId2" /><Relationship Type="http://schemas.openxmlformats.org/officeDocument/2006/relationships/hyperlink" Target="#'Budgetplanung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Senioren-Pflegekosten-Tracker &amp; Budgetplaner</t>
        </is>
      </c>
    </row>
    <row r="3" ht="45" customHeight="1">
      <c r="C3" s="2" t="inlineStr">
        <is>
          <t>Professionelle Kostenkontrolle und Budgetplanung für die häusliche Pflege – alles in einer komfortablen Excel-Lösung.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Pflegebedarf erfassen (regelmäßige vs. einmalige Kosten)</t>
        </is>
      </c>
    </row>
    <row r="7" ht="18" customHeight="1">
      <c r="B7" s="4" t="inlineStr">
        <is>
          <t>2.</t>
        </is>
      </c>
      <c r="C7" s="5" t="inlineStr">
        <is>
          <t>Monatliche Budgets für verschiedene Kostenkategorien festlegen</t>
        </is>
      </c>
    </row>
    <row r="8" ht="18" customHeight="1">
      <c r="B8" s="4" t="inlineStr">
        <is>
          <t>3.</t>
        </is>
      </c>
      <c r="C8" s="5" t="inlineStr">
        <is>
          <t>Tatsächliche Ausgaben systematisch eintragen</t>
        </is>
      </c>
    </row>
    <row r="9" ht="18" customHeight="1">
      <c r="B9" s="4" t="inlineStr">
        <is>
          <t>4.</t>
        </is>
      </c>
      <c r="C9" s="5" t="inlineStr">
        <is>
          <t>Automatische Auswertungen nutzen</t>
        </is>
      </c>
    </row>
    <row r="10" ht="18" customHeight="1">
      <c r="B10" s="4" t="inlineStr">
        <is>
          <t>5.</t>
        </is>
      </c>
      <c r="C10" s="5" t="inlineStr">
        <is>
          <t>Budgetabweichungen analysieren und anpassen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Pflegekosten</t>
        </is>
      </c>
    </row>
    <row r="17">
      <c r="C17" s="7" t="inlineStr">
        <is>
          <t>→ Budgetplanung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Senioren-Pflegekosten-Tracker &amp; Budgetplaner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SUM('Pflegekosten'!F2:F300)</f>
        <v/>
      </c>
    </row>
    <row r="6" ht="24" customHeight="1">
      <c r="B6" s="11" t="inlineStr">
        <is>
          <t>Durchschn. monatl. Kosten</t>
        </is>
      </c>
      <c r="C6" s="12">
        <f>AVERAGE('Budgetplanung'!C2:C10)</f>
        <v/>
      </c>
    </row>
    <row r="7" ht="24" customHeight="1">
      <c r="B7" s="11" t="inlineStr">
        <is>
          <t>Größte Budgetabweichung</t>
        </is>
      </c>
      <c r="C7" s="12">
        <f>MAX('Budgetplanung'!D2:D10)</f>
        <v/>
      </c>
    </row>
    <row r="8" ht="24" customHeight="1">
      <c r="B8" s="11" t="inlineStr">
        <is>
          <t>Häufigste Kostenkategorie</t>
        </is>
      </c>
      <c r="C8" s="13">
        <f>INDEX('Pflegekosten'!B2:B300,MODE(MATCH('Pflegekosten'!B2:B300,'Pflegekosten'!B2:B300,0)))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12" customWidth="1" min="4" max="4"/>
    <col width="14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Menge</t>
        </is>
      </c>
      <c r="E1" s="14" t="inlineStr">
        <is>
          <t>Einzelpreis</t>
        </is>
      </c>
      <c r="F1" s="14" t="inlineStr">
        <is>
          <t>Summe</t>
        </is>
      </c>
    </row>
    <row r="2">
      <c r="A2" s="15" t="n">
        <v>46091</v>
      </c>
      <c r="B2" s="16" t="inlineStr">
        <is>
          <t>Medikamente</t>
        </is>
      </c>
      <c r="C2" s="16" t="inlineStr">
        <is>
          <t>Blutdruckmittel Monatspackung</t>
        </is>
      </c>
      <c r="D2" s="17" t="n">
        <v>1</v>
      </c>
      <c r="E2" s="18" t="n">
        <v>45.8</v>
      </c>
      <c r="F2" s="19">
        <f>D2*E2</f>
        <v/>
      </c>
    </row>
    <row r="3">
      <c r="A3" s="15" t="n">
        <v>46093</v>
      </c>
      <c r="B3" s="16" t="inlineStr">
        <is>
          <t>Hilfsmittel</t>
        </is>
      </c>
      <c r="C3" s="16" t="inlineStr">
        <is>
          <t>Gehstütze</t>
        </is>
      </c>
      <c r="D3" s="17" t="n">
        <v>1</v>
      </c>
      <c r="E3" s="18" t="n">
        <v>89.90000000000001</v>
      </c>
      <c r="F3" s="19">
        <f>D3*E3</f>
        <v/>
      </c>
    </row>
    <row r="4">
      <c r="A4" s="15" t="n">
        <v>46096</v>
      </c>
      <c r="B4" s="16" t="inlineStr">
        <is>
          <t>Pflegedienst</t>
        </is>
      </c>
      <c r="C4" s="16" t="inlineStr">
        <is>
          <t>Grundpflege wöchentlich</t>
        </is>
      </c>
      <c r="D4" s="17" t="n">
        <v>4</v>
      </c>
      <c r="E4" s="18" t="n">
        <v>35</v>
      </c>
      <c r="F4" s="19">
        <f>D4*E4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  <row r="67">
      <c r="A67" s="15" t="n"/>
      <c r="B67" s="16" t="n"/>
      <c r="C67" s="16" t="n"/>
      <c r="D67" s="17" t="n"/>
      <c r="E67" s="18" t="n"/>
      <c r="F67" s="19">
        <f>IF(A67="","",D67*E67)</f>
        <v/>
      </c>
    </row>
    <row r="68">
      <c r="A68" s="15" t="n"/>
      <c r="B68" s="16" t="n"/>
      <c r="C68" s="16" t="n"/>
      <c r="D68" s="17" t="n"/>
      <c r="E68" s="18" t="n"/>
      <c r="F68" s="19">
        <f>IF(A68="","",D68*E68)</f>
        <v/>
      </c>
    </row>
    <row r="69">
      <c r="A69" s="15" t="n"/>
      <c r="B69" s="16" t="n"/>
      <c r="C69" s="16" t="n"/>
      <c r="D69" s="17" t="n"/>
      <c r="E69" s="18" t="n"/>
      <c r="F69" s="19">
        <f>IF(A69="","",D69*E69)</f>
        <v/>
      </c>
    </row>
    <row r="70">
      <c r="A70" s="15" t="n"/>
      <c r="B70" s="16" t="n"/>
      <c r="C70" s="16" t="n"/>
      <c r="D70" s="17" t="n"/>
      <c r="E70" s="18" t="n"/>
      <c r="F70" s="19">
        <f>IF(A70="","",D70*E70)</f>
        <v/>
      </c>
    </row>
    <row r="71">
      <c r="A71" s="15" t="n"/>
      <c r="B71" s="16" t="n"/>
      <c r="C71" s="16" t="n"/>
      <c r="D71" s="17" t="n"/>
      <c r="E71" s="18" t="n"/>
      <c r="F71" s="19">
        <f>IF(A71="","",D71*E71)</f>
        <v/>
      </c>
    </row>
    <row r="72">
      <c r="A72" s="15" t="n"/>
      <c r="B72" s="16" t="n"/>
      <c r="C72" s="16" t="n"/>
      <c r="D72" s="17" t="n"/>
      <c r="E72" s="18" t="n"/>
      <c r="F72" s="19">
        <f>IF(A72="","",D72*E72)</f>
        <v/>
      </c>
    </row>
    <row r="73">
      <c r="A73" s="15" t="n"/>
      <c r="B73" s="16" t="n"/>
      <c r="C73" s="16" t="n"/>
      <c r="D73" s="17" t="n"/>
      <c r="E73" s="18" t="n"/>
      <c r="F73" s="19">
        <f>IF(A73="","",D73*E73)</f>
        <v/>
      </c>
    </row>
    <row r="74">
      <c r="A74" s="15" t="n"/>
      <c r="B74" s="16" t="n"/>
      <c r="C74" s="16" t="n"/>
      <c r="D74" s="17" t="n"/>
      <c r="E74" s="18" t="n"/>
      <c r="F74" s="19">
        <f>IF(A74="","",D74*E74)</f>
        <v/>
      </c>
    </row>
    <row r="75">
      <c r="A75" s="15" t="n"/>
      <c r="B75" s="16" t="n"/>
      <c r="C75" s="16" t="n"/>
      <c r="D75" s="17" t="n"/>
      <c r="E75" s="18" t="n"/>
      <c r="F75" s="19">
        <f>IF(A75="","",D75*E75)</f>
        <v/>
      </c>
    </row>
    <row r="76">
      <c r="A76" s="15" t="n"/>
      <c r="B76" s="16" t="n"/>
      <c r="C76" s="16" t="n"/>
      <c r="D76" s="17" t="n"/>
      <c r="E76" s="18" t="n"/>
      <c r="F76" s="19">
        <f>IF(A76="","",D76*E76)</f>
        <v/>
      </c>
    </row>
    <row r="77">
      <c r="A77" s="15" t="n"/>
      <c r="B77" s="16" t="n"/>
      <c r="C77" s="16" t="n"/>
      <c r="D77" s="17" t="n"/>
      <c r="E77" s="18" t="n"/>
      <c r="F77" s="19">
        <f>IF(A77="","",D77*E77)</f>
        <v/>
      </c>
    </row>
    <row r="78">
      <c r="A78" s="15" t="n"/>
      <c r="B78" s="16" t="n"/>
      <c r="C78" s="16" t="n"/>
      <c r="D78" s="17" t="n"/>
      <c r="E78" s="18" t="n"/>
      <c r="F78" s="19">
        <f>IF(A78="","",D78*E78)</f>
        <v/>
      </c>
    </row>
    <row r="79">
      <c r="A79" s="15" t="n"/>
      <c r="B79" s="16" t="n"/>
      <c r="C79" s="16" t="n"/>
      <c r="D79" s="17" t="n"/>
      <c r="E79" s="18" t="n"/>
      <c r="F79" s="19">
        <f>IF(A79="","",D79*E79)</f>
        <v/>
      </c>
    </row>
    <row r="80">
      <c r="A80" s="15" t="n"/>
      <c r="B80" s="16" t="n"/>
      <c r="C80" s="16" t="n"/>
      <c r="D80" s="17" t="n"/>
      <c r="E80" s="18" t="n"/>
      <c r="F80" s="19">
        <f>IF(A80="","",D80*E80)</f>
        <v/>
      </c>
    </row>
    <row r="81">
      <c r="A81" s="15" t="n"/>
      <c r="B81" s="16" t="n"/>
      <c r="C81" s="16" t="n"/>
      <c r="D81" s="17" t="n"/>
      <c r="E81" s="18" t="n"/>
      <c r="F81" s="19">
        <f>IF(A81="","",D81*E81)</f>
        <v/>
      </c>
    </row>
    <row r="82">
      <c r="A82" s="15" t="n"/>
      <c r="B82" s="16" t="n"/>
      <c r="C82" s="16" t="n"/>
      <c r="D82" s="17" t="n"/>
      <c r="E82" s="18" t="n"/>
      <c r="F82" s="19">
        <f>IF(A82="","",D82*E82)</f>
        <v/>
      </c>
    </row>
    <row r="83">
      <c r="A83" s="15" t="n"/>
      <c r="B83" s="16" t="n"/>
      <c r="C83" s="16" t="n"/>
      <c r="D83" s="17" t="n"/>
      <c r="E83" s="18" t="n"/>
      <c r="F83" s="19">
        <f>IF(A83="","",D83*E83)</f>
        <v/>
      </c>
    </row>
    <row r="84">
      <c r="A84" s="15" t="n"/>
      <c r="B84" s="16" t="n"/>
      <c r="C84" s="16" t="n"/>
      <c r="D84" s="17" t="n"/>
      <c r="E84" s="18" t="n"/>
      <c r="F84" s="19">
        <f>IF(A84="","",D84*E84)</f>
        <v/>
      </c>
    </row>
    <row r="85">
      <c r="A85" s="15" t="n"/>
      <c r="B85" s="16" t="n"/>
      <c r="C85" s="16" t="n"/>
      <c r="D85" s="17" t="n"/>
      <c r="E85" s="18" t="n"/>
      <c r="F85" s="19">
        <f>IF(A85="","",D85*E85)</f>
        <v/>
      </c>
    </row>
    <row r="86">
      <c r="A86" s="15" t="n"/>
      <c r="B86" s="16" t="n"/>
      <c r="C86" s="16" t="n"/>
      <c r="D86" s="17" t="n"/>
      <c r="E86" s="18" t="n"/>
      <c r="F86" s="19">
        <f>IF(A86="","",D86*E86)</f>
        <v/>
      </c>
    </row>
    <row r="87">
      <c r="A87" s="15" t="n"/>
      <c r="B87" s="16" t="n"/>
      <c r="C87" s="16" t="n"/>
      <c r="D87" s="17" t="n"/>
      <c r="E87" s="18" t="n"/>
      <c r="F87" s="19">
        <f>IF(A87="","",D87*E87)</f>
        <v/>
      </c>
    </row>
    <row r="88">
      <c r="A88" s="15" t="n"/>
      <c r="B88" s="16" t="n"/>
      <c r="C88" s="16" t="n"/>
      <c r="D88" s="17" t="n"/>
      <c r="E88" s="18" t="n"/>
      <c r="F88" s="19">
        <f>IF(A88="","",D88*E88)</f>
        <v/>
      </c>
    </row>
    <row r="89">
      <c r="A89" s="15" t="n"/>
      <c r="B89" s="16" t="n"/>
      <c r="C89" s="16" t="n"/>
      <c r="D89" s="17" t="n"/>
      <c r="E89" s="18" t="n"/>
      <c r="F89" s="19">
        <f>IF(A89="","",D89*E89)</f>
        <v/>
      </c>
    </row>
    <row r="90">
      <c r="A90" s="15" t="n"/>
      <c r="B90" s="16" t="n"/>
      <c r="C90" s="16" t="n"/>
      <c r="D90" s="17" t="n"/>
      <c r="E90" s="18" t="n"/>
      <c r="F90" s="19">
        <f>IF(A90="","",D90*E90)</f>
        <v/>
      </c>
    </row>
    <row r="91">
      <c r="A91" s="15" t="n"/>
      <c r="B91" s="16" t="n"/>
      <c r="C91" s="16" t="n"/>
      <c r="D91" s="17" t="n"/>
      <c r="E91" s="18" t="n"/>
      <c r="F91" s="19">
        <f>IF(A91="","",D91*E91)</f>
        <v/>
      </c>
    </row>
    <row r="92">
      <c r="A92" s="15" t="n"/>
      <c r="B92" s="16" t="n"/>
      <c r="C92" s="16" t="n"/>
      <c r="D92" s="17" t="n"/>
      <c r="E92" s="18" t="n"/>
      <c r="F92" s="19">
        <f>IF(A92="","",D92*E92)</f>
        <v/>
      </c>
    </row>
    <row r="93">
      <c r="A93" s="15" t="n"/>
      <c r="B93" s="16" t="n"/>
      <c r="C93" s="16" t="n"/>
      <c r="D93" s="17" t="n"/>
      <c r="E93" s="18" t="n"/>
      <c r="F93" s="19">
        <f>IF(A93="","",D93*E93)</f>
        <v/>
      </c>
    </row>
    <row r="94">
      <c r="A94" s="15" t="n"/>
      <c r="B94" s="16" t="n"/>
      <c r="C94" s="16" t="n"/>
      <c r="D94" s="17" t="n"/>
      <c r="E94" s="18" t="n"/>
      <c r="F94" s="19">
        <f>IF(A94="","",D94*E94)</f>
        <v/>
      </c>
    </row>
    <row r="95">
      <c r="A95" s="15" t="n"/>
      <c r="B95" s="16" t="n"/>
      <c r="C95" s="16" t="n"/>
      <c r="D95" s="17" t="n"/>
      <c r="E95" s="18" t="n"/>
      <c r="F95" s="19">
        <f>IF(A95="","",D95*E95)</f>
        <v/>
      </c>
    </row>
    <row r="96">
      <c r="A96" s="15" t="n"/>
      <c r="B96" s="16" t="n"/>
      <c r="C96" s="16" t="n"/>
      <c r="D96" s="17" t="n"/>
      <c r="E96" s="18" t="n"/>
      <c r="F96" s="19">
        <f>IF(A96="","",D96*E96)</f>
        <v/>
      </c>
    </row>
    <row r="97">
      <c r="A97" s="15" t="n"/>
      <c r="B97" s="16" t="n"/>
      <c r="C97" s="16" t="n"/>
      <c r="D97" s="17" t="n"/>
      <c r="E97" s="18" t="n"/>
      <c r="F97" s="19">
        <f>IF(A97="","",D97*E97)</f>
        <v/>
      </c>
    </row>
    <row r="98">
      <c r="A98" s="15" t="n"/>
      <c r="B98" s="16" t="n"/>
      <c r="C98" s="16" t="n"/>
      <c r="D98" s="17" t="n"/>
      <c r="E98" s="18" t="n"/>
      <c r="F98" s="19">
        <f>IF(A98="","",D98*E98)</f>
        <v/>
      </c>
    </row>
    <row r="99">
      <c r="A99" s="15" t="n"/>
      <c r="B99" s="16" t="n"/>
      <c r="C99" s="16" t="n"/>
      <c r="D99" s="17" t="n"/>
      <c r="E99" s="18" t="n"/>
      <c r="F99" s="19">
        <f>IF(A99="","",D99*E99)</f>
        <v/>
      </c>
    </row>
    <row r="100">
      <c r="A100" s="15" t="n"/>
      <c r="B100" s="16" t="n"/>
      <c r="C100" s="16" t="n"/>
      <c r="D100" s="17" t="n"/>
      <c r="E100" s="18" t="n"/>
      <c r="F100" s="19">
        <f>IF(A100="","",D100*E100)</f>
        <v/>
      </c>
    </row>
    <row r="101">
      <c r="A101" s="15" t="n"/>
      <c r="B101" s="16" t="n"/>
      <c r="C101" s="16" t="n"/>
      <c r="D101" s="17" t="n"/>
      <c r="E101" s="18" t="n"/>
      <c r="F101" s="19">
        <f>IF(A101="","",D101*E101)</f>
        <v/>
      </c>
    </row>
    <row r="102">
      <c r="A102" s="15" t="n"/>
      <c r="B102" s="16" t="n"/>
      <c r="C102" s="16" t="n"/>
      <c r="D102" s="17" t="n"/>
      <c r="E102" s="18" t="n"/>
      <c r="F102" s="19">
        <f>IF(A102="","",D102*E102)</f>
        <v/>
      </c>
    </row>
    <row r="103">
      <c r="A103" s="15" t="n"/>
      <c r="B103" s="16" t="n"/>
      <c r="C103" s="16" t="n"/>
      <c r="D103" s="17" t="n"/>
      <c r="E103" s="18" t="n"/>
      <c r="F103" s="19">
        <f>IF(A103="","",D103*E103)</f>
        <v/>
      </c>
    </row>
    <row r="104">
      <c r="A104" s="15" t="n"/>
      <c r="B104" s="16" t="n"/>
      <c r="C104" s="16" t="n"/>
      <c r="D104" s="17" t="n"/>
      <c r="E104" s="18" t="n"/>
      <c r="F104" s="19">
        <f>IF(A104="","",D104*E104)</f>
        <v/>
      </c>
    </row>
  </sheetData>
  <conditionalFormatting sqref="D2:D104">
    <cfRule type="cellIs" priority="1" operator="lessThan" dxfId="0">
      <formula>0</formula>
    </cfRule>
  </conditionalFormatting>
  <conditionalFormatting sqref="E2:E104">
    <cfRule type="cellIs" priority="2" operator="lessThan" dxfId="0">
      <formula>0</formula>
    </cfRule>
  </conditionalFormatting>
  <conditionalFormatting sqref="F2:F104">
    <cfRule type="cellIs" priority="3" operator="lessThan" dxfId="0">
      <formula>0</formula>
    </cfRule>
  </conditionalFormatting>
  <dataValidations count="1">
    <dataValidation sqref="B2:B104" showDropDown="0" showInputMessage="0" showErrorMessage="0" allowBlank="1" type="list">
      <formula1>"Medikamente,Hilfsmittel,Pflegedienst,Fahrdienste,Haushaltshilfe,Therapien,Sonstiges"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40" customWidth="1" min="3" max="3"/>
    <col width="14" customWidth="1" min="4" max="4"/>
  </cols>
  <sheetData>
    <row r="1" ht="32" customHeight="1">
      <c r="A1" s="14" t="inlineStr">
        <is>
          <t>Kategorie</t>
        </is>
      </c>
      <c r="B1" s="14" t="inlineStr">
        <is>
          <t>Monatliches Budget</t>
        </is>
      </c>
      <c r="C1" s="14" t="inlineStr">
        <is>
          <t>Ausgaben YTD</t>
        </is>
      </c>
      <c r="D1" s="14" t="inlineStr">
        <is>
          <t>Verbleibend</t>
        </is>
      </c>
    </row>
    <row r="2">
      <c r="A2" s="16" t="inlineStr">
        <is>
          <t>Medikamente</t>
        </is>
      </c>
      <c r="B2" s="18" t="n">
        <v>120</v>
      </c>
      <c r="C2" s="19">
        <f>SUMIF(Pflegekosten!B2:B100,A2,Pflegekosten!F2:F100)</f>
        <v/>
      </c>
      <c r="D2" s="19">
        <f>B2-C2</f>
        <v/>
      </c>
    </row>
    <row r="3">
      <c r="A3" s="16" t="inlineStr">
        <is>
          <t>Pflegedienst</t>
        </is>
      </c>
      <c r="B3" s="18" t="n">
        <v>600</v>
      </c>
      <c r="C3" s="19" t="inlineStr"/>
      <c r="D3" s="19" t="inlineStr"/>
    </row>
  </sheetData>
  <conditionalFormatting sqref="B2:B3">
    <cfRule type="cellIs" priority="1" operator="lessThan" dxfId="0">
      <formula>0</formula>
    </cfRule>
  </conditionalFormatting>
  <conditionalFormatting sqref="C2:C3">
    <cfRule type="cellIs" priority="2" operator="lessThan" dxfId="0">
      <formula>0</formula>
    </cfRule>
  </conditionalFormatting>
  <conditionalFormatting sqref="D2:D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Senioren-Pflegekosten-Tracker &amp; Budgetplaner</dc:title>
  <dcterms:created xsi:type="dcterms:W3CDTF">2026-10-18T18:45:46Z</dcterms:created>
  <dcterms:modified xsi:type="dcterms:W3CDTF">2026-10-18T18:45:46Z</dcterms:modified>
</cp:coreProperties>
</file>