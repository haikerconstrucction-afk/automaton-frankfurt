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rojektdaten" sheetId="2" state="visible" r:id="rId2"/>
    <sheet name="Materialkalkulation" sheetId="3" state="visible" r:id="rId3"/>
    <sheet name="Arbeitszeitplan" sheetId="4" state="visible" r:id="rId4"/>
    <sheet name="Angebotsübers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Baustellen-Kalkulation &amp; Angebots-Tool für Handwerker</t>
        </is>
      </c>
    </row>
    <row r="2">
      <c r="A2" t="inlineStr">
        <is>
          <t>1. Schritt 1: Projektdaten (Kunde, Baustelle, Zeitraum) eintragen</t>
        </is>
      </c>
    </row>
    <row r="3">
      <c r="A3" t="inlineStr">
        <is>
          <t>2. Schritt 2: Materialien mit Menge, Einzelpreis &amp; Lieferant erfassen</t>
        </is>
      </c>
    </row>
    <row r="4">
      <c r="A4" t="inlineStr">
        <is>
          <t>3. Schritt 3: Arbeitsschritte mit benötigten Stunden planen</t>
        </is>
      </c>
    </row>
    <row r="5">
      <c r="A5" t="inlineStr">
        <is>
          <t>4. Schritt 4: Stundensätze und Materialrabatte anpassen</t>
        </is>
      </c>
    </row>
    <row r="6">
      <c r="A6" t="inlineStr">
        <is>
          <t>5. Schritt 5: Angebots-PDF generieren oder Daten exportieren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Kundenname</t>
        </is>
      </c>
      <c r="B1" s="2" t="inlineStr">
        <is>
          <t>Baustellenadresse</t>
        </is>
      </c>
      <c r="C1" s="2" t="inlineStr">
        <is>
          <t>Angebotsdatum</t>
        </is>
      </c>
      <c r="D1" s="2" t="inlineStr">
        <is>
          <t>Gültig bis</t>
        </is>
      </c>
      <c r="E1" s="2" t="inlineStr">
        <is>
          <t>Projektleiter</t>
        </is>
      </c>
    </row>
    <row r="2">
      <c r="A2" t="inlineStr">
        <is>
          <t>Musterkunde GmbH</t>
        </is>
      </c>
      <c r="B2" t="inlineStr">
        <is>
          <t>Industriestr. 15, 10179 Berlin</t>
        </is>
      </c>
      <c r="C2" t="inlineStr">
        <is>
          <t>01.03.2026</t>
        </is>
      </c>
      <c r="D2" t="inlineStr">
        <is>
          <t>15.03.2026</t>
        </is>
      </c>
      <c r="E2" t="inlineStr">
        <is>
          <t>Max Meier</t>
        </is>
      </c>
    </row>
    <row r="3">
      <c r="A3" t="inlineStr"/>
      <c r="B3" t="inlineStr"/>
      <c r="C3">
        <f>TODAY()</f>
        <v/>
      </c>
      <c r="D3">
        <f>B2+14</f>
        <v/>
      </c>
      <c r="E3" t="inlineStr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Material</t>
        </is>
      </c>
      <c r="B1" s="2" t="inlineStr">
        <is>
          <t>Menge</t>
        </is>
      </c>
      <c r="C1" s="2" t="inlineStr">
        <is>
          <t>Einheit</t>
        </is>
      </c>
      <c r="D1" s="2" t="inlineStr">
        <is>
          <t>Einzelpreis</t>
        </is>
      </c>
      <c r="E1" s="2" t="inlineStr">
        <is>
          <t>Rabatt %</t>
        </is>
      </c>
      <c r="F1" s="2" t="inlineStr">
        <is>
          <t>Lieferant</t>
        </is>
      </c>
      <c r="G1" s="2" t="inlineStr">
        <is>
          <t>Gesamtkosten</t>
        </is>
      </c>
    </row>
    <row r="2">
      <c r="A2" t="inlineStr">
        <is>
          <t>Farbe weiß 10L</t>
        </is>
      </c>
      <c r="B2" t="n">
        <v>4</v>
      </c>
      <c r="C2" t="inlineStr">
        <is>
          <t>Dose</t>
        </is>
      </c>
      <c r="D2" t="n">
        <v>59.9</v>
      </c>
      <c r="E2" t="n">
        <v>5</v>
      </c>
      <c r="F2" t="inlineStr">
        <is>
          <t>Baustoffhandel Berlin</t>
        </is>
      </c>
      <c r="G2">
        <f>D2*B2*(1-E2/100)</f>
        <v/>
      </c>
    </row>
    <row r="3">
      <c r="A3" t="inlineStr">
        <is>
          <t>LED-Einbaustrahler</t>
        </is>
      </c>
      <c r="B3" t="n">
        <v>12</v>
      </c>
      <c r="C3" t="inlineStr">
        <is>
          <t>Stück</t>
        </is>
      </c>
      <c r="D3" t="n">
        <v>24.5</v>
      </c>
      <c r="E3" t="n">
        <v>10</v>
      </c>
      <c r="F3" t="inlineStr">
        <is>
          <t>Elektro Großhandel</t>
        </is>
      </c>
      <c r="G3">
        <f>D3*B3*(1-E3/100)</f>
        <v/>
      </c>
    </row>
    <row r="4">
      <c r="A4" t="inlineStr">
        <is>
          <t>Holzleiste Eiche 2m</t>
        </is>
      </c>
      <c r="B4" t="n">
        <v>20</v>
      </c>
      <c r="C4" t="inlineStr">
        <is>
          <t>Stück</t>
        </is>
      </c>
      <c r="D4" t="n">
        <v>8.75</v>
      </c>
      <c r="E4" t="n">
        <v>0</v>
      </c>
      <c r="F4" t="inlineStr">
        <is>
          <t>Holzfachmarkt</t>
        </is>
      </c>
      <c r="G4">
        <f>D4*B4*(1-E4/100)</f>
        <v/>
      </c>
    </row>
    <row r="5">
      <c r="A5" t="inlineStr">
        <is>
          <t>Fliesenkleber 25kg</t>
        </is>
      </c>
      <c r="B5" t="n">
        <v>3</v>
      </c>
      <c r="C5" t="inlineStr">
        <is>
          <t>Sack</t>
        </is>
      </c>
      <c r="D5" t="n">
        <v>18.99</v>
      </c>
      <c r="E5" t="n">
        <v>0</v>
      </c>
      <c r="F5" t="inlineStr">
        <is>
          <t>Baustoffhandel Berlin</t>
        </is>
      </c>
      <c r="G5">
        <f>D5*B5*(1-E5/100)</f>
        <v/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>
      <c r="A36" s="3" t="inlineStr">
        <is>
          <t>Gesamtmaterial</t>
        </is>
      </c>
      <c r="B36" s="3" t="inlineStr"/>
      <c r="C36" s="3" t="inlineStr"/>
      <c r="D36" s="3" t="inlineStr"/>
      <c r="E36" s="3" t="inlineStr"/>
      <c r="F36" s="3" t="inlineStr">
        <is>
          <t>Summe:</t>
        </is>
      </c>
      <c r="G36" s="3">
        <f>SUM(G2:G40)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Arbeitsschritt</t>
        </is>
      </c>
      <c r="B1" s="2" t="inlineStr">
        <is>
          <t>Stunden</t>
        </is>
      </c>
      <c r="C1" s="2" t="inlineStr">
        <is>
          <t>Personen</t>
        </is>
      </c>
      <c r="D1" s="2" t="inlineStr">
        <is>
          <t>Stundensatz</t>
        </is>
      </c>
      <c r="E1" s="2" t="inlineStr">
        <is>
          <t>Gesamtkosten</t>
        </is>
      </c>
    </row>
    <row r="2">
      <c r="A2" t="inlineStr">
        <is>
          <t>Grundierung Wände</t>
        </is>
      </c>
      <c r="B2" t="n">
        <v>8</v>
      </c>
      <c r="C2" t="n">
        <v>2</v>
      </c>
      <c r="D2" t="n">
        <v>45</v>
      </c>
      <c r="E2">
        <f>B2*C2*D2</f>
        <v/>
      </c>
    </row>
    <row r="3">
      <c r="A3" t="inlineStr">
        <is>
          <t>Elektro-Installation</t>
        </is>
      </c>
      <c r="B3" t="n">
        <v>12</v>
      </c>
      <c r="C3" t="n">
        <v>1</v>
      </c>
      <c r="D3" t="n">
        <v>55</v>
      </c>
      <c r="E3">
        <f>B3*C3*D3</f>
        <v/>
      </c>
    </row>
    <row r="4">
      <c r="A4" t="inlineStr">
        <is>
          <t>Fliesen verlegen</t>
        </is>
      </c>
      <c r="B4" t="n">
        <v>15</v>
      </c>
      <c r="C4" t="n">
        <v>2</v>
      </c>
      <c r="D4" t="n">
        <v>50</v>
      </c>
      <c r="E4">
        <f>B4*C4*D4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A30" s="3" t="inlineStr">
        <is>
          <t>Gesamtarbeit</t>
        </is>
      </c>
      <c r="B30" s="3" t="inlineStr"/>
      <c r="C30" s="3" t="inlineStr"/>
      <c r="D30" s="3" t="inlineStr"/>
      <c r="E30" s="3">
        <f>SUM(E2:E40)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Position</t>
        </is>
      </c>
      <c r="B1" s="2" t="inlineStr">
        <is>
          <t>Kosten</t>
        </is>
      </c>
    </row>
    <row r="2">
      <c r="A2" t="inlineStr">
        <is>
          <t>Materialkosten netto</t>
        </is>
      </c>
      <c r="B2">
        <f>Materialkalkulation!G41</f>
        <v/>
      </c>
    </row>
    <row r="3">
      <c r="A3" t="inlineStr">
        <is>
          <t>Arbeitskosten netto</t>
        </is>
      </c>
      <c r="B3">
        <f>Arbeitszeitplan!E41</f>
        <v/>
      </c>
    </row>
    <row r="4">
      <c r="A4" t="inlineStr">
        <is>
          <t>Summe netto</t>
        </is>
      </c>
      <c r="B4">
        <f>SUM(B2:B3)</f>
        <v/>
      </c>
    </row>
    <row r="5">
      <c r="A5" t="inlineStr">
        <is>
          <t>MwSt. 19%</t>
        </is>
      </c>
      <c r="B5">
        <f>B4*0.19</f>
        <v/>
      </c>
    </row>
    <row r="6">
      <c r="A6" t="inlineStr">
        <is>
          <t>Gesamtsumme brutto</t>
        </is>
      </c>
      <c r="B6">
        <f>B4+B5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2026-09-27T06:56:41Z</dcterms:created>
  <dcterms:modified xsi:type="dcterms:W3CDTF">2026-09-27T06:56:41Z</dcterms:modified>
</cp:coreProperties>
</file>