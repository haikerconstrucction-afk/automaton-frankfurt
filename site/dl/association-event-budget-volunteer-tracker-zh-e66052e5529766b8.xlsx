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活动预算" sheetId="3" state="visible" r:id="rId3"/>
    <sheet name="志愿者管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支出分类饼图</a:t>
            </a:r>
          </a:p>
        </rich>
      </tx>
    </title>
    <plotArea>
      <pieChart>
        <varyColors val="1"/>
        <ser>
          <idx val="0"/>
          <order val="0"/>
          <tx>
            <strRef>
              <f>'活动预算'!F1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'活动预算'!$C$2:$C$5</f>
            </numRef>
          </cat>
          <val>
            <numRef>
              <f>'活动预算'!$F$2:$F$5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854" displayName="T______2854" ref="A1:G65" headerRowCount="1">
  <autoFilter ref="A1:G65"/>
  <tableColumns count="7">
    <tableColumn id="1" name="日期"/>
    <tableColumn id="2" name="支出项目"/>
    <tableColumn id="3" name="类型"/>
    <tableColumn id="4" name="单价"/>
    <tableColumn id="5" name="数量"/>
    <tableColumn id="6" name="总价"/>
    <tableColumn id="7" name="状态"/>
  </tableColumns>
  <tableStyleInfo name="TableStyleMedium7" showRowStripes="1"/>
</table>
</file>

<file path=xl/tables/table2.xml><?xml version="1.0" encoding="utf-8"?>
<table xmlns="http://schemas.openxmlformats.org/spreadsheetml/2006/main" id="2" name="T_______3867" displayName="T_______3867" ref="A1:E34" headerRowCount="1">
  <autoFilter ref="A1:E34"/>
  <tableColumns count="5">
    <tableColumn id="1" name="姓名"/>
    <tableColumn id="2" name="手机"/>
    <tableColumn id="3" name="角色"/>
    <tableColumn id="4" name="技能"/>
    <tableColumn id="5" name="可用时间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7963;&#21160;&#39044;&#31639;'!A1" TargetMode="External" Id="rId2" /><Relationship Type="http://schemas.openxmlformats.org/officeDocument/2006/relationships/hyperlink" Target="#'&#24535;&#24895;&#32773;&#31649;&#29702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智能协会活动预算与志愿者管理追踪器 - 2026专业版</t>
        </is>
      </c>
    </row>
    <row r="3" ht="45" customHeight="1">
      <c r="C3" s="2" t="inlineStr">
        <is>
          <t>专业级Excel模板，帮助协会轻松规划活动预算、管理志愿者资源并追踪捐赠情况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在活动预算表中输入计划支出</t>
        </is>
      </c>
    </row>
    <row r="7" ht="18" customHeight="1">
      <c r="B7" s="4" t="inlineStr">
        <is>
          <t>2.</t>
        </is>
      </c>
      <c r="C7" s="5" t="inlineStr">
        <is>
          <t>在志愿者表中登记参与者信息与任务分配</t>
        </is>
      </c>
    </row>
    <row r="8" ht="18" customHeight="1">
      <c r="B8" s="4" t="inlineStr">
        <is>
          <t>3.</t>
        </is>
      </c>
      <c r="C8" s="5" t="inlineStr">
        <is>
          <t>在捐赠表中记录收入和物资捐赠</t>
        </is>
      </c>
    </row>
    <row r="9" ht="18" customHeight="1">
      <c r="B9" s="4" t="inlineStr">
        <is>
          <t>4.</t>
        </is>
      </c>
      <c r="C9" s="5" t="inlineStr">
        <is>
          <t>仪表盘自动计算关键指标</t>
        </is>
      </c>
    </row>
    <row r="10" ht="18" customHeight="1">
      <c r="B10" s="4" t="inlineStr">
        <is>
          <t>5.</t>
        </is>
      </c>
      <c r="C10" s="5" t="inlineStr">
        <is>
          <t>使用筛选功能分析数据</t>
        </is>
      </c>
    </row>
    <row r="11" ht="18" customHeight="1">
      <c r="B11" s="4" t="inlineStr">
        <is>
          <t>6.</t>
        </is>
      </c>
      <c r="C11" s="5" t="inlineStr">
        <is>
          <t>导出PDF报告分享给团队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活动预算</t>
        </is>
      </c>
    </row>
    <row r="18">
      <c r="C18" s="7" t="inlineStr">
        <is>
          <t>→ 志愿者管理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智能协会活动预算与志愿者管理追踪器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SUM('活动预算'!F2:F300)</f>
        <v/>
      </c>
    </row>
    <row r="6" ht="24" customHeight="1">
      <c r="B6" s="11" t="inlineStr">
        <is>
          <t>志愿者人数</t>
        </is>
      </c>
      <c r="C6" s="13">
        <f>COUNTA('志愿者管理'!A2:A300)</f>
        <v/>
      </c>
    </row>
    <row r="7" ht="24" customHeight="1">
      <c r="B7" s="11" t="inlineStr">
        <is>
          <t>志愿者总工时</t>
        </is>
      </c>
      <c r="C7" s="14">
        <f>SUM('志愿者管理'!E2:E300)</f>
        <v/>
      </c>
    </row>
    <row r="8" ht="24" customHeight="1">
      <c r="B8" s="11" t="inlineStr">
        <is>
          <t>已完成项目</t>
        </is>
      </c>
      <c r="C8" s="13">
        <f>COUNTIF('活动预算'!G2:G300,"已支付")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12" customWidth="1" min="7" max="7"/>
  </cols>
  <sheetData>
    <row r="1" ht="32" customHeight="1">
      <c r="A1" s="15" t="inlineStr">
        <is>
          <t>日期</t>
        </is>
      </c>
      <c r="B1" s="15" t="inlineStr">
        <is>
          <t>支出项目</t>
        </is>
      </c>
      <c r="C1" s="15" t="inlineStr">
        <is>
          <t>类型</t>
        </is>
      </c>
      <c r="D1" s="15" t="inlineStr">
        <is>
          <t>单价</t>
        </is>
      </c>
      <c r="E1" s="15" t="inlineStr">
        <is>
          <t>数量</t>
        </is>
      </c>
      <c r="F1" s="15" t="inlineStr">
        <is>
          <t>总价</t>
        </is>
      </c>
      <c r="G1" s="15" t="inlineStr">
        <is>
          <t>状态</t>
        </is>
      </c>
    </row>
    <row r="2">
      <c r="A2" s="16" t="n">
        <v>46096</v>
      </c>
      <c r="B2" s="17" t="inlineStr">
        <is>
          <t>场地租赁</t>
        </is>
      </c>
      <c r="C2" s="17" t="inlineStr">
        <is>
          <t>场地</t>
        </is>
      </c>
      <c r="D2" s="18" t="n">
        <v>450</v>
      </c>
      <c r="E2" s="19" t="n">
        <v>1</v>
      </c>
      <c r="F2" s="20">
        <f>D2*E2</f>
        <v/>
      </c>
      <c r="G2" s="17" t="n"/>
    </row>
    <row r="3">
      <c r="A3" s="16" t="n">
        <v>46101</v>
      </c>
      <c r="B3" s="17" t="inlineStr">
        <is>
          <t>宣传材料</t>
        </is>
      </c>
      <c r="C3" s="17" t="inlineStr">
        <is>
          <t>宣传</t>
        </is>
      </c>
      <c r="D3" s="18" t="n">
        <v>3.5</v>
      </c>
      <c r="E3" s="19" t="n">
        <v>200</v>
      </c>
      <c r="F3" s="20">
        <f>D3*E3</f>
        <v/>
      </c>
      <c r="G3" s="17" t="n"/>
    </row>
    <row r="4">
      <c r="A4" s="16" t="n">
        <v>46113</v>
      </c>
      <c r="B4" s="17" t="inlineStr">
        <is>
          <t>志愿者餐饮</t>
        </is>
      </c>
      <c r="C4" s="17" t="inlineStr">
        <is>
          <t>后勤</t>
        </is>
      </c>
      <c r="D4" s="18" t="n">
        <v>12</v>
      </c>
      <c r="E4" s="19" t="n">
        <v>30</v>
      </c>
      <c r="F4" s="20">
        <f>D4*E4</f>
        <v/>
      </c>
      <c r="G4" s="17" t="n"/>
    </row>
    <row r="5">
      <c r="A5" s="16" t="n">
        <v>46117</v>
      </c>
      <c r="B5" s="17" t="inlineStr">
        <is>
          <t>设备租赁</t>
        </is>
      </c>
      <c r="C5" s="17" t="inlineStr">
        <is>
          <t>设备</t>
        </is>
      </c>
      <c r="D5" s="18" t="n">
        <v>180</v>
      </c>
      <c r="E5" s="19" t="n">
        <v>1</v>
      </c>
      <c r="F5" s="20">
        <f>D5*E5</f>
        <v/>
      </c>
      <c r="G5" s="17" t="n"/>
    </row>
    <row r="6">
      <c r="A6" s="16" t="n"/>
      <c r="B6" s="17" t="n"/>
      <c r="C6" s="17" t="n"/>
      <c r="D6" s="18" t="n"/>
      <c r="E6" s="19" t="n"/>
      <c r="F6" s="20">
        <f>IF(A6="","",D6*E6)</f>
        <v/>
      </c>
      <c r="G6" s="17" t="n"/>
    </row>
    <row r="7">
      <c r="A7" s="16" t="n"/>
      <c r="B7" s="17" t="n"/>
      <c r="C7" s="17" t="n"/>
      <c r="D7" s="18" t="n"/>
      <c r="E7" s="19" t="n"/>
      <c r="F7" s="20">
        <f>IF(A7="","",D7*E7)</f>
        <v/>
      </c>
      <c r="G7" s="17" t="n"/>
    </row>
    <row r="8">
      <c r="A8" s="16" t="n"/>
      <c r="B8" s="17" t="n"/>
      <c r="C8" s="17" t="n"/>
      <c r="D8" s="18" t="n"/>
      <c r="E8" s="19" t="n"/>
      <c r="F8" s="20">
        <f>IF(A8="","",D8*E8)</f>
        <v/>
      </c>
      <c r="G8" s="17" t="n"/>
    </row>
    <row r="9">
      <c r="A9" s="16" t="n"/>
      <c r="B9" s="17" t="n"/>
      <c r="C9" s="17" t="n"/>
      <c r="D9" s="18" t="n"/>
      <c r="E9" s="19" t="n"/>
      <c r="F9" s="20">
        <f>IF(A9="","",D9*E9)</f>
        <v/>
      </c>
      <c r="G9" s="17" t="n"/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  <c r="G10" s="17" t="n"/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  <c r="G11" s="17" t="n"/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  <c r="G12" s="17" t="n"/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  <c r="G13" s="17" t="n"/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  <c r="G14" s="17" t="n"/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  <c r="G15" s="17" t="n"/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  <c r="G16" s="17" t="n"/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  <c r="G17" s="17" t="n"/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  <c r="G18" s="17" t="n"/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  <c r="G19" s="17" t="n"/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  <c r="G20" s="17" t="n"/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  <c r="G21" s="17" t="n"/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  <c r="G22" s="17" t="n"/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  <c r="G23" s="17" t="n"/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  <c r="G24" s="17" t="n"/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  <c r="G25" s="17" t="n"/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  <c r="G26" s="17" t="n"/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  <c r="G27" s="17" t="n"/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  <c r="G28" s="17" t="n"/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  <c r="G29" s="17" t="n"/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  <c r="G30" s="17" t="n"/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  <c r="G31" s="17" t="n"/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  <c r="G32" s="17" t="n"/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  <c r="G33" s="17" t="n"/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  <c r="G34" s="17" t="n"/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  <c r="G35" s="17" t="n"/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  <c r="G36" s="17" t="n"/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  <c r="G37" s="17" t="n"/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  <c r="G38" s="17" t="n"/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  <c r="G39" s="17" t="n"/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  <c r="G40" s="17" t="n"/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  <c r="G41" s="17" t="n"/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  <c r="G42" s="17" t="n"/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  <c r="G43" s="17" t="n"/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  <c r="G44" s="17" t="n"/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  <c r="G45" s="17" t="n"/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  <c r="G46" s="17" t="n"/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  <c r="G47" s="17" t="n"/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  <c r="G48" s="17" t="n"/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  <c r="G49" s="17" t="n"/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  <c r="G50" s="17" t="n"/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  <c r="G51" s="17" t="n"/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  <c r="G52" s="17" t="n"/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  <c r="G53" s="17" t="n"/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  <c r="G54" s="17" t="n"/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  <c r="G55" s="17" t="n"/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  <c r="G56" s="17" t="n"/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  <c r="G57" s="17" t="n"/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  <c r="G58" s="17" t="n"/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  <c r="G59" s="17" t="n"/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  <c r="G60" s="17" t="n"/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  <c r="G61" s="17" t="n"/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  <c r="G62" s="17" t="n"/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  <c r="G63" s="17" t="n"/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  <c r="G64" s="17" t="n"/>
    </row>
    <row r="65">
      <c r="A65" s="16" t="n"/>
      <c r="B65" s="17" t="n"/>
      <c r="C65" s="17" t="n"/>
      <c r="D65" s="18" t="n"/>
      <c r="E65" s="19" t="n"/>
      <c r="F65" s="20">
        <f>IF(A65="","",D65*E65)</f>
        <v/>
      </c>
      <c r="G65" s="17" t="n"/>
    </row>
  </sheetData>
  <conditionalFormatting sqref="D2:D65">
    <cfRule type="cellIs" priority="1" operator="lessThan" dxfId="0">
      <formula>0</formula>
    </cfRule>
  </conditionalFormatting>
  <conditionalFormatting sqref="F2:F65">
    <cfRule type="cellIs" priority="2" operator="lessThan" dxfId="0">
      <formula>0</formula>
    </cfRule>
  </conditionalFormatting>
  <dataValidations count="2">
    <dataValidation sqref="C2:C65" showDropDown="0" showInputMessage="0" showErrorMessage="0" allowBlank="1" type="list">
      <formula1>"场地,宣传,后勤,设备,其他"</formula1>
    </dataValidation>
    <dataValidation sqref="G2:G65" showDropDown="0" showInputMessage="0" showErrorMessage="0" allowBlank="1" type="list">
      <formula1>"计划中,已批准,已支付,取消"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姓名</t>
        </is>
      </c>
      <c r="B1" s="15" t="inlineStr">
        <is>
          <t>手机</t>
        </is>
      </c>
      <c r="C1" s="15" t="inlineStr">
        <is>
          <t>角色</t>
        </is>
      </c>
      <c r="D1" s="15" t="inlineStr">
        <is>
          <t>技能</t>
        </is>
      </c>
      <c r="E1" s="15" t="inlineStr">
        <is>
          <t>可用时间</t>
        </is>
      </c>
    </row>
    <row r="2">
      <c r="A2" s="17" t="inlineStr">
        <is>
          <t>张伟</t>
        </is>
      </c>
      <c r="B2" s="17" t="inlineStr">
        <is>
          <t>13800138000</t>
        </is>
      </c>
      <c r="C2" s="17" t="inlineStr">
        <is>
          <t>协调员</t>
        </is>
      </c>
      <c r="D2" s="17" t="inlineStr">
        <is>
          <t>组织</t>
        </is>
      </c>
      <c r="E2" s="21" t="n">
        <v>20</v>
      </c>
    </row>
    <row r="3">
      <c r="A3" s="17" t="inlineStr">
        <is>
          <t>李娜</t>
        </is>
      </c>
      <c r="B3" s="17" t="inlineStr">
        <is>
          <t>13900139000</t>
        </is>
      </c>
      <c r="C3" s="17" t="inlineStr">
        <is>
          <t>宣传</t>
        </is>
      </c>
      <c r="D3" s="17" t="inlineStr">
        <is>
          <t>设计</t>
        </is>
      </c>
      <c r="E3" s="21" t="n">
        <v>15</v>
      </c>
    </row>
    <row r="4">
      <c r="A4" s="17" t="inlineStr">
        <is>
          <t>王芳</t>
        </is>
      </c>
      <c r="B4" s="17" t="inlineStr">
        <is>
          <t>13700137000</t>
        </is>
      </c>
      <c r="C4" s="17" t="inlineStr">
        <is>
          <t>后勤</t>
        </is>
      </c>
      <c r="D4" s="17" t="inlineStr">
        <is>
          <t>驾驶</t>
        </is>
      </c>
      <c r="E4" s="21" t="n">
        <v>10</v>
      </c>
    </row>
    <row r="5">
      <c r="A5" s="17" t="n"/>
      <c r="B5" s="17" t="n"/>
      <c r="C5" s="17" t="n"/>
      <c r="D5" s="17" t="n"/>
      <c r="E5" s="21" t="n"/>
    </row>
    <row r="6">
      <c r="A6" s="17" t="n"/>
      <c r="B6" s="17" t="n"/>
      <c r="C6" s="17" t="n"/>
      <c r="D6" s="17" t="n"/>
      <c r="E6" s="21" t="n"/>
    </row>
    <row r="7">
      <c r="A7" s="17" t="n"/>
      <c r="B7" s="17" t="n"/>
      <c r="C7" s="17" t="n"/>
      <c r="D7" s="17" t="n"/>
      <c r="E7" s="21" t="n"/>
    </row>
    <row r="8">
      <c r="A8" s="17" t="n"/>
      <c r="B8" s="17" t="n"/>
      <c r="C8" s="17" t="n"/>
      <c r="D8" s="17" t="n"/>
      <c r="E8" s="21" t="n"/>
    </row>
    <row r="9">
      <c r="A9" s="17" t="n"/>
      <c r="B9" s="17" t="n"/>
      <c r="C9" s="17" t="n"/>
      <c r="D9" s="17" t="n"/>
      <c r="E9" s="21" t="n"/>
    </row>
    <row r="10">
      <c r="A10" s="17" t="n"/>
      <c r="B10" s="17" t="n"/>
      <c r="C10" s="17" t="n"/>
      <c r="D10" s="17" t="n"/>
      <c r="E10" s="21" t="n"/>
    </row>
    <row r="11">
      <c r="A11" s="17" t="n"/>
      <c r="B11" s="17" t="n"/>
      <c r="C11" s="17" t="n"/>
      <c r="D11" s="17" t="n"/>
      <c r="E11" s="21" t="n"/>
    </row>
    <row r="12">
      <c r="A12" s="17" t="n"/>
      <c r="B12" s="17" t="n"/>
      <c r="C12" s="17" t="n"/>
      <c r="D12" s="17" t="n"/>
      <c r="E12" s="21" t="n"/>
    </row>
    <row r="13">
      <c r="A13" s="17" t="n"/>
      <c r="B13" s="17" t="n"/>
      <c r="C13" s="17" t="n"/>
      <c r="D13" s="17" t="n"/>
      <c r="E13" s="21" t="n"/>
    </row>
    <row r="14">
      <c r="A14" s="17" t="n"/>
      <c r="B14" s="17" t="n"/>
      <c r="C14" s="17" t="n"/>
      <c r="D14" s="17" t="n"/>
      <c r="E14" s="21" t="n"/>
    </row>
    <row r="15">
      <c r="A15" s="17" t="n"/>
      <c r="B15" s="17" t="n"/>
      <c r="C15" s="17" t="n"/>
      <c r="D15" s="17" t="n"/>
      <c r="E15" s="21" t="n"/>
    </row>
    <row r="16">
      <c r="A16" s="17" t="n"/>
      <c r="B16" s="17" t="n"/>
      <c r="C16" s="17" t="n"/>
      <c r="D16" s="17" t="n"/>
      <c r="E16" s="21" t="n"/>
    </row>
    <row r="17">
      <c r="A17" s="17" t="n"/>
      <c r="B17" s="17" t="n"/>
      <c r="C17" s="17" t="n"/>
      <c r="D17" s="17" t="n"/>
      <c r="E17" s="21" t="n"/>
    </row>
    <row r="18">
      <c r="A18" s="17" t="n"/>
      <c r="B18" s="17" t="n"/>
      <c r="C18" s="17" t="n"/>
      <c r="D18" s="17" t="n"/>
      <c r="E18" s="21" t="n"/>
    </row>
    <row r="19">
      <c r="A19" s="17" t="n"/>
      <c r="B19" s="17" t="n"/>
      <c r="C19" s="17" t="n"/>
      <c r="D19" s="17" t="n"/>
      <c r="E19" s="21" t="n"/>
    </row>
    <row r="20">
      <c r="A20" s="17" t="n"/>
      <c r="B20" s="17" t="n"/>
      <c r="C20" s="17" t="n"/>
      <c r="D20" s="17" t="n"/>
      <c r="E20" s="21" t="n"/>
    </row>
    <row r="21">
      <c r="A21" s="17" t="n"/>
      <c r="B21" s="17" t="n"/>
      <c r="C21" s="17" t="n"/>
      <c r="D21" s="17" t="n"/>
      <c r="E21" s="21" t="n"/>
    </row>
    <row r="22">
      <c r="A22" s="17" t="n"/>
      <c r="B22" s="17" t="n"/>
      <c r="C22" s="17" t="n"/>
      <c r="D22" s="17" t="n"/>
      <c r="E22" s="21" t="n"/>
    </row>
    <row r="23">
      <c r="A23" s="17" t="n"/>
      <c r="B23" s="17" t="n"/>
      <c r="C23" s="17" t="n"/>
      <c r="D23" s="17" t="n"/>
      <c r="E23" s="21" t="n"/>
    </row>
    <row r="24">
      <c r="A24" s="17" t="n"/>
      <c r="B24" s="17" t="n"/>
      <c r="C24" s="17" t="n"/>
      <c r="D24" s="17" t="n"/>
      <c r="E24" s="21" t="n"/>
    </row>
    <row r="25">
      <c r="A25" s="17" t="n"/>
      <c r="B25" s="17" t="n"/>
      <c r="C25" s="17" t="n"/>
      <c r="D25" s="17" t="n"/>
      <c r="E25" s="21" t="n"/>
    </row>
    <row r="26">
      <c r="A26" s="17" t="n"/>
      <c r="B26" s="17" t="n"/>
      <c r="C26" s="17" t="n"/>
      <c r="D26" s="17" t="n"/>
      <c r="E26" s="21" t="n"/>
    </row>
    <row r="27">
      <c r="A27" s="17" t="n"/>
      <c r="B27" s="17" t="n"/>
      <c r="C27" s="17" t="n"/>
      <c r="D27" s="17" t="n"/>
      <c r="E27" s="21" t="n"/>
    </row>
    <row r="28">
      <c r="A28" s="17" t="n"/>
      <c r="B28" s="17" t="n"/>
      <c r="C28" s="17" t="n"/>
      <c r="D28" s="17" t="n"/>
      <c r="E28" s="21" t="n"/>
    </row>
    <row r="29">
      <c r="A29" s="17" t="n"/>
      <c r="B29" s="17" t="n"/>
      <c r="C29" s="17" t="n"/>
      <c r="D29" s="17" t="n"/>
      <c r="E29" s="21" t="n"/>
    </row>
    <row r="30">
      <c r="A30" s="17" t="n"/>
      <c r="B30" s="17" t="n"/>
      <c r="C30" s="17" t="n"/>
      <c r="D30" s="17" t="n"/>
      <c r="E30" s="21" t="n"/>
    </row>
    <row r="31">
      <c r="A31" s="17" t="n"/>
      <c r="B31" s="17" t="n"/>
      <c r="C31" s="17" t="n"/>
      <c r="D31" s="17" t="n"/>
      <c r="E31" s="21" t="n"/>
    </row>
    <row r="32">
      <c r="A32" s="17" t="n"/>
      <c r="B32" s="17" t="n"/>
      <c r="C32" s="17" t="n"/>
      <c r="D32" s="17" t="n"/>
      <c r="E32" s="21" t="n"/>
    </row>
    <row r="33">
      <c r="A33" s="17" t="n"/>
      <c r="B33" s="17" t="n"/>
      <c r="C33" s="17" t="n"/>
      <c r="D33" s="17" t="n"/>
      <c r="E33" s="21" t="n"/>
    </row>
    <row r="34">
      <c r="A34" s="17" t="n"/>
      <c r="B34" s="17" t="n"/>
      <c r="C34" s="17" t="n"/>
      <c r="D34" s="17" t="n"/>
      <c r="E34" s="21" t="n"/>
    </row>
  </sheetData>
  <dataValidations count="1">
    <dataValidation sqref="C2:C34" showDropDown="0" showInputMessage="0" showErrorMessage="0" allowBlank="1" type="list">
      <formula1>"协调员,宣传,后勤,技术,其他"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智能协会活动预算与志愿者管理追踪器 - 2026专业版</dc:title>
  <dcterms:created xsi:type="dcterms:W3CDTF">2026-10-31T05:53:36Z</dcterms:created>
  <dcterms:modified xsi:type="dcterms:W3CDTF">2026-10-31T05:53:36Z</dcterms:modified>
</cp:coreProperties>
</file>