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Video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YouTube Video Performance Tracker &amp; Optimierungstool für Creator</t>
        </is>
      </c>
    </row>
    <row r="2">
      <c r="A2" t="inlineStr">
        <is>
          <t>1. Schritt 1: Trage Basisinfos zu jedem Video ein (Titel, Upload-Datum, Länge)</t>
        </is>
      </c>
    </row>
    <row r="3">
      <c r="A3" t="inlineStr">
        <is>
          <t>2. Schritt 2: Ergänze wöchentlich die Performance-Daten (Aufrufe, Impressionen, Likes, Kommentare)</t>
        </is>
      </c>
    </row>
    <row r="4">
      <c r="A4" t="inlineStr">
        <is>
          <t>3. Schritt 3: Analysiere die automatisch berechneten KPIs im Dashboard</t>
        </is>
      </c>
    </row>
    <row r="5">
      <c r="A5" t="inlineStr">
        <is>
          <t>4. Schritt 4: Nutze die Optimierungsvorschläge für zukünftige Videos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2" t="inlineStr">
        <is>
          <t>Video Titel</t>
        </is>
      </c>
      <c r="B1" s="2" t="inlineStr">
        <is>
          <t>Upload Datum</t>
        </is>
      </c>
      <c r="C1" s="2" t="inlineStr">
        <is>
          <t>Dauer (min)</t>
        </is>
      </c>
      <c r="D1" s="2" t="inlineStr">
        <is>
          <t>Aufrufe</t>
        </is>
      </c>
      <c r="E1" s="2" t="inlineStr">
        <is>
          <t>Impressionen</t>
        </is>
      </c>
      <c r="F1" s="2" t="inlineStr">
        <is>
          <t>Likes</t>
        </is>
      </c>
      <c r="G1" s="2" t="inlineStr">
        <is>
          <t>Kommentare</t>
        </is>
      </c>
      <c r="H1" s="2" t="inlineStr">
        <is>
          <t>Watch Time (h)</t>
        </is>
      </c>
      <c r="I1" s="2" t="inlineStr">
        <is>
          <t>CTR%</t>
        </is>
      </c>
      <c r="J1" s="2" t="inlineStr">
        <is>
          <t>Engagement Rate%</t>
        </is>
      </c>
      <c r="K1" s="2" t="inlineStr">
        <is>
          <t>Einnahmen (€)</t>
        </is>
      </c>
    </row>
    <row r="2">
      <c r="A2" t="inlineStr">
        <is>
          <t>Testvideo 1</t>
        </is>
      </c>
      <c r="B2" t="inlineStr">
        <is>
          <t>01.05.2026</t>
        </is>
      </c>
      <c r="C2" t="inlineStr">
        <is>
          <t>8:30</t>
        </is>
      </c>
      <c r="D2" t="n">
        <v>1428</v>
      </c>
      <c r="E2" t="n">
        <v>5210</v>
      </c>
      <c r="F2" t="n">
        <v>57</v>
      </c>
      <c r="G2" t="n">
        <v>12</v>
      </c>
      <c r="H2">
        <f>D2*C2/60</f>
        <v/>
      </c>
      <c r="I2">
        <f>E2/D2</f>
        <v/>
      </c>
      <c r="J2">
        <f>(F2+G2)/D2</f>
        <v/>
      </c>
      <c r="K2" t="n">
        <v>12.34</v>
      </c>
    </row>
    <row r="3">
      <c r="A3" t="inlineStr">
        <is>
          <t>Testvideo 2</t>
        </is>
      </c>
      <c r="B3" t="inlineStr">
        <is>
          <t>08.05.2026</t>
        </is>
      </c>
      <c r="C3" t="inlineStr">
        <is>
          <t>12:15</t>
        </is>
      </c>
      <c r="D3" t="n">
        <v>3257</v>
      </c>
      <c r="E3" t="n">
        <v>12843</v>
      </c>
      <c r="F3" t="n">
        <v>143</v>
      </c>
      <c r="G3" t="n">
        <v>28</v>
      </c>
      <c r="H3">
        <f>D3*C3/60</f>
        <v/>
      </c>
      <c r="I3">
        <f>E3/D3</f>
        <v/>
      </c>
      <c r="J3">
        <f>(F3+G3)/D3</f>
        <v/>
      </c>
      <c r="K3" t="n">
        <v>28.75</v>
      </c>
    </row>
    <row r="4">
      <c r="A4" t="inlineStr">
        <is>
          <t>Q&amp;A Special</t>
        </is>
      </c>
      <c r="B4" t="inlineStr">
        <is>
          <t>15.05.2026</t>
        </is>
      </c>
      <c r="C4" t="inlineStr">
        <is>
          <t>16:42</t>
        </is>
      </c>
      <c r="D4" t="n">
        <v>5842</v>
      </c>
      <c r="E4" t="n">
        <v>19832</v>
      </c>
      <c r="F4" t="n">
        <v>217</v>
      </c>
      <c r="G4" t="n">
        <v>43</v>
      </c>
      <c r="H4">
        <f>D4*C4/60</f>
        <v/>
      </c>
      <c r="I4">
        <f>E4/D4</f>
        <v/>
      </c>
      <c r="J4">
        <f>(F4+G4)/D4</f>
        <v/>
      </c>
      <c r="K4" t="n">
        <v>45.6</v>
      </c>
    </row>
    <row r="5">
      <c r="A5" t="inlineStr">
        <is>
          <t>Tutorial neues Feature</t>
        </is>
      </c>
      <c r="B5" t="inlineStr">
        <is>
          <t>22.05.2026</t>
        </is>
      </c>
      <c r="C5" t="inlineStr">
        <is>
          <t>9:56</t>
        </is>
      </c>
      <c r="D5" t="n">
        <v>2871</v>
      </c>
      <c r="E5" t="n">
        <v>8721</v>
      </c>
      <c r="F5" t="n">
        <v>95</v>
      </c>
      <c r="G5" t="n">
        <v>19</v>
      </c>
      <c r="H5">
        <f>D5*C5/60</f>
        <v/>
      </c>
      <c r="I5">
        <f>E5/D5</f>
        <v/>
      </c>
      <c r="J5">
        <f>(F5+G5)/D5</f>
        <v/>
      </c>
      <c r="K5" t="n">
        <v>19.85</v>
      </c>
    </row>
    <row r="6">
      <c r="A6" t="inlineStr">
        <is>
          <t>Live Stream Aufzeichnung</t>
        </is>
      </c>
      <c r="B6" t="inlineStr">
        <is>
          <t>29.05.2026</t>
        </is>
      </c>
      <c r="C6" t="inlineStr">
        <is>
          <t>42:18</t>
        </is>
      </c>
      <c r="D6" t="n">
        <v>1243</v>
      </c>
      <c r="E6" t="n">
        <v>3602</v>
      </c>
      <c r="F6" t="n">
        <v>78</v>
      </c>
      <c r="G6" t="n">
        <v>5</v>
      </c>
      <c r="H6">
        <f>D6*C6/60</f>
        <v/>
      </c>
      <c r="I6">
        <f>E6/D6</f>
        <v/>
      </c>
      <c r="J6">
        <f>(F6+G6)/D6</f>
        <v/>
      </c>
      <c r="K6" t="n">
        <v>8.199999999999999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Gesamt</t>
        </is>
      </c>
      <c r="B37" s="3" t="inlineStr"/>
      <c r="C37" s="3">
        <f>SUM(C2:C40)</f>
        <v/>
      </c>
      <c r="D37" s="3">
        <f>SUM(D2:D40)</f>
        <v/>
      </c>
      <c r="E37" s="3">
        <f>SUM(E2:E40)</f>
        <v/>
      </c>
      <c r="F37" s="3">
        <f>SUM(F2:F40)</f>
        <v/>
      </c>
      <c r="G37" s="3">
        <f>SUM(G2:G40)</f>
        <v/>
      </c>
      <c r="H37" s="3">
        <f>SUM(H2:H40)</f>
        <v/>
      </c>
      <c r="I37" s="3" t="inlineStr"/>
      <c r="J37" s="3" t="inlineStr"/>
      <c r="K37" s="3">
        <f>SUM(K2:K40)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2026-09-27T06:21:39Z</dcterms:created>
  <dcterms:modified xsi:type="dcterms:W3CDTF">2026-09-27T06:21:39Z</dcterms:modified>
</cp:coreProperties>
</file>