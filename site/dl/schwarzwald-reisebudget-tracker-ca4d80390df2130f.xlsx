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Hauptkosten" sheetId="3" state="visible" r:id="rId3"/>
    <sheet name="Top-Sehenswürdigkeiten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'Budget'!$A$2:$A$6</f>
            </numRef>
          </cat>
          <val>
            <numRef>
              <f>'Budget'!$C$2:$C$6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Hauptkosten_2120" displayName="T_Hauptkosten_2120" ref="A1:F59" headerRowCount="1">
  <autoFilter ref="A1:F59"/>
  <tableColumns count="6">
    <tableColumn id="1" name="Datum"/>
    <tableColumn id="2" name="Kategorie"/>
    <tableColumn id="3" name="Beschreibung"/>
    <tableColumn id="4" name="Betrag"/>
    <tableColumn id="5" name="Währung"/>
    <tableColumn id="6" name="EUR Summe"/>
  </tableColumns>
  <tableStyleInfo name="TableStyleMedium7" showRowStripes="1"/>
</table>
</file>

<file path=xl/tables/table2.xml><?xml version="1.0" encoding="utf-8"?>
<table xmlns="http://schemas.openxmlformats.org/spreadsheetml/2006/main" id="2" name="T_Top_Sehensw_rdigkeiten_3918" displayName="T_Top_Sehensw_rdigkeiten_3918" ref="A1:E22" headerRowCount="1">
  <autoFilter ref="A1:E22"/>
  <tableColumns count="5">
    <tableColumn id="1" name="Ort"/>
    <tableColumn id="2" name="Priorität"/>
    <tableColumn id="3" name="Kosten p.P."/>
    <tableColumn id="4" name="Entfernung km"/>
    <tableColumn id="5" name="Besucht"/>
  </tableColumns>
  <tableStyleInfo name="TableStyleMedium7" showRowStripes="1"/>
</table>
</file>

<file path=xl/tables/table3.xml><?xml version="1.0" encoding="utf-8"?>
<table xmlns="http://schemas.openxmlformats.org/spreadsheetml/2006/main" id="3" name="T_Budget_4619" displayName="T_Budget_4619" ref="A1:D11" headerRowCount="1">
  <autoFilter ref="A1:D11"/>
  <tableColumns count="4">
    <tableColumn id="1" name="Kategorie"/>
    <tableColumn id="2" name="Geplant"/>
    <tableColumn id="3" name="Aktuell"/>
    <tableColumn id="4" name="Differenz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Hauptkosten'!A1" TargetMode="External" Id="rId2" /><Relationship Type="http://schemas.openxmlformats.org/officeDocument/2006/relationships/hyperlink" Target="#'Top-Sehensw&#252;rdigkeiten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Schwarzwald Reisebudget- &amp; Aktivitäten-Tracker für internationale Gäste</t>
        </is>
      </c>
    </row>
    <row r="3" ht="45" customHeight="1">
      <c r="C3" s="2" t="inlineStr">
        <is>
          <t>Perfekte Planung Ihrer Schwarzwald-Reise mit automatischer Budgetberechnung und Aktivitäten-Übersicht. Behalten Sie alle Ausgaben im Blick und entdecken Sie die schönsten Orte.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Grunddaten eingeben (Reisedauer, Personen, Budget)</t>
        </is>
      </c>
    </row>
    <row r="7" ht="18" customHeight="1">
      <c r="B7" s="4" t="inlineStr">
        <is>
          <t>2.</t>
        </is>
      </c>
      <c r="C7" s="5" t="inlineStr">
        <is>
          <t>Unterkünfte und Transportmittel eintragen</t>
        </is>
      </c>
    </row>
    <row r="8" ht="18" customHeight="1">
      <c r="B8" s="4" t="inlineStr">
        <is>
          <t>3.</t>
        </is>
      </c>
      <c r="C8" s="5" t="inlineStr">
        <is>
          <t>Tägliche Aktivitäten und Ausgaben planen</t>
        </is>
      </c>
    </row>
    <row r="9" ht="18" customHeight="1">
      <c r="B9" s="4" t="inlineStr">
        <is>
          <t>4.</t>
        </is>
      </c>
      <c r="C9" s="5" t="inlineStr">
        <is>
          <t>Spezialitäten und Souvenirs erfassen</t>
        </is>
      </c>
    </row>
    <row r="10" ht="18" customHeight="1">
      <c r="B10" s="4" t="inlineStr">
        <is>
          <t>5.</t>
        </is>
      </c>
      <c r="C10" s="5" t="inlineStr">
        <is>
          <t>Budget im Blick behalten mit automatischen Warnungen</t>
        </is>
      </c>
    </row>
    <row r="11" ht="18" customHeight="1">
      <c r="B11" s="4" t="inlineStr">
        <is>
          <t>6.</t>
        </is>
      </c>
      <c r="C11" s="5" t="inlineStr">
        <is>
          <t>Auswertungen nutzen für zukünftige Reisen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Hauptkosten</t>
        </is>
      </c>
    </row>
    <row r="18">
      <c r="C18" s="7" t="inlineStr">
        <is>
          <t>→ Top-Sehenswürdigkeiten</t>
        </is>
      </c>
    </row>
    <row r="19">
      <c r="C19" s="7" t="inlineStr">
        <is>
          <t>→ Budget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Übersicht – Ultimate Schwarzwald Reisebudget- &amp; Aktivitäten-Tracker für 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SUM('Hauptkosten'!F2:F300)</f>
        <v/>
      </c>
    </row>
    <row r="6" ht="24" customHeight="1">
      <c r="B6" s="11" t="inlineStr">
        <is>
          <t>Tägliche Durchschnittskosten</t>
        </is>
      </c>
      <c r="C6" s="12">
        <f>SUM('Hauptkosten'!F2:F300)/MAX(1,MAX('Hauptkosten'!A2:A300)-MIN('Hauptkosten'!A2:A300))</f>
        <v/>
      </c>
    </row>
    <row r="7" ht="24" customHeight="1">
      <c r="B7" s="11" t="inlineStr">
        <is>
          <t>Besuchte Sehenswürdigkeiten</t>
        </is>
      </c>
      <c r="C7" s="13">
        <f>COUNTIF('Top-Sehenswürdigkeiten'!E2:E300,"Ja")</f>
        <v/>
      </c>
    </row>
    <row r="8" ht="24" customHeight="1">
      <c r="B8" s="11" t="inlineStr">
        <is>
          <t>Budget ausgeschöpft</t>
        </is>
      </c>
      <c r="C8" s="12">
        <f>SUM('Budget'!B2:B300)-SUM('Budget'!C2:C300)</f>
        <v/>
      </c>
    </row>
    <row r="9" ht="24" customHeight="1">
      <c r="B9" s="11" t="inlineStr">
        <is>
          <t>Währungen verwendet</t>
        </is>
      </c>
      <c r="C9" s="13">
        <f>COUNTA(UNIQUE('Hauptkosten'!E2:E300))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Währung</t>
        </is>
      </c>
      <c r="F1" s="14" t="inlineStr">
        <is>
          <t>EUR Summe</t>
        </is>
      </c>
    </row>
    <row r="2">
      <c r="A2" s="15" t="n">
        <v>46154</v>
      </c>
      <c r="B2" s="16" t="inlineStr">
        <is>
          <t>Unterkunft</t>
        </is>
      </c>
      <c r="C2" s="16" t="inlineStr">
        <is>
          <t>Hotel Titisee 3 Nächte</t>
        </is>
      </c>
      <c r="D2" s="17" t="n">
        <v>390</v>
      </c>
      <c r="E2" s="16" t="inlineStr">
        <is>
          <t>EUR</t>
        </is>
      </c>
      <c r="F2" s="18">
        <f>IF(E2="EUR",D2,IF(E2="USD",D2*0.895,IF(E2="CHF",D2*1.02,0)))</f>
        <v/>
      </c>
    </row>
    <row r="3">
      <c r="A3" s="15" t="n">
        <v>46154</v>
      </c>
      <c r="B3" s="16" t="inlineStr">
        <is>
          <t>Transport</t>
        </is>
      </c>
      <c r="C3" s="16" t="inlineStr">
        <is>
          <t>Mietwagen</t>
        </is>
      </c>
      <c r="D3" s="17" t="n">
        <v>220</v>
      </c>
      <c r="E3" s="16" t="inlineStr">
        <is>
          <t>EUR</t>
        </is>
      </c>
      <c r="F3" s="18">
        <f>IF(E3="EUR",D3,IF(E3="USD",D3*0.895,IF(E3="CHF",D3*1.02,0)))</f>
        <v/>
      </c>
    </row>
    <row r="4">
      <c r="A4" s="15" t="n">
        <v>46155</v>
      </c>
      <c r="B4" s="16" t="inlineStr">
        <is>
          <t>Aktivität</t>
        </is>
      </c>
      <c r="C4" s="16" t="inlineStr">
        <is>
          <t>Titisee Bootsfahrt</t>
        </is>
      </c>
      <c r="D4" s="17" t="n">
        <v>35</v>
      </c>
      <c r="E4" s="16" t="inlineStr">
        <is>
          <t>CHF</t>
        </is>
      </c>
      <c r="F4" s="18">
        <f>IF(E4="EUR",D4,IF(E4="USD",D4*0.895,IF(E4="CHF",D4*1.02,0)))</f>
        <v/>
      </c>
    </row>
    <row r="5">
      <c r="A5" s="15" t="n">
        <v>46156</v>
      </c>
      <c r="B5" s="16" t="inlineStr">
        <is>
          <t>Essen</t>
        </is>
      </c>
      <c r="C5" s="16" t="inlineStr">
        <is>
          <t>Schwarzwaldstube</t>
        </is>
      </c>
      <c r="D5" s="17" t="n">
        <v>85</v>
      </c>
      <c r="E5" s="16" t="inlineStr">
        <is>
          <t>EUR</t>
        </is>
      </c>
      <c r="F5" s="18">
        <f>IF(E5="EUR",D5,IF(E5="USD",D5*0.895,IF(E5="CHF",D5*1.02,0)))</f>
        <v/>
      </c>
    </row>
    <row r="6">
      <c r="A6" s="15" t="n">
        <v>46157</v>
      </c>
      <c r="B6" s="16" t="inlineStr">
        <is>
          <t>Eintritt</t>
        </is>
      </c>
      <c r="C6" s="16" t="inlineStr">
        <is>
          <t>Triberger Wasserfälle</t>
        </is>
      </c>
      <c r="D6" s="17" t="n">
        <v>7.5</v>
      </c>
      <c r="E6" s="16" t="inlineStr">
        <is>
          <t>EUR</t>
        </is>
      </c>
      <c r="F6" s="18">
        <f>IF(E6="EUR",D6,IF(E6="USD",D6*0.895,IF(E6="CHF",D6*1.02,0)))</f>
        <v/>
      </c>
    </row>
    <row r="7">
      <c r="A7" s="15" t="n">
        <v>46157</v>
      </c>
      <c r="B7" s="16" t="inlineStr">
        <is>
          <t>Souvenir</t>
        </is>
      </c>
      <c r="C7" s="16" t="inlineStr">
        <is>
          <t>Kuckucksuhr</t>
        </is>
      </c>
      <c r="D7" s="17" t="n">
        <v>120</v>
      </c>
      <c r="E7" s="16" t="inlineStr">
        <is>
          <t>USD</t>
        </is>
      </c>
      <c r="F7" s="18">
        <f>IF(E7="EUR",D7,IF(E7="USD",D7*0.895,IF(E7="CHF",D7*1.02,0)))</f>
        <v/>
      </c>
    </row>
    <row r="8">
      <c r="A8" s="15" t="n">
        <v>46158</v>
      </c>
      <c r="B8" s="16" t="inlineStr">
        <is>
          <t>Transport</t>
        </is>
      </c>
      <c r="C8" s="16" t="inlineStr">
        <is>
          <t>Schwarzwaldbahn</t>
        </is>
      </c>
      <c r="D8" s="17" t="n">
        <v>28</v>
      </c>
      <c r="E8" s="16" t="inlineStr">
        <is>
          <t>EUR</t>
        </is>
      </c>
      <c r="F8" s="18">
        <f>IF(E8="EUR",D8,IF(E8="USD",D8*0.895,IF(E8="CHF",D8*1.02,0)))</f>
        <v/>
      </c>
    </row>
    <row r="9">
      <c r="A9" s="15" t="n">
        <v>46159</v>
      </c>
      <c r="B9" s="16" t="inlineStr">
        <is>
          <t>Aktivität</t>
        </is>
      </c>
      <c r="C9" s="16" t="inlineStr">
        <is>
          <t>Feldberg Wanderung</t>
        </is>
      </c>
      <c r="D9" s="17" t="n">
        <v>0</v>
      </c>
      <c r="E9" s="16" t="inlineStr">
        <is>
          <t>EUR</t>
        </is>
      </c>
      <c r="F9" s="18">
        <f>IF(E9="EUR",D9,IF(E9="USD",D9*0.895,IF(E9="CHF",D9*1.02,0)))</f>
        <v/>
      </c>
    </row>
    <row r="10">
      <c r="A10" s="15" t="n"/>
      <c r="B10" s="16" t="n"/>
      <c r="C10" s="16" t="n"/>
      <c r="D10" s="17" t="n"/>
      <c r="E10" s="16" t="n"/>
      <c r="F10" s="18">
        <f>IF(A10="","",IF(E10="EUR",D10,IF(E10="USD",D10*0.895,IF(E10="CHF",D10*1.02,0))))</f>
        <v/>
      </c>
    </row>
    <row r="11">
      <c r="A11" s="15" t="n"/>
      <c r="B11" s="16" t="n"/>
      <c r="C11" s="16" t="n"/>
      <c r="D11" s="17" t="n"/>
      <c r="E11" s="16" t="n"/>
      <c r="F11" s="18">
        <f>IF(A11="","",IF(E11="EUR",D11,IF(E11="USD",D11*0.895,IF(E11="CHF",D11*1.02,0))))</f>
        <v/>
      </c>
    </row>
    <row r="12">
      <c r="A12" s="15" t="n"/>
      <c r="B12" s="16" t="n"/>
      <c r="C12" s="16" t="n"/>
      <c r="D12" s="17" t="n"/>
      <c r="E12" s="16" t="n"/>
      <c r="F12" s="18">
        <f>IF(A12="","",IF(E12="EUR",D12,IF(E12="USD",D12*0.895,IF(E12="CHF",D12*1.02,0))))</f>
        <v/>
      </c>
    </row>
    <row r="13">
      <c r="A13" s="15" t="n"/>
      <c r="B13" s="16" t="n"/>
      <c r="C13" s="16" t="n"/>
      <c r="D13" s="17" t="n"/>
      <c r="E13" s="16" t="n"/>
      <c r="F13" s="18">
        <f>IF(A13="","",IF(E13="EUR",D13,IF(E13="USD",D13*0.895,IF(E13="CHF",D13*1.02,0))))</f>
        <v/>
      </c>
    </row>
    <row r="14">
      <c r="A14" s="15" t="n"/>
      <c r="B14" s="16" t="n"/>
      <c r="C14" s="16" t="n"/>
      <c r="D14" s="17" t="n"/>
      <c r="E14" s="16" t="n"/>
      <c r="F14" s="18">
        <f>IF(A14="","",IF(E14="EUR",D14,IF(E14="USD",D14*0.895,IF(E14="CHF",D14*1.02,0))))</f>
        <v/>
      </c>
    </row>
    <row r="15">
      <c r="A15" s="15" t="n"/>
      <c r="B15" s="16" t="n"/>
      <c r="C15" s="16" t="n"/>
      <c r="D15" s="17" t="n"/>
      <c r="E15" s="16" t="n"/>
      <c r="F15" s="18">
        <f>IF(A15="","",IF(E15="EUR",D15,IF(E15="USD",D15*0.895,IF(E15="CHF",D15*1.02,0))))</f>
        <v/>
      </c>
    </row>
    <row r="16">
      <c r="A16" s="15" t="n"/>
      <c r="B16" s="16" t="n"/>
      <c r="C16" s="16" t="n"/>
      <c r="D16" s="17" t="n"/>
      <c r="E16" s="16" t="n"/>
      <c r="F16" s="18">
        <f>IF(A16="","",IF(E16="EUR",D16,IF(E16="USD",D16*0.895,IF(E16="CHF",D16*1.02,0))))</f>
        <v/>
      </c>
    </row>
    <row r="17">
      <c r="A17" s="15" t="n"/>
      <c r="B17" s="16" t="n"/>
      <c r="C17" s="16" t="n"/>
      <c r="D17" s="17" t="n"/>
      <c r="E17" s="16" t="n"/>
      <c r="F17" s="18">
        <f>IF(A17="","",IF(E17="EUR",D17,IF(E17="USD",D17*0.895,IF(E17="CHF",D17*1.02,0))))</f>
        <v/>
      </c>
    </row>
    <row r="18">
      <c r="A18" s="15" t="n"/>
      <c r="B18" s="16" t="n"/>
      <c r="C18" s="16" t="n"/>
      <c r="D18" s="17" t="n"/>
      <c r="E18" s="16" t="n"/>
      <c r="F18" s="18">
        <f>IF(A18="","",IF(E18="EUR",D18,IF(E18="USD",D18*0.895,IF(E18="CHF",D18*1.02,0))))</f>
        <v/>
      </c>
    </row>
    <row r="19">
      <c r="A19" s="15" t="n"/>
      <c r="B19" s="16" t="n"/>
      <c r="C19" s="16" t="n"/>
      <c r="D19" s="17" t="n"/>
      <c r="E19" s="16" t="n"/>
      <c r="F19" s="18">
        <f>IF(A19="","",IF(E19="EUR",D19,IF(E19="USD",D19*0.895,IF(E19="CHF",D19*1.02,0))))</f>
        <v/>
      </c>
    </row>
    <row r="20">
      <c r="A20" s="15" t="n"/>
      <c r="B20" s="16" t="n"/>
      <c r="C20" s="16" t="n"/>
      <c r="D20" s="17" t="n"/>
      <c r="E20" s="16" t="n"/>
      <c r="F20" s="18">
        <f>IF(A20="","",IF(E20="EUR",D20,IF(E20="USD",D20*0.895,IF(E20="CHF",D20*1.02,0))))</f>
        <v/>
      </c>
    </row>
    <row r="21">
      <c r="A21" s="15" t="n"/>
      <c r="B21" s="16" t="n"/>
      <c r="C21" s="16" t="n"/>
      <c r="D21" s="17" t="n"/>
      <c r="E21" s="16" t="n"/>
      <c r="F21" s="18">
        <f>IF(A21="","",IF(E21="EUR",D21,IF(E21="USD",D21*0.895,IF(E21="CHF",D21*1.02,0))))</f>
        <v/>
      </c>
    </row>
    <row r="22">
      <c r="A22" s="15" t="n"/>
      <c r="B22" s="16" t="n"/>
      <c r="C22" s="16" t="n"/>
      <c r="D22" s="17" t="n"/>
      <c r="E22" s="16" t="n"/>
      <c r="F22" s="18">
        <f>IF(A22="","",IF(E22="EUR",D22,IF(E22="USD",D22*0.895,IF(E22="CHF",D22*1.02,0))))</f>
        <v/>
      </c>
    </row>
    <row r="23">
      <c r="A23" s="15" t="n"/>
      <c r="B23" s="16" t="n"/>
      <c r="C23" s="16" t="n"/>
      <c r="D23" s="17" t="n"/>
      <c r="E23" s="16" t="n"/>
      <c r="F23" s="18">
        <f>IF(A23="","",IF(E23="EUR",D23,IF(E23="USD",D23*0.895,IF(E23="CHF",D23*1.02,0))))</f>
        <v/>
      </c>
    </row>
    <row r="24">
      <c r="A24" s="15" t="n"/>
      <c r="B24" s="16" t="n"/>
      <c r="C24" s="16" t="n"/>
      <c r="D24" s="17" t="n"/>
      <c r="E24" s="16" t="n"/>
      <c r="F24" s="18">
        <f>IF(A24="","",IF(E24="EUR",D24,IF(E24="USD",D24*0.895,IF(E24="CHF",D24*1.02,0))))</f>
        <v/>
      </c>
    </row>
    <row r="25">
      <c r="A25" s="15" t="n"/>
      <c r="B25" s="16" t="n"/>
      <c r="C25" s="16" t="n"/>
      <c r="D25" s="17" t="n"/>
      <c r="E25" s="16" t="n"/>
      <c r="F25" s="18">
        <f>IF(A25="","",IF(E25="EUR",D25,IF(E25="USD",D25*0.895,IF(E25="CHF",D25*1.02,0))))</f>
        <v/>
      </c>
    </row>
    <row r="26">
      <c r="A26" s="15" t="n"/>
      <c r="B26" s="16" t="n"/>
      <c r="C26" s="16" t="n"/>
      <c r="D26" s="17" t="n"/>
      <c r="E26" s="16" t="n"/>
      <c r="F26" s="18">
        <f>IF(A26="","",IF(E26="EUR",D26,IF(E26="USD",D26*0.895,IF(E26="CHF",D26*1.02,0))))</f>
        <v/>
      </c>
    </row>
    <row r="27">
      <c r="A27" s="15" t="n"/>
      <c r="B27" s="16" t="n"/>
      <c r="C27" s="16" t="n"/>
      <c r="D27" s="17" t="n"/>
      <c r="E27" s="16" t="n"/>
      <c r="F27" s="18">
        <f>IF(A27="","",IF(E27="EUR",D27,IF(E27="USD",D27*0.895,IF(E27="CHF",D27*1.02,0))))</f>
        <v/>
      </c>
    </row>
    <row r="28">
      <c r="A28" s="15" t="n"/>
      <c r="B28" s="16" t="n"/>
      <c r="C28" s="16" t="n"/>
      <c r="D28" s="17" t="n"/>
      <c r="E28" s="16" t="n"/>
      <c r="F28" s="18">
        <f>IF(A28="","",IF(E28="EUR",D28,IF(E28="USD",D28*0.895,IF(E28="CHF",D28*1.02,0))))</f>
        <v/>
      </c>
    </row>
    <row r="29">
      <c r="A29" s="15" t="n"/>
      <c r="B29" s="16" t="n"/>
      <c r="C29" s="16" t="n"/>
      <c r="D29" s="17" t="n"/>
      <c r="E29" s="16" t="n"/>
      <c r="F29" s="18">
        <f>IF(A29="","",IF(E29="EUR",D29,IF(E29="USD",D29*0.895,IF(E29="CHF",D29*1.02,0))))</f>
        <v/>
      </c>
    </row>
    <row r="30">
      <c r="A30" s="15" t="n"/>
      <c r="B30" s="16" t="n"/>
      <c r="C30" s="16" t="n"/>
      <c r="D30" s="17" t="n"/>
      <c r="E30" s="16" t="n"/>
      <c r="F30" s="18">
        <f>IF(A30="","",IF(E30="EUR",D30,IF(E30="USD",D30*0.895,IF(E30="CHF",D30*1.02,0))))</f>
        <v/>
      </c>
    </row>
    <row r="31">
      <c r="A31" s="15" t="n"/>
      <c r="B31" s="16" t="n"/>
      <c r="C31" s="16" t="n"/>
      <c r="D31" s="17" t="n"/>
      <c r="E31" s="16" t="n"/>
      <c r="F31" s="18">
        <f>IF(A31="","",IF(E31="EUR",D31,IF(E31="USD",D31*0.895,IF(E31="CHF",D31*1.02,0))))</f>
        <v/>
      </c>
    </row>
    <row r="32">
      <c r="A32" s="15" t="n"/>
      <c r="B32" s="16" t="n"/>
      <c r="C32" s="16" t="n"/>
      <c r="D32" s="17" t="n"/>
      <c r="E32" s="16" t="n"/>
      <c r="F32" s="18">
        <f>IF(A32="","",IF(E32="EUR",D32,IF(E32="USD",D32*0.895,IF(E32="CHF",D32*1.02,0))))</f>
        <v/>
      </c>
    </row>
    <row r="33">
      <c r="A33" s="15" t="n"/>
      <c r="B33" s="16" t="n"/>
      <c r="C33" s="16" t="n"/>
      <c r="D33" s="17" t="n"/>
      <c r="E33" s="16" t="n"/>
      <c r="F33" s="18">
        <f>IF(A33="","",IF(E33="EUR",D33,IF(E33="USD",D33*0.895,IF(E33="CHF",D33*1.02,0))))</f>
        <v/>
      </c>
    </row>
    <row r="34">
      <c r="A34" s="15" t="n"/>
      <c r="B34" s="16" t="n"/>
      <c r="C34" s="16" t="n"/>
      <c r="D34" s="17" t="n"/>
      <c r="E34" s="16" t="n"/>
      <c r="F34" s="18">
        <f>IF(A34="","",IF(E34="EUR",D34,IF(E34="USD",D34*0.895,IF(E34="CHF",D34*1.02,0))))</f>
        <v/>
      </c>
    </row>
    <row r="35">
      <c r="A35" s="15" t="n"/>
      <c r="B35" s="16" t="n"/>
      <c r="C35" s="16" t="n"/>
      <c r="D35" s="17" t="n"/>
      <c r="E35" s="16" t="n"/>
      <c r="F35" s="18">
        <f>IF(A35="","",IF(E35="EUR",D35,IF(E35="USD",D35*0.895,IF(E35="CHF",D35*1.02,0))))</f>
        <v/>
      </c>
    </row>
    <row r="36">
      <c r="A36" s="15" t="n"/>
      <c r="B36" s="16" t="n"/>
      <c r="C36" s="16" t="n"/>
      <c r="D36" s="17" t="n"/>
      <c r="E36" s="16" t="n"/>
      <c r="F36" s="18">
        <f>IF(A36="","",IF(E36="EUR",D36,IF(E36="USD",D36*0.895,IF(E36="CHF",D36*1.02,0))))</f>
        <v/>
      </c>
    </row>
    <row r="37">
      <c r="A37" s="15" t="n"/>
      <c r="B37" s="16" t="n"/>
      <c r="C37" s="16" t="n"/>
      <c r="D37" s="17" t="n"/>
      <c r="E37" s="16" t="n"/>
      <c r="F37" s="18">
        <f>IF(A37="","",IF(E37="EUR",D37,IF(E37="USD",D37*0.895,IF(E37="CHF",D37*1.02,0))))</f>
        <v/>
      </c>
    </row>
    <row r="38">
      <c r="A38" s="15" t="n"/>
      <c r="B38" s="16" t="n"/>
      <c r="C38" s="16" t="n"/>
      <c r="D38" s="17" t="n"/>
      <c r="E38" s="16" t="n"/>
      <c r="F38" s="18">
        <f>IF(A38="","",IF(E38="EUR",D38,IF(E38="USD",D38*0.895,IF(E38="CHF",D38*1.02,0))))</f>
        <v/>
      </c>
    </row>
    <row r="39">
      <c r="A39" s="15" t="n"/>
      <c r="B39" s="16" t="n"/>
      <c r="C39" s="16" t="n"/>
      <c r="D39" s="17" t="n"/>
      <c r="E39" s="16" t="n"/>
      <c r="F39" s="18">
        <f>IF(A39="","",IF(E39="EUR",D39,IF(E39="USD",D39*0.895,IF(E39="CHF",D39*1.02,0))))</f>
        <v/>
      </c>
    </row>
    <row r="40">
      <c r="A40" s="15" t="n"/>
      <c r="B40" s="16" t="n"/>
      <c r="C40" s="16" t="n"/>
      <c r="D40" s="17" t="n"/>
      <c r="E40" s="16" t="n"/>
      <c r="F40" s="18">
        <f>IF(A40="","",IF(E40="EUR",D40,IF(E40="USD",D40*0.895,IF(E40="CHF",D40*1.02,0))))</f>
        <v/>
      </c>
    </row>
    <row r="41">
      <c r="A41" s="15" t="n"/>
      <c r="B41" s="16" t="n"/>
      <c r="C41" s="16" t="n"/>
      <c r="D41" s="17" t="n"/>
      <c r="E41" s="16" t="n"/>
      <c r="F41" s="18">
        <f>IF(A41="","",IF(E41="EUR",D41,IF(E41="USD",D41*0.895,IF(E41="CHF",D41*1.02,0))))</f>
        <v/>
      </c>
    </row>
    <row r="42">
      <c r="A42" s="15" t="n"/>
      <c r="B42" s="16" t="n"/>
      <c r="C42" s="16" t="n"/>
      <c r="D42" s="17" t="n"/>
      <c r="E42" s="16" t="n"/>
      <c r="F42" s="18">
        <f>IF(A42="","",IF(E42="EUR",D42,IF(E42="USD",D42*0.895,IF(E42="CHF",D42*1.02,0))))</f>
        <v/>
      </c>
    </row>
    <row r="43">
      <c r="A43" s="15" t="n"/>
      <c r="B43" s="16" t="n"/>
      <c r="C43" s="16" t="n"/>
      <c r="D43" s="17" t="n"/>
      <c r="E43" s="16" t="n"/>
      <c r="F43" s="18">
        <f>IF(A43="","",IF(E43="EUR",D43,IF(E43="USD",D43*0.895,IF(E43="CHF",D43*1.02,0))))</f>
        <v/>
      </c>
    </row>
    <row r="44">
      <c r="A44" s="15" t="n"/>
      <c r="B44" s="16" t="n"/>
      <c r="C44" s="16" t="n"/>
      <c r="D44" s="17" t="n"/>
      <c r="E44" s="16" t="n"/>
      <c r="F44" s="18">
        <f>IF(A44="","",IF(E44="EUR",D44,IF(E44="USD",D44*0.895,IF(E44="CHF",D44*1.02,0))))</f>
        <v/>
      </c>
    </row>
    <row r="45">
      <c r="A45" s="15" t="n"/>
      <c r="B45" s="16" t="n"/>
      <c r="C45" s="16" t="n"/>
      <c r="D45" s="17" t="n"/>
      <c r="E45" s="16" t="n"/>
      <c r="F45" s="18">
        <f>IF(A45="","",IF(E45="EUR",D45,IF(E45="USD",D45*0.895,IF(E45="CHF",D45*1.02,0))))</f>
        <v/>
      </c>
    </row>
    <row r="46">
      <c r="A46" s="15" t="n"/>
      <c r="B46" s="16" t="n"/>
      <c r="C46" s="16" t="n"/>
      <c r="D46" s="17" t="n"/>
      <c r="E46" s="16" t="n"/>
      <c r="F46" s="18">
        <f>IF(A46="","",IF(E46="EUR",D46,IF(E46="USD",D46*0.895,IF(E46="CHF",D46*1.02,0))))</f>
        <v/>
      </c>
    </row>
    <row r="47">
      <c r="A47" s="15" t="n"/>
      <c r="B47" s="16" t="n"/>
      <c r="C47" s="16" t="n"/>
      <c r="D47" s="17" t="n"/>
      <c r="E47" s="16" t="n"/>
      <c r="F47" s="18">
        <f>IF(A47="","",IF(E47="EUR",D47,IF(E47="USD",D47*0.895,IF(E47="CHF",D47*1.02,0))))</f>
        <v/>
      </c>
    </row>
    <row r="48">
      <c r="A48" s="15" t="n"/>
      <c r="B48" s="16" t="n"/>
      <c r="C48" s="16" t="n"/>
      <c r="D48" s="17" t="n"/>
      <c r="E48" s="16" t="n"/>
      <c r="F48" s="18">
        <f>IF(A48="","",IF(E48="EUR",D48,IF(E48="USD",D48*0.895,IF(E48="CHF",D48*1.02,0))))</f>
        <v/>
      </c>
    </row>
    <row r="49">
      <c r="A49" s="15" t="n"/>
      <c r="B49" s="16" t="n"/>
      <c r="C49" s="16" t="n"/>
      <c r="D49" s="17" t="n"/>
      <c r="E49" s="16" t="n"/>
      <c r="F49" s="18">
        <f>IF(A49="","",IF(E49="EUR",D49,IF(E49="USD",D49*0.895,IF(E49="CHF",D49*1.02,0))))</f>
        <v/>
      </c>
    </row>
    <row r="50">
      <c r="A50" s="15" t="n"/>
      <c r="B50" s="16" t="n"/>
      <c r="C50" s="16" t="n"/>
      <c r="D50" s="17" t="n"/>
      <c r="E50" s="16" t="n"/>
      <c r="F50" s="18">
        <f>IF(A50="","",IF(E50="EUR",D50,IF(E50="USD",D50*0.895,IF(E50="CHF",D50*1.02,0))))</f>
        <v/>
      </c>
    </row>
    <row r="51">
      <c r="A51" s="15" t="n"/>
      <c r="B51" s="16" t="n"/>
      <c r="C51" s="16" t="n"/>
      <c r="D51" s="17" t="n"/>
      <c r="E51" s="16" t="n"/>
      <c r="F51" s="18">
        <f>IF(A51="","",IF(E51="EUR",D51,IF(E51="USD",D51*0.895,IF(E51="CHF",D51*1.02,0))))</f>
        <v/>
      </c>
    </row>
    <row r="52">
      <c r="A52" s="15" t="n"/>
      <c r="B52" s="16" t="n"/>
      <c r="C52" s="16" t="n"/>
      <c r="D52" s="17" t="n"/>
      <c r="E52" s="16" t="n"/>
      <c r="F52" s="18">
        <f>IF(A52="","",IF(E52="EUR",D52,IF(E52="USD",D52*0.895,IF(E52="CHF",D52*1.02,0))))</f>
        <v/>
      </c>
    </row>
    <row r="53">
      <c r="A53" s="15" t="n"/>
      <c r="B53" s="16" t="n"/>
      <c r="C53" s="16" t="n"/>
      <c r="D53" s="17" t="n"/>
      <c r="E53" s="16" t="n"/>
      <c r="F53" s="18">
        <f>IF(A53="","",IF(E53="EUR",D53,IF(E53="USD",D53*0.895,IF(E53="CHF",D53*1.02,0))))</f>
        <v/>
      </c>
    </row>
    <row r="54">
      <c r="A54" s="15" t="n"/>
      <c r="B54" s="16" t="n"/>
      <c r="C54" s="16" t="n"/>
      <c r="D54" s="17" t="n"/>
      <c r="E54" s="16" t="n"/>
      <c r="F54" s="18">
        <f>IF(A54="","",IF(E54="EUR",D54,IF(E54="USD",D54*0.895,IF(E54="CHF",D54*1.02,0))))</f>
        <v/>
      </c>
    </row>
    <row r="55">
      <c r="A55" s="15" t="n"/>
      <c r="B55" s="16" t="n"/>
      <c r="C55" s="16" t="n"/>
      <c r="D55" s="17" t="n"/>
      <c r="E55" s="16" t="n"/>
      <c r="F55" s="18">
        <f>IF(A55="","",IF(E55="EUR",D55,IF(E55="USD",D55*0.895,IF(E55="CHF",D55*1.02,0))))</f>
        <v/>
      </c>
    </row>
    <row r="56">
      <c r="A56" s="15" t="n"/>
      <c r="B56" s="16" t="n"/>
      <c r="C56" s="16" t="n"/>
      <c r="D56" s="17" t="n"/>
      <c r="E56" s="16" t="n"/>
      <c r="F56" s="18">
        <f>IF(A56="","",IF(E56="EUR",D56,IF(E56="USD",D56*0.895,IF(E56="CHF",D56*1.02,0))))</f>
        <v/>
      </c>
    </row>
    <row r="57">
      <c r="A57" s="15" t="n"/>
      <c r="B57" s="16" t="n"/>
      <c r="C57" s="16" t="n"/>
      <c r="D57" s="17" t="n"/>
      <c r="E57" s="16" t="n"/>
      <c r="F57" s="18">
        <f>IF(A57="","",IF(E57="EUR",D57,IF(E57="USD",D57*0.895,IF(E57="CHF",D57*1.02,0))))</f>
        <v/>
      </c>
    </row>
    <row r="58">
      <c r="A58" s="15" t="n"/>
      <c r="B58" s="16" t="n"/>
      <c r="C58" s="16" t="n"/>
      <c r="D58" s="17" t="n"/>
      <c r="E58" s="16" t="n"/>
      <c r="F58" s="18">
        <f>IF(A58="","",IF(E58="EUR",D58,IF(E58="USD",D58*0.895,IF(E58="CHF",D58*1.02,0))))</f>
        <v/>
      </c>
    </row>
    <row r="59">
      <c r="A59" s="15" t="n"/>
      <c r="B59" s="16" t="n"/>
      <c r="C59" s="16" t="n"/>
      <c r="D59" s="17" t="n"/>
      <c r="E59" s="16" t="n"/>
      <c r="F59" s="18">
        <f>IF(A59="","",IF(E59="EUR",D59,IF(E59="USD",D59*0.895,IF(E59="CHF",D59*1.02,0))))</f>
        <v/>
      </c>
    </row>
  </sheetData>
  <conditionalFormatting sqref="D2:D59">
    <cfRule type="cellIs" priority="1" operator="lessThan" dxfId="0">
      <formula>0</formula>
    </cfRule>
  </conditionalFormatting>
  <conditionalFormatting sqref="F2:F59">
    <cfRule type="cellIs" priority="2" operator="lessThan" dxfId="0">
      <formula>0</formula>
    </cfRule>
  </conditionalFormatting>
  <dataValidations count="2">
    <dataValidation sqref="B2:B59" showDropDown="0" showInputMessage="0" showErrorMessage="0" allowBlank="1" type="list">
      <formula1>"Unterkunft,Transport,Essen,Aktivität,Eintritt,Souvenir,Sonstiges"</formula1>
    </dataValidation>
    <dataValidation sqref="E2:E59" showDropDown="0" showInputMessage="0" showErrorMessage="0" allowBlank="1" type="list">
      <formula1>"EUR,USD,GBP,CHF,JPY,CNY"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6" customWidth="1" min="4" max="4"/>
    <col width="12" customWidth="1" min="5" max="5"/>
  </cols>
  <sheetData>
    <row r="1" ht="32" customHeight="1">
      <c r="A1" s="14" t="inlineStr">
        <is>
          <t>Ort</t>
        </is>
      </c>
      <c r="B1" s="14" t="inlineStr">
        <is>
          <t>Priorität</t>
        </is>
      </c>
      <c r="C1" s="14" t="inlineStr">
        <is>
          <t>Kosten p.P.</t>
        </is>
      </c>
      <c r="D1" s="14" t="inlineStr">
        <is>
          <t>Entfernung km</t>
        </is>
      </c>
      <c r="E1" s="14" t="inlineStr">
        <is>
          <t>Besucht</t>
        </is>
      </c>
    </row>
    <row r="2">
      <c r="A2" s="16" t="inlineStr">
        <is>
          <t>Triberger Wasserfälle</t>
        </is>
      </c>
      <c r="B2" s="16" t="inlineStr">
        <is>
          <t>Hoch</t>
        </is>
      </c>
      <c r="C2" s="19" t="n">
        <v>7.5</v>
      </c>
      <c r="D2" s="17" t="n">
        <v>35</v>
      </c>
      <c r="E2" s="16" t="inlineStr">
        <is>
          <t>Ja</t>
        </is>
      </c>
    </row>
    <row r="3">
      <c r="A3" s="16" t="inlineStr">
        <is>
          <t>Feldberg</t>
        </is>
      </c>
      <c r="B3" s="16" t="inlineStr">
        <is>
          <t>Hoch</t>
        </is>
      </c>
      <c r="C3" s="19" t="n">
        <v>0</v>
      </c>
      <c r="D3" s="17" t="n">
        <v>20</v>
      </c>
      <c r="E3" s="16" t="inlineStr">
        <is>
          <t>Nein</t>
        </is>
      </c>
    </row>
    <row r="4">
      <c r="A4" s="16" t="inlineStr">
        <is>
          <t>Titisee</t>
        </is>
      </c>
      <c r="B4" s="16" t="inlineStr">
        <is>
          <t>Mittel</t>
        </is>
      </c>
      <c r="C4" s="19" t="n">
        <v>0</v>
      </c>
      <c r="D4" s="17" t="n">
        <v>5</v>
      </c>
      <c r="E4" s="16" t="inlineStr">
        <is>
          <t>Ja</t>
        </is>
      </c>
    </row>
    <row r="5">
      <c r="A5" s="16" t="inlineStr">
        <is>
          <t>Schluchsee</t>
        </is>
      </c>
      <c r="B5" s="16" t="inlineStr">
        <is>
          <t>Mittel</t>
        </is>
      </c>
      <c r="C5" s="19" t="n">
        <v>0</v>
      </c>
      <c r="D5" s="17" t="n">
        <v>15</v>
      </c>
      <c r="E5" s="16" t="inlineStr">
        <is>
          <t>Nein</t>
        </is>
      </c>
    </row>
    <row r="6">
      <c r="A6" s="16" t="inlineStr">
        <is>
          <t>Freilichtmuseum Vogtsbauernhof</t>
        </is>
      </c>
      <c r="B6" s="16" t="inlineStr">
        <is>
          <t>Niedrig</t>
        </is>
      </c>
      <c r="C6" s="19" t="n">
        <v>12</v>
      </c>
      <c r="D6" s="17" t="n">
        <v>40</v>
      </c>
      <c r="E6" s="16" t="inlineStr">
        <is>
          <t>Nein</t>
        </is>
      </c>
    </row>
    <row r="7">
      <c r="A7" s="16" t="inlineStr">
        <is>
          <t>Todtnauer Wasserfall</t>
        </is>
      </c>
      <c r="B7" s="16" t="inlineStr">
        <is>
          <t>Mittel</t>
        </is>
      </c>
      <c r="C7" s="19" t="n">
        <v>3.5</v>
      </c>
      <c r="D7" s="17" t="n">
        <v>25</v>
      </c>
      <c r="E7" s="16" t="inlineStr">
        <is>
          <t>Nein</t>
        </is>
      </c>
    </row>
    <row r="8">
      <c r="A8" s="16" t="n"/>
      <c r="B8" s="16" t="n"/>
      <c r="C8" s="19" t="n"/>
      <c r="D8" s="17" t="n"/>
      <c r="E8" s="16" t="n"/>
    </row>
    <row r="9">
      <c r="A9" s="16" t="n"/>
      <c r="B9" s="16" t="n"/>
      <c r="C9" s="19" t="n"/>
      <c r="D9" s="17" t="n"/>
      <c r="E9" s="16" t="n"/>
    </row>
    <row r="10">
      <c r="A10" s="16" t="n"/>
      <c r="B10" s="16" t="n"/>
      <c r="C10" s="19" t="n"/>
      <c r="D10" s="17" t="n"/>
      <c r="E10" s="16" t="n"/>
    </row>
    <row r="11">
      <c r="A11" s="16" t="n"/>
      <c r="B11" s="16" t="n"/>
      <c r="C11" s="19" t="n"/>
      <c r="D11" s="17" t="n"/>
      <c r="E11" s="16" t="n"/>
    </row>
    <row r="12">
      <c r="A12" s="16" t="n"/>
      <c r="B12" s="16" t="n"/>
      <c r="C12" s="19" t="n"/>
      <c r="D12" s="17" t="n"/>
      <c r="E12" s="16" t="n"/>
    </row>
    <row r="13">
      <c r="A13" s="16" t="n"/>
      <c r="B13" s="16" t="n"/>
      <c r="C13" s="19" t="n"/>
      <c r="D13" s="17" t="n"/>
      <c r="E13" s="16" t="n"/>
    </row>
    <row r="14">
      <c r="A14" s="16" t="n"/>
      <c r="B14" s="16" t="n"/>
      <c r="C14" s="19" t="n"/>
      <c r="D14" s="17" t="n"/>
      <c r="E14" s="16" t="n"/>
    </row>
    <row r="15">
      <c r="A15" s="16" t="n"/>
      <c r="B15" s="16" t="n"/>
      <c r="C15" s="19" t="n"/>
      <c r="D15" s="17" t="n"/>
      <c r="E15" s="16" t="n"/>
    </row>
    <row r="16">
      <c r="A16" s="16" t="n"/>
      <c r="B16" s="16" t="n"/>
      <c r="C16" s="19" t="n"/>
      <c r="D16" s="17" t="n"/>
      <c r="E16" s="16" t="n"/>
    </row>
    <row r="17">
      <c r="A17" s="16" t="n"/>
      <c r="B17" s="16" t="n"/>
      <c r="C17" s="19" t="n"/>
      <c r="D17" s="17" t="n"/>
      <c r="E17" s="16" t="n"/>
    </row>
    <row r="18">
      <c r="A18" s="16" t="n"/>
      <c r="B18" s="16" t="n"/>
      <c r="C18" s="19" t="n"/>
      <c r="D18" s="17" t="n"/>
      <c r="E18" s="16" t="n"/>
    </row>
    <row r="19">
      <c r="A19" s="16" t="n"/>
      <c r="B19" s="16" t="n"/>
      <c r="C19" s="19" t="n"/>
      <c r="D19" s="17" t="n"/>
      <c r="E19" s="16" t="n"/>
    </row>
    <row r="20">
      <c r="A20" s="16" t="n"/>
      <c r="B20" s="16" t="n"/>
      <c r="C20" s="19" t="n"/>
      <c r="D20" s="17" t="n"/>
      <c r="E20" s="16" t="n"/>
    </row>
    <row r="21">
      <c r="A21" s="16" t="n"/>
      <c r="B21" s="16" t="n"/>
      <c r="C21" s="19" t="n"/>
      <c r="D21" s="17" t="n"/>
      <c r="E21" s="16" t="n"/>
    </row>
    <row r="22">
      <c r="A22" s="16" t="n"/>
      <c r="B22" s="16" t="n"/>
      <c r="C22" s="19" t="n"/>
      <c r="D22" s="17" t="n"/>
      <c r="E22" s="16" t="n"/>
    </row>
  </sheetData>
  <conditionalFormatting sqref="C2:C22">
    <cfRule type="cellIs" priority="1" operator="lessThan" dxfId="0">
      <formula>0</formula>
    </cfRule>
  </conditionalFormatting>
  <conditionalFormatting sqref="D2:D22">
    <cfRule type="cellIs" priority="2" operator="lessThan" dxfId="0">
      <formula>0</formula>
    </cfRule>
  </conditionalFormatting>
  <dataValidations count="2">
    <dataValidation sqref="B2:B22" showDropDown="0" showInputMessage="0" showErrorMessage="0" allowBlank="1" type="list">
      <formula1>"Hoch,Mittel,Niedrig"</formula1>
    </dataValidation>
    <dataValidation sqref="E2:E22" showDropDown="0" showInputMessage="0" showErrorMessage="0" allowBlank="1" type="list">
      <formula1>"Ja,Nein,Teilweise"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Geplant</t>
        </is>
      </c>
      <c r="C1" s="14" t="inlineStr">
        <is>
          <t>Aktuell</t>
        </is>
      </c>
      <c r="D1" s="14" t="inlineStr">
        <is>
          <t>Differenz</t>
        </is>
      </c>
    </row>
    <row r="2">
      <c r="A2" s="16" t="inlineStr">
        <is>
          <t>Unterkünfte</t>
        </is>
      </c>
      <c r="B2" s="19" t="n">
        <v>500</v>
      </c>
      <c r="C2" s="19" t="n">
        <v>390</v>
      </c>
      <c r="D2" s="18">
        <f>B2-C2</f>
        <v/>
      </c>
    </row>
    <row r="3">
      <c r="A3" s="16" t="inlineStr">
        <is>
          <t>Transport</t>
        </is>
      </c>
      <c r="B3" s="19" t="n">
        <v>300</v>
      </c>
      <c r="C3" s="19" t="n">
        <v>248</v>
      </c>
      <c r="D3" s="18">
        <f>B3-C3</f>
        <v/>
      </c>
    </row>
    <row r="4">
      <c r="A4" s="16" t="inlineStr">
        <is>
          <t>Aktivitäten</t>
        </is>
      </c>
      <c r="B4" s="19" t="n">
        <v>150</v>
      </c>
      <c r="C4" s="19" t="n">
        <v>46.2</v>
      </c>
      <c r="D4" s="18">
        <f>B4-C4</f>
        <v/>
      </c>
    </row>
    <row r="5">
      <c r="A5" s="16" t="inlineStr">
        <is>
          <t>Essen</t>
        </is>
      </c>
      <c r="B5" s="19" t="n">
        <v>200</v>
      </c>
      <c r="C5" s="19" t="n">
        <v>85</v>
      </c>
      <c r="D5" s="18">
        <f>B5-C5</f>
        <v/>
      </c>
    </row>
    <row r="6">
      <c r="A6" s="16" t="inlineStr">
        <is>
          <t>Souvenirs</t>
        </is>
      </c>
      <c r="B6" s="19" t="n">
        <v>100</v>
      </c>
      <c r="C6" s="19" t="n">
        <v>107.4</v>
      </c>
      <c r="D6" s="18">
        <f>B6-C6</f>
        <v/>
      </c>
    </row>
    <row r="7">
      <c r="A7" s="16" t="n"/>
      <c r="B7" s="19" t="n"/>
      <c r="C7" s="19" t="n"/>
      <c r="D7" s="18">
        <f>IF(A7="","",B7-C7)</f>
        <v/>
      </c>
    </row>
    <row r="8">
      <c r="A8" s="16" t="n"/>
      <c r="B8" s="19" t="n"/>
      <c r="C8" s="19" t="n"/>
      <c r="D8" s="18">
        <f>IF(A8="","",B8-C8)</f>
        <v/>
      </c>
    </row>
    <row r="9">
      <c r="A9" s="16" t="n"/>
      <c r="B9" s="19" t="n"/>
      <c r="C9" s="19" t="n"/>
      <c r="D9" s="18">
        <f>IF(A9="","",B9-C9)</f>
        <v/>
      </c>
    </row>
    <row r="10">
      <c r="A10" s="16" t="n"/>
      <c r="B10" s="19" t="n"/>
      <c r="C10" s="19" t="n"/>
      <c r="D10" s="18">
        <f>IF(A10="","",B10-C10)</f>
        <v/>
      </c>
    </row>
    <row r="11">
      <c r="A11" s="16" t="n"/>
      <c r="B11" s="19" t="n"/>
      <c r="C11" s="19" t="n"/>
      <c r="D11" s="18">
        <f>IF(A11="","",B11-C11)</f>
        <v/>
      </c>
    </row>
  </sheetData>
  <conditionalFormatting sqref="B2:B11">
    <cfRule type="cellIs" priority="1" operator="lessThan" dxfId="0">
      <formula>0</formula>
    </cfRule>
  </conditionalFormatting>
  <conditionalFormatting sqref="C2:C11">
    <cfRule type="cellIs" priority="2" operator="lessThan" dxfId="0">
      <formula>0</formula>
    </cfRule>
  </conditionalFormatting>
  <conditionalFormatting sqref="D2:D1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Schwarzwald Reisebudget- &amp; Aktivitäten-Tracker für internationale Gäste</dc:title>
  <dcterms:created xsi:type="dcterms:W3CDTF">2026-10-29T19:47:49Z</dcterms:created>
  <dcterms:modified xsi:type="dcterms:W3CDTF">2026-10-29T19:47:49Z</dcterms:modified>
</cp:coreProperties>
</file>