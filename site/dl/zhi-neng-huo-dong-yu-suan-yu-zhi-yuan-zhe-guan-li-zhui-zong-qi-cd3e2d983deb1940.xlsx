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活动预算" sheetId="3" state="visible" r:id="rId3"/>
    <sheet name="志愿者管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支出分类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'活动预算'!E1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'活动预算'!$B$2:$B$9</f>
            </numRef>
          </cat>
          <val>
            <numRef>
              <f>'活动预算'!$E$2:$E$9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553" displayName="T______2553" ref="A1:E69" headerRowCount="1">
  <autoFilter ref="A1:E69"/>
  <tableColumns count="5">
    <tableColumn id="1" name="Datum"/>
    <tableColumn id="2" name="Kategorie"/>
    <tableColumn id="3" name="Menge"/>
    <tableColumn id="4" name="Preis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______3190" displayName="T_______3190" ref="A1:D69" headerRowCount="1">
  <autoFilter ref="A1:D69"/>
  <tableColumns count="4">
    <tableColumn id="1" name="Name"/>
    <tableColumn id="2" name="任务"/>
    <tableColumn id="3" name="Datum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7963;&#21160;&#39044;&#31639;'!A1" TargetMode="External" Id="rId2" /><Relationship Type="http://schemas.openxmlformats.org/officeDocument/2006/relationships/hyperlink" Target="#'&#24535;&#24895;&#32773;&#31649;&#29702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智能活动预算与志愿者管理追踪器</t>
        </is>
      </c>
    </row>
    <row r="3" ht="45" customHeight="1">
      <c r="C3" s="2" t="inlineStr">
        <is>
          <t>简化活动预算管理与志愿者协调，为您的团队提供高效的解决方案。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步骤1：输入活动名称和日期</t>
        </is>
      </c>
    </row>
    <row r="7" ht="18" customHeight="1">
      <c r="B7" s="4" t="inlineStr">
        <is>
          <t>2.</t>
        </is>
      </c>
      <c r="C7" s="5" t="inlineStr">
        <is>
          <t>步骤2：添加支出和收入类别</t>
        </is>
      </c>
    </row>
    <row r="8" ht="18" customHeight="1">
      <c r="B8" s="4" t="inlineStr">
        <is>
          <t>3.</t>
        </is>
      </c>
      <c r="C8" s="5" t="inlineStr">
        <is>
          <t>步骤3：记录志愿者任务和状态</t>
        </is>
      </c>
    </row>
    <row r="9" ht="18" customHeight="1">
      <c r="B9" s="4" t="inlineStr">
        <is>
          <t>4.</t>
        </is>
      </c>
      <c r="C9" s="5" t="inlineStr">
        <is>
          <t>步骤4：使用图表分析预算</t>
        </is>
      </c>
    </row>
    <row r="10" ht="18" customHeight="1">
      <c r="B10" s="4" t="inlineStr">
        <is>
          <t>5.</t>
        </is>
      </c>
      <c r="C10" s="5" t="inlineStr">
        <is>
          <t>步骤5：导出报告并与团队共享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活动预算</t>
        </is>
      </c>
    </row>
    <row r="17">
      <c r="C17" s="7" t="inlineStr">
        <is>
          <t>→ 志愿者管理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智能活动预算与志愿者管理追踪器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SUM('活动预算'!E2:E300)</f>
        <v/>
      </c>
    </row>
    <row r="6" ht="24" customHeight="1">
      <c r="B6" s="11" t="inlineStr">
        <is>
          <t>总任务数</t>
        </is>
      </c>
      <c r="C6" s="13">
        <f>COUNTA('志愿者管理'!A2:A300)</f>
        <v/>
      </c>
    </row>
    <row r="7" ht="24" customHeight="1">
      <c r="B7" s="11" t="inlineStr">
        <is>
          <t>已完成任务</t>
        </is>
      </c>
      <c r="C7" s="13">
        <f>COUNTIF('志愿者管理'!D2:D300,"erledigt")</f>
        <v/>
      </c>
    </row>
    <row r="8" ht="24" customHeight="1">
      <c r="B8" s="11" t="inlineStr">
        <is>
          <t>平均支出</t>
        </is>
      </c>
      <c r="C8" s="12">
        <f>AVERAGE('活动预算'!E2:E300)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Menge</t>
        </is>
      </c>
      <c r="D1" s="14" t="inlineStr">
        <is>
          <t>Preis</t>
        </is>
      </c>
      <c r="E1" s="14" t="inlineStr">
        <is>
          <t>Summe</t>
        </is>
      </c>
    </row>
    <row r="2">
      <c r="A2" s="15" t="n">
        <v>46037</v>
      </c>
      <c r="B2" s="16" t="inlineStr">
        <is>
          <t>Material</t>
        </is>
      </c>
      <c r="C2" s="17" t="n">
        <v>3</v>
      </c>
      <c r="D2" s="18" t="n">
        <v>12.5</v>
      </c>
      <c r="E2" s="19">
        <f>C2*D2</f>
        <v/>
      </c>
    </row>
    <row r="3">
      <c r="A3" s="15" t="n">
        <v>46042</v>
      </c>
      <c r="B3" s="16" t="inlineStr">
        <is>
          <t>Arbeit</t>
        </is>
      </c>
      <c r="C3" s="17" t="n">
        <v>5</v>
      </c>
      <c r="D3" s="18" t="n">
        <v>25</v>
      </c>
      <c r="E3" s="19">
        <f>C3*D3</f>
        <v/>
      </c>
    </row>
    <row r="4">
      <c r="A4" s="15" t="n">
        <v>46054</v>
      </c>
      <c r="B4" s="16" t="inlineStr">
        <is>
          <t>Sonstiges</t>
        </is>
      </c>
      <c r="C4" s="17" t="n">
        <v>2</v>
      </c>
      <c r="D4" s="18" t="n">
        <v>50</v>
      </c>
      <c r="E4" s="19">
        <f>C4*D4</f>
        <v/>
      </c>
    </row>
    <row r="5">
      <c r="A5" s="15" t="n">
        <v>46063</v>
      </c>
      <c r="B5" s="16" t="inlineStr">
        <is>
          <t>Material</t>
        </is>
      </c>
      <c r="C5" s="17" t="n">
        <v>10</v>
      </c>
      <c r="D5" s="18" t="n">
        <v>3</v>
      </c>
      <c r="E5" s="19">
        <f>C5*D5</f>
        <v/>
      </c>
    </row>
    <row r="6">
      <c r="A6" s="15" t="n">
        <v>46068</v>
      </c>
      <c r="B6" s="16" t="inlineStr">
        <is>
          <t>Arbeit</t>
        </is>
      </c>
      <c r="C6" s="17" t="n">
        <v>3</v>
      </c>
      <c r="D6" s="18" t="n">
        <v>20</v>
      </c>
      <c r="E6" s="19">
        <f>C6*D6</f>
        <v/>
      </c>
    </row>
    <row r="7">
      <c r="A7" s="15" t="n">
        <v>46082</v>
      </c>
      <c r="B7" s="16" t="inlineStr">
        <is>
          <t>Sonstiges</t>
        </is>
      </c>
      <c r="C7" s="17" t="n">
        <v>1</v>
      </c>
      <c r="D7" s="18" t="n">
        <v>100</v>
      </c>
      <c r="E7" s="19">
        <f>C7*D7</f>
        <v/>
      </c>
    </row>
    <row r="8">
      <c r="A8" s="15" t="n">
        <v>46091</v>
      </c>
      <c r="B8" s="16" t="inlineStr">
        <is>
          <t>Material</t>
        </is>
      </c>
      <c r="C8" s="17" t="n">
        <v>5</v>
      </c>
      <c r="D8" s="18" t="n">
        <v>15</v>
      </c>
      <c r="E8" s="19">
        <f>C8*D8</f>
        <v/>
      </c>
    </row>
    <row r="9">
      <c r="A9" s="15" t="n">
        <v>46101</v>
      </c>
      <c r="B9" s="16" t="inlineStr">
        <is>
          <t>Arbeit</t>
        </is>
      </c>
      <c r="C9" s="17" t="n">
        <v>2</v>
      </c>
      <c r="D9" s="18" t="n">
        <v>30</v>
      </c>
      <c r="E9" s="19">
        <f>C9*D9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  <row r="66">
      <c r="A66" s="15" t="n"/>
      <c r="B66" s="16" t="n"/>
      <c r="C66" s="17" t="n"/>
      <c r="D66" s="18" t="n"/>
      <c r="E66" s="19">
        <f>IF(A66="","",C66*D66)</f>
        <v/>
      </c>
    </row>
    <row r="67">
      <c r="A67" s="15" t="n"/>
      <c r="B67" s="16" t="n"/>
      <c r="C67" s="17" t="n"/>
      <c r="D67" s="18" t="n"/>
      <c r="E67" s="19">
        <f>IF(A67="","",C67*D67)</f>
        <v/>
      </c>
    </row>
    <row r="68">
      <c r="A68" s="15" t="n"/>
      <c r="B68" s="16" t="n"/>
      <c r="C68" s="17" t="n"/>
      <c r="D68" s="18" t="n"/>
      <c r="E68" s="19">
        <f>IF(A68="","",C68*D68)</f>
        <v/>
      </c>
    </row>
    <row r="69">
      <c r="A69" s="15" t="n"/>
      <c r="B69" s="16" t="n"/>
      <c r="C69" s="17" t="n"/>
      <c r="D69" s="18" t="n"/>
      <c r="E69" s="19">
        <f>IF(A69="","",C69*D69)</f>
        <v/>
      </c>
    </row>
  </sheetData>
  <conditionalFormatting sqref="C2:C69">
    <cfRule type="cellIs" priority="1" operator="lessThan" dxfId="0">
      <formula>0</formula>
    </cfRule>
  </conditionalFormatting>
  <conditionalFormatting sqref="D2:D69">
    <cfRule type="cellIs" priority="2" operator="lessThan" dxfId="0">
      <formula>0</formula>
    </cfRule>
  </conditionalFormatting>
  <conditionalFormatting sqref="E2:E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"Material,Arbeit,Sonstiges"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40" customWidth="1" min="4" max="4"/>
  </cols>
  <sheetData>
    <row r="1" ht="32" customHeight="1">
      <c r="A1" s="14" t="inlineStr">
        <is>
          <t>Name</t>
        </is>
      </c>
      <c r="B1" s="14" t="inlineStr">
        <is>
          <t>任务</t>
        </is>
      </c>
      <c r="C1" s="14" t="inlineStr">
        <is>
          <t>Datum</t>
        </is>
      </c>
      <c r="D1" s="14" t="inlineStr">
        <is>
          <t>Status</t>
        </is>
      </c>
    </row>
    <row r="2">
      <c r="A2" s="16" t="inlineStr">
        <is>
          <t>李伟</t>
        </is>
      </c>
      <c r="B2" s="16" t="inlineStr">
        <is>
          <t>宣传推广</t>
        </is>
      </c>
      <c r="C2" s="15" t="n">
        <v>46032</v>
      </c>
      <c r="D2" s="20">
        <f>IF(E2&gt;0,"offen","erledigt")</f>
        <v/>
      </c>
    </row>
    <row r="3">
      <c r="A3" s="16" t="inlineStr">
        <is>
          <t>王芳</t>
        </is>
      </c>
      <c r="B3" s="16" t="inlineStr">
        <is>
          <t>物资采购</t>
        </is>
      </c>
      <c r="C3" s="15" t="n">
        <v>46037</v>
      </c>
      <c r="D3" s="20">
        <f>IF(E3&gt;0,"offen","erledigt")</f>
        <v/>
      </c>
    </row>
    <row r="4">
      <c r="A4" s="16" t="inlineStr">
        <is>
          <t>张强</t>
        </is>
      </c>
      <c r="B4" s="16" t="inlineStr">
        <is>
          <t>现场布置</t>
        </is>
      </c>
      <c r="C4" s="15" t="n">
        <v>46054</v>
      </c>
      <c r="D4" s="20">
        <f>IF(E4&gt;0,"offen","erledigt")</f>
        <v/>
      </c>
    </row>
    <row r="5">
      <c r="A5" s="16" t="inlineStr">
        <is>
          <t>陈静</t>
        </is>
      </c>
      <c r="B5" s="16" t="inlineStr">
        <is>
          <t>志愿者培训</t>
        </is>
      </c>
      <c r="C5" s="15" t="n">
        <v>46063</v>
      </c>
      <c r="D5" s="20">
        <f>IF(E5&gt;0,"offen","erledigt")</f>
        <v/>
      </c>
    </row>
    <row r="6">
      <c r="A6" s="16" t="inlineStr">
        <is>
          <t>刘洋</t>
        </is>
      </c>
      <c r="B6" s="16" t="inlineStr">
        <is>
          <t>活动主持</t>
        </is>
      </c>
      <c r="C6" s="15" t="n">
        <v>46068</v>
      </c>
      <c r="D6" s="20">
        <f>IF(E6&gt;0,"offen","erledigt")</f>
        <v/>
      </c>
    </row>
    <row r="7">
      <c r="A7" s="16" t="inlineStr">
        <is>
          <t>赵敏</t>
        </is>
      </c>
      <c r="B7" s="16" t="inlineStr">
        <is>
          <t>后勤管理</t>
        </is>
      </c>
      <c r="C7" s="15" t="n">
        <v>46082</v>
      </c>
      <c r="D7" s="20">
        <f>IF(E7&gt;0,"offen","erledigt")</f>
        <v/>
      </c>
    </row>
    <row r="8">
      <c r="A8" s="16" t="inlineStr">
        <is>
          <t>黄丽</t>
        </is>
      </c>
      <c r="B8" s="16" t="inlineStr">
        <is>
          <t>摄影记录</t>
        </is>
      </c>
      <c r="C8" s="15" t="n">
        <v>46091</v>
      </c>
      <c r="D8" s="20">
        <f>IF(E8&gt;0,"offen","erledigt")</f>
        <v/>
      </c>
    </row>
    <row r="9">
      <c r="A9" s="16" t="inlineStr">
        <is>
          <t>周鹏</t>
        </is>
      </c>
      <c r="B9" s="16" t="inlineStr">
        <is>
          <t>财务管理</t>
        </is>
      </c>
      <c r="C9" s="15" t="n">
        <v>46101</v>
      </c>
      <c r="D9" s="20">
        <f>IF(E9&gt;0,"offen","erledigt")</f>
        <v/>
      </c>
    </row>
    <row r="10">
      <c r="A10" s="16" t="n"/>
      <c r="B10" s="16" t="n"/>
      <c r="C10" s="15" t="n"/>
      <c r="D10" s="20">
        <f>IF(A10="","",IF(E10&gt;0,"offen","erledigt"))</f>
        <v/>
      </c>
    </row>
    <row r="11">
      <c r="A11" s="16" t="n"/>
      <c r="B11" s="16" t="n"/>
      <c r="C11" s="15" t="n"/>
      <c r="D11" s="20">
        <f>IF(A11="","",IF(E11&gt;0,"offen","erledigt"))</f>
        <v/>
      </c>
    </row>
    <row r="12">
      <c r="A12" s="16" t="n"/>
      <c r="B12" s="16" t="n"/>
      <c r="C12" s="15" t="n"/>
      <c r="D12" s="20">
        <f>IF(A12="","",IF(E12&gt;0,"offen","erledigt"))</f>
        <v/>
      </c>
    </row>
    <row r="13">
      <c r="A13" s="16" t="n"/>
      <c r="B13" s="16" t="n"/>
      <c r="C13" s="15" t="n"/>
      <c r="D13" s="20">
        <f>IF(A13="","",IF(E13&gt;0,"offen","erledigt"))</f>
        <v/>
      </c>
    </row>
    <row r="14">
      <c r="A14" s="16" t="n"/>
      <c r="B14" s="16" t="n"/>
      <c r="C14" s="15" t="n"/>
      <c r="D14" s="20">
        <f>IF(A14="","",IF(E14&gt;0,"offen","erledigt"))</f>
        <v/>
      </c>
    </row>
    <row r="15">
      <c r="A15" s="16" t="n"/>
      <c r="B15" s="16" t="n"/>
      <c r="C15" s="15" t="n"/>
      <c r="D15" s="20">
        <f>IF(A15="","",IF(E15&gt;0,"offen","erledigt"))</f>
        <v/>
      </c>
    </row>
    <row r="16">
      <c r="A16" s="16" t="n"/>
      <c r="B16" s="16" t="n"/>
      <c r="C16" s="15" t="n"/>
      <c r="D16" s="20">
        <f>IF(A16="","",IF(E16&gt;0,"offen","erledigt"))</f>
        <v/>
      </c>
    </row>
    <row r="17">
      <c r="A17" s="16" t="n"/>
      <c r="B17" s="16" t="n"/>
      <c r="C17" s="15" t="n"/>
      <c r="D17" s="20">
        <f>IF(A17="","",IF(E17&gt;0,"offen","erledigt"))</f>
        <v/>
      </c>
    </row>
    <row r="18">
      <c r="A18" s="16" t="n"/>
      <c r="B18" s="16" t="n"/>
      <c r="C18" s="15" t="n"/>
      <c r="D18" s="20">
        <f>IF(A18="","",IF(E18&gt;0,"offen","erledigt"))</f>
        <v/>
      </c>
    </row>
    <row r="19">
      <c r="A19" s="16" t="n"/>
      <c r="B19" s="16" t="n"/>
      <c r="C19" s="15" t="n"/>
      <c r="D19" s="20">
        <f>IF(A19="","",IF(E19&gt;0,"offen","erledigt"))</f>
        <v/>
      </c>
    </row>
    <row r="20">
      <c r="A20" s="16" t="n"/>
      <c r="B20" s="16" t="n"/>
      <c r="C20" s="15" t="n"/>
      <c r="D20" s="20">
        <f>IF(A20="","",IF(E20&gt;0,"offen","erledigt"))</f>
        <v/>
      </c>
    </row>
    <row r="21">
      <c r="A21" s="16" t="n"/>
      <c r="B21" s="16" t="n"/>
      <c r="C21" s="15" t="n"/>
      <c r="D21" s="20">
        <f>IF(A21="","",IF(E21&gt;0,"offen","erledigt"))</f>
        <v/>
      </c>
    </row>
    <row r="22">
      <c r="A22" s="16" t="n"/>
      <c r="B22" s="16" t="n"/>
      <c r="C22" s="15" t="n"/>
      <c r="D22" s="20">
        <f>IF(A22="","",IF(E22&gt;0,"offen","erledigt"))</f>
        <v/>
      </c>
    </row>
    <row r="23">
      <c r="A23" s="16" t="n"/>
      <c r="B23" s="16" t="n"/>
      <c r="C23" s="15" t="n"/>
      <c r="D23" s="20">
        <f>IF(A23="","",IF(E23&gt;0,"offen","erledigt"))</f>
        <v/>
      </c>
    </row>
    <row r="24">
      <c r="A24" s="16" t="n"/>
      <c r="B24" s="16" t="n"/>
      <c r="C24" s="15" t="n"/>
      <c r="D24" s="20">
        <f>IF(A24="","",IF(E24&gt;0,"offen","erledigt"))</f>
        <v/>
      </c>
    </row>
    <row r="25">
      <c r="A25" s="16" t="n"/>
      <c r="B25" s="16" t="n"/>
      <c r="C25" s="15" t="n"/>
      <c r="D25" s="20">
        <f>IF(A25="","",IF(E25&gt;0,"offen","erledigt"))</f>
        <v/>
      </c>
    </row>
    <row r="26">
      <c r="A26" s="16" t="n"/>
      <c r="B26" s="16" t="n"/>
      <c r="C26" s="15" t="n"/>
      <c r="D26" s="20">
        <f>IF(A26="","",IF(E26&gt;0,"offen","erledigt"))</f>
        <v/>
      </c>
    </row>
    <row r="27">
      <c r="A27" s="16" t="n"/>
      <c r="B27" s="16" t="n"/>
      <c r="C27" s="15" t="n"/>
      <c r="D27" s="20">
        <f>IF(A27="","",IF(E27&gt;0,"offen","erledigt"))</f>
        <v/>
      </c>
    </row>
    <row r="28">
      <c r="A28" s="16" t="n"/>
      <c r="B28" s="16" t="n"/>
      <c r="C28" s="15" t="n"/>
      <c r="D28" s="20">
        <f>IF(A28="","",IF(E28&gt;0,"offen","erledigt"))</f>
        <v/>
      </c>
    </row>
    <row r="29">
      <c r="A29" s="16" t="n"/>
      <c r="B29" s="16" t="n"/>
      <c r="C29" s="15" t="n"/>
      <c r="D29" s="20">
        <f>IF(A29="","",IF(E29&gt;0,"offen","erledigt"))</f>
        <v/>
      </c>
    </row>
    <row r="30">
      <c r="A30" s="16" t="n"/>
      <c r="B30" s="16" t="n"/>
      <c r="C30" s="15" t="n"/>
      <c r="D30" s="20">
        <f>IF(A30="","",IF(E30&gt;0,"offen","erledigt"))</f>
        <v/>
      </c>
    </row>
    <row r="31">
      <c r="A31" s="16" t="n"/>
      <c r="B31" s="16" t="n"/>
      <c r="C31" s="15" t="n"/>
      <c r="D31" s="20">
        <f>IF(A31="","",IF(E31&gt;0,"offen","erledigt"))</f>
        <v/>
      </c>
    </row>
    <row r="32">
      <c r="A32" s="16" t="n"/>
      <c r="B32" s="16" t="n"/>
      <c r="C32" s="15" t="n"/>
      <c r="D32" s="20">
        <f>IF(A32="","",IF(E32&gt;0,"offen","erledigt"))</f>
        <v/>
      </c>
    </row>
    <row r="33">
      <c r="A33" s="16" t="n"/>
      <c r="B33" s="16" t="n"/>
      <c r="C33" s="15" t="n"/>
      <c r="D33" s="20">
        <f>IF(A33="","",IF(E33&gt;0,"offen","erledigt"))</f>
        <v/>
      </c>
    </row>
    <row r="34">
      <c r="A34" s="16" t="n"/>
      <c r="B34" s="16" t="n"/>
      <c r="C34" s="15" t="n"/>
      <c r="D34" s="20">
        <f>IF(A34="","",IF(E34&gt;0,"offen","erledigt"))</f>
        <v/>
      </c>
    </row>
    <row r="35">
      <c r="A35" s="16" t="n"/>
      <c r="B35" s="16" t="n"/>
      <c r="C35" s="15" t="n"/>
      <c r="D35" s="20">
        <f>IF(A35="","",IF(E35&gt;0,"offen","erledigt"))</f>
        <v/>
      </c>
    </row>
    <row r="36">
      <c r="A36" s="16" t="n"/>
      <c r="B36" s="16" t="n"/>
      <c r="C36" s="15" t="n"/>
      <c r="D36" s="20">
        <f>IF(A36="","",IF(E36&gt;0,"offen","erledigt"))</f>
        <v/>
      </c>
    </row>
    <row r="37">
      <c r="A37" s="16" t="n"/>
      <c r="B37" s="16" t="n"/>
      <c r="C37" s="15" t="n"/>
      <c r="D37" s="20">
        <f>IF(A37="","",IF(E37&gt;0,"offen","erledigt"))</f>
        <v/>
      </c>
    </row>
    <row r="38">
      <c r="A38" s="16" t="n"/>
      <c r="B38" s="16" t="n"/>
      <c r="C38" s="15" t="n"/>
      <c r="D38" s="20">
        <f>IF(A38="","",IF(E38&gt;0,"offen","erledigt"))</f>
        <v/>
      </c>
    </row>
    <row r="39">
      <c r="A39" s="16" t="n"/>
      <c r="B39" s="16" t="n"/>
      <c r="C39" s="15" t="n"/>
      <c r="D39" s="20">
        <f>IF(A39="","",IF(E39&gt;0,"offen","erledigt"))</f>
        <v/>
      </c>
    </row>
    <row r="40">
      <c r="A40" s="16" t="n"/>
      <c r="B40" s="16" t="n"/>
      <c r="C40" s="15" t="n"/>
      <c r="D40" s="20">
        <f>IF(A40="","",IF(E40&gt;0,"offen","erledigt"))</f>
        <v/>
      </c>
    </row>
    <row r="41">
      <c r="A41" s="16" t="n"/>
      <c r="B41" s="16" t="n"/>
      <c r="C41" s="15" t="n"/>
      <c r="D41" s="20">
        <f>IF(A41="","",IF(E41&gt;0,"offen","erledigt"))</f>
        <v/>
      </c>
    </row>
    <row r="42">
      <c r="A42" s="16" t="n"/>
      <c r="B42" s="16" t="n"/>
      <c r="C42" s="15" t="n"/>
      <c r="D42" s="20">
        <f>IF(A42="","",IF(E42&gt;0,"offen","erledigt"))</f>
        <v/>
      </c>
    </row>
    <row r="43">
      <c r="A43" s="16" t="n"/>
      <c r="B43" s="16" t="n"/>
      <c r="C43" s="15" t="n"/>
      <c r="D43" s="20">
        <f>IF(A43="","",IF(E43&gt;0,"offen","erledigt"))</f>
        <v/>
      </c>
    </row>
    <row r="44">
      <c r="A44" s="16" t="n"/>
      <c r="B44" s="16" t="n"/>
      <c r="C44" s="15" t="n"/>
      <c r="D44" s="20">
        <f>IF(A44="","",IF(E44&gt;0,"offen","erledigt"))</f>
        <v/>
      </c>
    </row>
    <row r="45">
      <c r="A45" s="16" t="n"/>
      <c r="B45" s="16" t="n"/>
      <c r="C45" s="15" t="n"/>
      <c r="D45" s="20">
        <f>IF(A45="","",IF(E45&gt;0,"offen","erledigt"))</f>
        <v/>
      </c>
    </row>
    <row r="46">
      <c r="A46" s="16" t="n"/>
      <c r="B46" s="16" t="n"/>
      <c r="C46" s="15" t="n"/>
      <c r="D46" s="20">
        <f>IF(A46="","",IF(E46&gt;0,"offen","erledigt"))</f>
        <v/>
      </c>
    </row>
    <row r="47">
      <c r="A47" s="16" t="n"/>
      <c r="B47" s="16" t="n"/>
      <c r="C47" s="15" t="n"/>
      <c r="D47" s="20">
        <f>IF(A47="","",IF(E47&gt;0,"offen","erledigt"))</f>
        <v/>
      </c>
    </row>
    <row r="48">
      <c r="A48" s="16" t="n"/>
      <c r="B48" s="16" t="n"/>
      <c r="C48" s="15" t="n"/>
      <c r="D48" s="20">
        <f>IF(A48="","",IF(E48&gt;0,"offen","erledigt"))</f>
        <v/>
      </c>
    </row>
    <row r="49">
      <c r="A49" s="16" t="n"/>
      <c r="B49" s="16" t="n"/>
      <c r="C49" s="15" t="n"/>
      <c r="D49" s="20">
        <f>IF(A49="","",IF(E49&gt;0,"offen","erledigt"))</f>
        <v/>
      </c>
    </row>
    <row r="50">
      <c r="A50" s="16" t="n"/>
      <c r="B50" s="16" t="n"/>
      <c r="C50" s="15" t="n"/>
      <c r="D50" s="20">
        <f>IF(A50="","",IF(E50&gt;0,"offen","erledigt"))</f>
        <v/>
      </c>
    </row>
    <row r="51">
      <c r="A51" s="16" t="n"/>
      <c r="B51" s="16" t="n"/>
      <c r="C51" s="15" t="n"/>
      <c r="D51" s="20">
        <f>IF(A51="","",IF(E51&gt;0,"offen","erledigt"))</f>
        <v/>
      </c>
    </row>
    <row r="52">
      <c r="A52" s="16" t="n"/>
      <c r="B52" s="16" t="n"/>
      <c r="C52" s="15" t="n"/>
      <c r="D52" s="20">
        <f>IF(A52="","",IF(E52&gt;0,"offen","erledigt"))</f>
        <v/>
      </c>
    </row>
    <row r="53">
      <c r="A53" s="16" t="n"/>
      <c r="B53" s="16" t="n"/>
      <c r="C53" s="15" t="n"/>
      <c r="D53" s="20">
        <f>IF(A53="","",IF(E53&gt;0,"offen","erledigt"))</f>
        <v/>
      </c>
    </row>
    <row r="54">
      <c r="A54" s="16" t="n"/>
      <c r="B54" s="16" t="n"/>
      <c r="C54" s="15" t="n"/>
      <c r="D54" s="20">
        <f>IF(A54="","",IF(E54&gt;0,"offen","erledigt"))</f>
        <v/>
      </c>
    </row>
    <row r="55">
      <c r="A55" s="16" t="n"/>
      <c r="B55" s="16" t="n"/>
      <c r="C55" s="15" t="n"/>
      <c r="D55" s="20">
        <f>IF(A55="","",IF(E55&gt;0,"offen","erledigt"))</f>
        <v/>
      </c>
    </row>
    <row r="56">
      <c r="A56" s="16" t="n"/>
      <c r="B56" s="16" t="n"/>
      <c r="C56" s="15" t="n"/>
      <c r="D56" s="20">
        <f>IF(A56="","",IF(E56&gt;0,"offen","erledigt"))</f>
        <v/>
      </c>
    </row>
    <row r="57">
      <c r="A57" s="16" t="n"/>
      <c r="B57" s="16" t="n"/>
      <c r="C57" s="15" t="n"/>
      <c r="D57" s="20">
        <f>IF(A57="","",IF(E57&gt;0,"offen","erledigt"))</f>
        <v/>
      </c>
    </row>
    <row r="58">
      <c r="A58" s="16" t="n"/>
      <c r="B58" s="16" t="n"/>
      <c r="C58" s="15" t="n"/>
      <c r="D58" s="20">
        <f>IF(A58="","",IF(E58&gt;0,"offen","erledigt"))</f>
        <v/>
      </c>
    </row>
    <row r="59">
      <c r="A59" s="16" t="n"/>
      <c r="B59" s="16" t="n"/>
      <c r="C59" s="15" t="n"/>
      <c r="D59" s="20">
        <f>IF(A59="","",IF(E59&gt;0,"offen","erledigt"))</f>
        <v/>
      </c>
    </row>
    <row r="60">
      <c r="A60" s="16" t="n"/>
      <c r="B60" s="16" t="n"/>
      <c r="C60" s="15" t="n"/>
      <c r="D60" s="20">
        <f>IF(A60="","",IF(E60&gt;0,"offen","erledigt"))</f>
        <v/>
      </c>
    </row>
    <row r="61">
      <c r="A61" s="16" t="n"/>
      <c r="B61" s="16" t="n"/>
      <c r="C61" s="15" t="n"/>
      <c r="D61" s="20">
        <f>IF(A61="","",IF(E61&gt;0,"offen","erledigt"))</f>
        <v/>
      </c>
    </row>
    <row r="62">
      <c r="A62" s="16" t="n"/>
      <c r="B62" s="16" t="n"/>
      <c r="C62" s="15" t="n"/>
      <c r="D62" s="20">
        <f>IF(A62="","",IF(E62&gt;0,"offen","erledigt"))</f>
        <v/>
      </c>
    </row>
    <row r="63">
      <c r="A63" s="16" t="n"/>
      <c r="B63" s="16" t="n"/>
      <c r="C63" s="15" t="n"/>
      <c r="D63" s="20">
        <f>IF(A63="","",IF(E63&gt;0,"offen","erledigt"))</f>
        <v/>
      </c>
    </row>
    <row r="64">
      <c r="A64" s="16" t="n"/>
      <c r="B64" s="16" t="n"/>
      <c r="C64" s="15" t="n"/>
      <c r="D64" s="20">
        <f>IF(A64="","",IF(E64&gt;0,"offen","erledigt"))</f>
        <v/>
      </c>
    </row>
    <row r="65">
      <c r="A65" s="16" t="n"/>
      <c r="B65" s="16" t="n"/>
      <c r="C65" s="15" t="n"/>
      <c r="D65" s="20">
        <f>IF(A65="","",IF(E65&gt;0,"offen","erledigt"))</f>
        <v/>
      </c>
    </row>
    <row r="66">
      <c r="A66" s="16" t="n"/>
      <c r="B66" s="16" t="n"/>
      <c r="C66" s="15" t="n"/>
      <c r="D66" s="20">
        <f>IF(A66="","",IF(E66&gt;0,"offen","erledigt"))</f>
        <v/>
      </c>
    </row>
    <row r="67">
      <c r="A67" s="16" t="n"/>
      <c r="B67" s="16" t="n"/>
      <c r="C67" s="15" t="n"/>
      <c r="D67" s="20">
        <f>IF(A67="","",IF(E67&gt;0,"offen","erledigt"))</f>
        <v/>
      </c>
    </row>
    <row r="68">
      <c r="A68" s="16" t="n"/>
      <c r="B68" s="16" t="n"/>
      <c r="C68" s="15" t="n"/>
      <c r="D68" s="20">
        <f>IF(A68="","",IF(E68&gt;0,"offen","erledigt"))</f>
        <v/>
      </c>
    </row>
    <row r="69">
      <c r="A69" s="16" t="n"/>
      <c r="B69" s="16" t="n"/>
      <c r="C69" s="15" t="n"/>
      <c r="D69" s="20">
        <f>IF(A69="","",IF(E69&gt;0,"offen","erledigt"))</f>
        <v/>
      </c>
    </row>
  </sheetData>
  <dataValidations count="1">
    <dataValidation sqref="D2:D69" showDropDown="0" showInputMessage="0" showErrorMessage="0" allowBlank="1" type="list">
      <formula1>"offen,erledigt"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智能活动预算与志愿者管理追踪器</dc:title>
  <dcterms:created xsi:type="dcterms:W3CDTF">2026-10-03T16:28:42Z</dcterms:created>
  <dcterms:modified xsi:type="dcterms:W3CDTF">2026-10-03T16:28:42Z</dcterms:modified>
</cp:coreProperties>
</file>