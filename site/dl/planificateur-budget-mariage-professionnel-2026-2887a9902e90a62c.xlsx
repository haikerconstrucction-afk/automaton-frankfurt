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Budge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'Budget'!$A$2:$A$9</f>
            </numRef>
          </cat>
          <val>
            <numRef>
              <f>'Budget'!$C$2:$C$9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" displayName="T_D_penses" ref="A1:F59" headerRowCount="1">
  <autoFilter ref="A1:F59"/>
  <tableColumns count="6">
    <tableColumn id="1" name="Date"/>
    <tableColumn id="2" name="Fournisseur"/>
    <tableColumn id="3" name="Catégorie"/>
    <tableColumn id="4" name="Montant"/>
    <tableColumn id="5" name="Statut Paiement"/>
    <tableColumn id="6" name="Échéance"/>
  </tableColumns>
  <tableStyleInfo name="TableStyleMedium7" showRowStripes="1"/>
</table>
</file>

<file path=xl/tables/table2.xml><?xml version="1.0" encoding="utf-8"?>
<table xmlns="http://schemas.openxmlformats.org/spreadsheetml/2006/main" id="2" name="T_Budget" displayName="T_Budget" ref="A1:D19" headerRowCount="1">
  <autoFilter ref="A1:D19"/>
  <tableColumns count="4">
    <tableColumn id="1" name="Catégorie"/>
    <tableColumn id="2" name="Budget Initial"/>
    <tableColumn id="3" name="Dépenses"/>
    <tableColumn id="4" name="Reste"/>
  </tableColumns>
  <tableStyleInfo name="TableStyleMedium7" showRowStripes="1"/>
</table>
</file>

<file path=xl/tables/table3.xml><?xml version="1.0" encoding="utf-8"?>
<table xmlns="http://schemas.openxmlformats.org/spreadsheetml/2006/main" id="3" name="T_Dashboard" displayName="T_Dashboard" ref="A1:B31" headerRowCount="1">
  <autoFilter ref="A1:B31"/>
  <tableColumns count="2">
    <tableColumn id="1" name="Métrique"/>
    <tableColumn id="2" name="Val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de Mariage &amp; Suivi des Dépenses - Modèle Professionnel 2026</t>
        </is>
      </c>
    </row>
    <row r="3" ht="45" customHeight="1">
      <c r="C3" s="2" t="inlineStr">
        <is>
          <t>Suivi précis de toutes les dépenses du mariage, analyse automatique par catégorie et prévision du budget restant. Conçu par des experts pour éviter les mauvaises surprises financières.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votre budget total initial</t>
        </is>
      </c>
    </row>
    <row r="7" ht="18" customHeight="1">
      <c r="B7" s="4" t="inlineStr">
        <is>
          <t>2.</t>
        </is>
      </c>
      <c r="C7" s="5" t="inlineStr">
        <is>
          <t>Ajoutez vos réservations et dépenses au fur et à mesure</t>
        </is>
      </c>
    </row>
    <row r="8" ht="18" customHeight="1">
      <c r="B8" s="4" t="inlineStr">
        <is>
          <t>3.</t>
        </is>
      </c>
      <c r="C8" s="5" t="inlineStr">
        <is>
          <t>Consultez l'analyse automatique par catégorie</t>
        </is>
      </c>
    </row>
    <row r="9" ht="18" customHeight="1">
      <c r="B9" s="4" t="inlineStr">
        <is>
          <t>4.</t>
        </is>
      </c>
      <c r="C9" s="5" t="inlineStr">
        <is>
          <t>Suivez les paiements restants avec les échéances</t>
        </is>
      </c>
    </row>
    <row r="10" ht="18" customHeight="1">
      <c r="B10" s="4" t="inlineStr">
        <is>
          <t>5.</t>
        </is>
      </c>
      <c r="C10" s="5" t="inlineStr">
        <is>
          <t>Exportez les rapports pour partager avec vos prestataires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Dépenses</t>
        </is>
      </c>
    </row>
    <row r="17">
      <c r="C17" s="7" t="inlineStr">
        <is>
          <t>→ Budget</t>
        </is>
      </c>
    </row>
    <row r="18">
      <c r="C18" s="7" t="inlineStr">
        <is>
          <t>→ Dashboard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de Mariage &amp; Suivi des Dépenses - Mo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 Initial</t>
        </is>
      </c>
      <c r="C5" s="12">
        <f>SUM(Budget!B2:B20)</f>
        <v/>
      </c>
    </row>
    <row r="6" ht="24" customHeight="1">
      <c r="B6" s="11" t="inlineStr">
        <is>
          <t>Dépenses Totales</t>
        </is>
      </c>
      <c r="C6" s="12">
        <f>SUM(Dépenses!D2:D300)</f>
        <v/>
      </c>
    </row>
    <row r="7" ht="24" customHeight="1">
      <c r="B7" s="11" t="inlineStr">
        <is>
          <t>Reste à Payer</t>
        </is>
      </c>
      <c r="C7" s="12">
        <f>SUMIF(Dépenses!E2:E300, "À payer", Dépenses!D2:D300)+SUMIF(Dépenses!E2:E300, "Acompte", Dépenses!D2:D300)*0.5</f>
        <v/>
      </c>
    </row>
    <row r="8" ht="24" customHeight="1">
      <c r="B8" s="11" t="inlineStr">
        <is>
          <t>Nombre de Prestataires</t>
        </is>
      </c>
      <c r="C8" s="13">
        <f>COUNTA(Dépenses!B2:B300)</f>
        <v/>
      </c>
    </row>
    <row r="9" ht="24" customHeight="1">
      <c r="B9" s="11" t="inlineStr">
        <is>
          <t>Dépenses Moyennes par Catégorie</t>
        </is>
      </c>
      <c r="C9" s="12">
        <f>AVERAGE(Budget!C2:C20)</f>
        <v/>
      </c>
    </row>
    <row r="10" ht="24" customHeight="1">
      <c r="B10" s="11" t="inlineStr">
        <is>
          <t>Catégorie la Plus Coûteuse</t>
        </is>
      </c>
      <c r="C10" s="14">
        <f>INDEX(Budget!A2:A20, MATCH(MAX(Budget!C2:C20), Budget!C2:C20, 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2" customWidth="1" min="4" max="4"/>
    <col width="18" customWidth="1" min="5" max="5"/>
    <col width="13" customWidth="1" min="6" max="6"/>
  </cols>
  <sheetData>
    <row r="1" ht="32" customHeight="1">
      <c r="A1" s="15" t="inlineStr">
        <is>
          <t>Date</t>
        </is>
      </c>
      <c r="B1" s="15" t="inlineStr">
        <is>
          <t>Fournisseur</t>
        </is>
      </c>
      <c r="C1" s="15" t="inlineStr">
        <is>
          <t>Catégorie</t>
        </is>
      </c>
      <c r="D1" s="15" t="inlineStr">
        <is>
          <t>Montant</t>
        </is>
      </c>
      <c r="E1" s="15" t="inlineStr">
        <is>
          <t>Statut Paiement</t>
        </is>
      </c>
      <c r="F1" s="15" t="inlineStr">
        <is>
          <t>Échéance</t>
        </is>
      </c>
    </row>
    <row r="2">
      <c r="A2" s="16" t="n">
        <v>46096</v>
      </c>
      <c r="B2" s="17" t="inlineStr">
        <is>
          <t>Fleuriste Douceur</t>
        </is>
      </c>
      <c r="C2" s="17" t="inlineStr">
        <is>
          <t>Fleurs</t>
        </is>
      </c>
      <c r="D2" s="18" t="n">
        <v>850</v>
      </c>
      <c r="E2" s="17" t="inlineStr">
        <is>
          <t>Payé</t>
        </is>
      </c>
      <c r="F2" s="16" t="n">
        <v>46091</v>
      </c>
    </row>
    <row r="3">
      <c r="A3" s="16" t="n">
        <v>46114</v>
      </c>
      <c r="B3" s="17" t="inlineStr">
        <is>
          <t>Traiteur Élégance</t>
        </is>
      </c>
      <c r="C3" s="17" t="inlineStr">
        <is>
          <t>Nourriture</t>
        </is>
      </c>
      <c r="D3" s="18" t="n">
        <v>3200</v>
      </c>
      <c r="E3" s="17" t="inlineStr">
        <is>
          <t>Acompte</t>
        </is>
      </c>
      <c r="F3" s="16" t="n">
        <v>46157</v>
      </c>
    </row>
    <row r="4">
      <c r="A4" s="16" t="n">
        <v>46081</v>
      </c>
      <c r="B4" s="17" t="inlineStr">
        <is>
          <t>Salle Belle Vue</t>
        </is>
      </c>
      <c r="C4" s="17" t="inlineStr">
        <is>
          <t>Location</t>
        </is>
      </c>
      <c r="D4" s="18" t="n">
        <v>2500</v>
      </c>
      <c r="E4" s="17" t="inlineStr">
        <is>
          <t>Payé</t>
        </is>
      </c>
      <c r="F4" s="16" t="n">
        <v>46081</v>
      </c>
    </row>
    <row r="5">
      <c r="A5" s="16" t="n">
        <v>46122</v>
      </c>
      <c r="B5" s="17" t="inlineStr">
        <is>
          <t>Photographie Lumière</t>
        </is>
      </c>
      <c r="C5" s="17" t="inlineStr">
        <is>
          <t>Photos</t>
        </is>
      </c>
      <c r="D5" s="18" t="n">
        <v>1800</v>
      </c>
      <c r="E5" s="17" t="inlineStr">
        <is>
          <t>À payer</t>
        </is>
      </c>
      <c r="F5" s="16" t="n">
        <v>46162</v>
      </c>
    </row>
    <row r="6">
      <c r="A6" s="16" t="n">
        <v>46103</v>
      </c>
      <c r="B6" s="17" t="inlineStr">
        <is>
          <t>DJ Harmonie</t>
        </is>
      </c>
      <c r="C6" s="17" t="inlineStr">
        <is>
          <t>Musique</t>
        </is>
      </c>
      <c r="D6" s="18" t="n">
        <v>900</v>
      </c>
      <c r="E6" s="17" t="inlineStr">
        <is>
          <t>Acompte</t>
        </is>
      </c>
      <c r="F6" s="16" t="n">
        <v>46174</v>
      </c>
    </row>
    <row r="7">
      <c r="A7" s="16" t="n">
        <v>46068</v>
      </c>
      <c r="B7" s="17" t="inlineStr">
        <is>
          <t>Robes Étoile</t>
        </is>
      </c>
      <c r="C7" s="17" t="inlineStr">
        <is>
          <t>Tenues</t>
        </is>
      </c>
      <c r="D7" s="18" t="n">
        <v>1200</v>
      </c>
      <c r="E7" s="17" t="inlineStr">
        <is>
          <t>Payé</t>
        </is>
      </c>
      <c r="F7" s="16" t="n">
        <v>46068</v>
      </c>
    </row>
    <row r="8">
      <c r="A8" s="16" t="n">
        <v>46086</v>
      </c>
      <c r="B8" s="17" t="inlineStr">
        <is>
          <t>Transport Luxe</t>
        </is>
      </c>
      <c r="C8" s="17" t="inlineStr">
        <is>
          <t>Logistique</t>
        </is>
      </c>
      <c r="D8" s="18" t="n">
        <v>600</v>
      </c>
      <c r="E8" s="17" t="inlineStr">
        <is>
          <t>À payer</t>
        </is>
      </c>
      <c r="F8" s="16" t="n">
        <v>46167</v>
      </c>
    </row>
    <row r="9">
      <c r="A9" s="16" t="n">
        <v>46130</v>
      </c>
      <c r="B9" s="17" t="inlineStr">
        <is>
          <t>Décors Féerique</t>
        </is>
      </c>
      <c r="C9" s="17" t="inlineStr">
        <is>
          <t>Décoration</t>
        </is>
      </c>
      <c r="D9" s="18" t="n">
        <v>750</v>
      </c>
      <c r="E9" s="17" t="inlineStr">
        <is>
          <t>Acompte</t>
        </is>
      </c>
      <c r="F9" s="16" t="n">
        <v>46152</v>
      </c>
    </row>
    <row r="10">
      <c r="A10" s="16" t="n"/>
      <c r="B10" s="17" t="n"/>
      <c r="C10" s="17" t="n"/>
      <c r="D10" s="18" t="n"/>
      <c r="E10" s="17" t="n"/>
      <c r="F10" s="16" t="n"/>
    </row>
    <row r="11">
      <c r="A11" s="16" t="n"/>
      <c r="B11" s="17" t="n"/>
      <c r="C11" s="17" t="n"/>
      <c r="D11" s="18" t="n"/>
      <c r="E11" s="17" t="n"/>
      <c r="F11" s="16" t="n"/>
    </row>
    <row r="12">
      <c r="A12" s="16" t="n"/>
      <c r="B12" s="17" t="n"/>
      <c r="C12" s="17" t="n"/>
      <c r="D12" s="18" t="n"/>
      <c r="E12" s="17" t="n"/>
      <c r="F12" s="16" t="n"/>
    </row>
    <row r="13">
      <c r="A13" s="16" t="n"/>
      <c r="B13" s="17" t="n"/>
      <c r="C13" s="17" t="n"/>
      <c r="D13" s="18" t="n"/>
      <c r="E13" s="17" t="n"/>
      <c r="F13" s="16" t="n"/>
    </row>
    <row r="14">
      <c r="A14" s="16" t="n"/>
      <c r="B14" s="17" t="n"/>
      <c r="C14" s="17" t="n"/>
      <c r="D14" s="18" t="n"/>
      <c r="E14" s="17" t="n"/>
      <c r="F14" s="16" t="n"/>
    </row>
    <row r="15">
      <c r="A15" s="16" t="n"/>
      <c r="B15" s="17" t="n"/>
      <c r="C15" s="17" t="n"/>
      <c r="D15" s="18" t="n"/>
      <c r="E15" s="17" t="n"/>
      <c r="F15" s="16" t="n"/>
    </row>
    <row r="16">
      <c r="A16" s="16" t="n"/>
      <c r="B16" s="17" t="n"/>
      <c r="C16" s="17" t="n"/>
      <c r="D16" s="18" t="n"/>
      <c r="E16" s="17" t="n"/>
      <c r="F16" s="16" t="n"/>
    </row>
    <row r="17">
      <c r="A17" s="16" t="n"/>
      <c r="B17" s="17" t="n"/>
      <c r="C17" s="17" t="n"/>
      <c r="D17" s="18" t="n"/>
      <c r="E17" s="17" t="n"/>
      <c r="F17" s="16" t="n"/>
    </row>
    <row r="18">
      <c r="A18" s="16" t="n"/>
      <c r="B18" s="17" t="n"/>
      <c r="C18" s="17" t="n"/>
      <c r="D18" s="18" t="n"/>
      <c r="E18" s="17" t="n"/>
      <c r="F18" s="16" t="n"/>
    </row>
    <row r="19">
      <c r="A19" s="16" t="n"/>
      <c r="B19" s="17" t="n"/>
      <c r="C19" s="17" t="n"/>
      <c r="D19" s="18" t="n"/>
      <c r="E19" s="17" t="n"/>
      <c r="F19" s="16" t="n"/>
    </row>
    <row r="20">
      <c r="A20" s="16" t="n"/>
      <c r="B20" s="17" t="n"/>
      <c r="C20" s="17" t="n"/>
      <c r="D20" s="18" t="n"/>
      <c r="E20" s="17" t="n"/>
      <c r="F20" s="16" t="n"/>
    </row>
    <row r="21">
      <c r="A21" s="16" t="n"/>
      <c r="B21" s="17" t="n"/>
      <c r="C21" s="17" t="n"/>
      <c r="D21" s="18" t="n"/>
      <c r="E21" s="17" t="n"/>
      <c r="F21" s="16" t="n"/>
    </row>
    <row r="22">
      <c r="A22" s="16" t="n"/>
      <c r="B22" s="17" t="n"/>
      <c r="C22" s="17" t="n"/>
      <c r="D22" s="18" t="n"/>
      <c r="E22" s="17" t="n"/>
      <c r="F22" s="16" t="n"/>
    </row>
    <row r="23">
      <c r="A23" s="16" t="n"/>
      <c r="B23" s="17" t="n"/>
      <c r="C23" s="17" t="n"/>
      <c r="D23" s="18" t="n"/>
      <c r="E23" s="17" t="n"/>
      <c r="F23" s="16" t="n"/>
    </row>
    <row r="24">
      <c r="A24" s="16" t="n"/>
      <c r="B24" s="17" t="n"/>
      <c r="C24" s="17" t="n"/>
      <c r="D24" s="18" t="n"/>
      <c r="E24" s="17" t="n"/>
      <c r="F24" s="16" t="n"/>
    </row>
    <row r="25">
      <c r="A25" s="16" t="n"/>
      <c r="B25" s="17" t="n"/>
      <c r="C25" s="17" t="n"/>
      <c r="D25" s="18" t="n"/>
      <c r="E25" s="17" t="n"/>
      <c r="F25" s="16" t="n"/>
    </row>
    <row r="26">
      <c r="A26" s="16" t="n"/>
      <c r="B26" s="17" t="n"/>
      <c r="C26" s="17" t="n"/>
      <c r="D26" s="18" t="n"/>
      <c r="E26" s="17" t="n"/>
      <c r="F26" s="16" t="n"/>
    </row>
    <row r="27">
      <c r="A27" s="16" t="n"/>
      <c r="B27" s="17" t="n"/>
      <c r="C27" s="17" t="n"/>
      <c r="D27" s="18" t="n"/>
      <c r="E27" s="17" t="n"/>
      <c r="F27" s="16" t="n"/>
    </row>
    <row r="28">
      <c r="A28" s="16" t="n"/>
      <c r="B28" s="17" t="n"/>
      <c r="C28" s="17" t="n"/>
      <c r="D28" s="18" t="n"/>
      <c r="E28" s="17" t="n"/>
      <c r="F28" s="16" t="n"/>
    </row>
    <row r="29">
      <c r="A29" s="16" t="n"/>
      <c r="B29" s="17" t="n"/>
      <c r="C29" s="17" t="n"/>
      <c r="D29" s="18" t="n"/>
      <c r="E29" s="17" t="n"/>
      <c r="F29" s="16" t="n"/>
    </row>
    <row r="30">
      <c r="A30" s="16" t="n"/>
      <c r="B30" s="17" t="n"/>
      <c r="C30" s="17" t="n"/>
      <c r="D30" s="18" t="n"/>
      <c r="E30" s="17" t="n"/>
      <c r="F30" s="16" t="n"/>
    </row>
    <row r="31">
      <c r="A31" s="16" t="n"/>
      <c r="B31" s="17" t="n"/>
      <c r="C31" s="17" t="n"/>
      <c r="D31" s="18" t="n"/>
      <c r="E31" s="17" t="n"/>
      <c r="F31" s="16" t="n"/>
    </row>
    <row r="32">
      <c r="A32" s="16" t="n"/>
      <c r="B32" s="17" t="n"/>
      <c r="C32" s="17" t="n"/>
      <c r="D32" s="18" t="n"/>
      <c r="E32" s="17" t="n"/>
      <c r="F32" s="16" t="n"/>
    </row>
    <row r="33">
      <c r="A33" s="16" t="n"/>
      <c r="B33" s="17" t="n"/>
      <c r="C33" s="17" t="n"/>
      <c r="D33" s="18" t="n"/>
      <c r="E33" s="17" t="n"/>
      <c r="F33" s="16" t="n"/>
    </row>
    <row r="34">
      <c r="A34" s="16" t="n"/>
      <c r="B34" s="17" t="n"/>
      <c r="C34" s="17" t="n"/>
      <c r="D34" s="18" t="n"/>
      <c r="E34" s="17" t="n"/>
      <c r="F34" s="16" t="n"/>
    </row>
    <row r="35">
      <c r="A35" s="16" t="n"/>
      <c r="B35" s="17" t="n"/>
      <c r="C35" s="17" t="n"/>
      <c r="D35" s="18" t="n"/>
      <c r="E35" s="17" t="n"/>
      <c r="F35" s="16" t="n"/>
    </row>
    <row r="36">
      <c r="A36" s="16" t="n"/>
      <c r="B36" s="17" t="n"/>
      <c r="C36" s="17" t="n"/>
      <c r="D36" s="18" t="n"/>
      <c r="E36" s="17" t="n"/>
      <c r="F36" s="16" t="n"/>
    </row>
    <row r="37">
      <c r="A37" s="16" t="n"/>
      <c r="B37" s="17" t="n"/>
      <c r="C37" s="17" t="n"/>
      <c r="D37" s="18" t="n"/>
      <c r="E37" s="17" t="n"/>
      <c r="F37" s="16" t="n"/>
    </row>
    <row r="38">
      <c r="A38" s="16" t="n"/>
      <c r="B38" s="17" t="n"/>
      <c r="C38" s="17" t="n"/>
      <c r="D38" s="18" t="n"/>
      <c r="E38" s="17" t="n"/>
      <c r="F38" s="16" t="n"/>
    </row>
    <row r="39">
      <c r="A39" s="16" t="n"/>
      <c r="B39" s="17" t="n"/>
      <c r="C39" s="17" t="n"/>
      <c r="D39" s="18" t="n"/>
      <c r="E39" s="17" t="n"/>
      <c r="F39" s="16" t="n"/>
    </row>
    <row r="40">
      <c r="A40" s="16" t="n"/>
      <c r="B40" s="17" t="n"/>
      <c r="C40" s="17" t="n"/>
      <c r="D40" s="18" t="n"/>
      <c r="E40" s="17" t="n"/>
      <c r="F40" s="16" t="n"/>
    </row>
    <row r="41">
      <c r="A41" s="16" t="n"/>
      <c r="B41" s="17" t="n"/>
      <c r="C41" s="17" t="n"/>
      <c r="D41" s="18" t="n"/>
      <c r="E41" s="17" t="n"/>
      <c r="F41" s="16" t="n"/>
    </row>
    <row r="42">
      <c r="A42" s="16" t="n"/>
      <c r="B42" s="17" t="n"/>
      <c r="C42" s="17" t="n"/>
      <c r="D42" s="18" t="n"/>
      <c r="E42" s="17" t="n"/>
      <c r="F42" s="16" t="n"/>
    </row>
    <row r="43">
      <c r="A43" s="16" t="n"/>
      <c r="B43" s="17" t="n"/>
      <c r="C43" s="17" t="n"/>
      <c r="D43" s="18" t="n"/>
      <c r="E43" s="17" t="n"/>
      <c r="F43" s="16" t="n"/>
    </row>
    <row r="44">
      <c r="A44" s="16" t="n"/>
      <c r="B44" s="17" t="n"/>
      <c r="C44" s="17" t="n"/>
      <c r="D44" s="18" t="n"/>
      <c r="E44" s="17" t="n"/>
      <c r="F44" s="16" t="n"/>
    </row>
    <row r="45">
      <c r="A45" s="16" t="n"/>
      <c r="B45" s="17" t="n"/>
      <c r="C45" s="17" t="n"/>
      <c r="D45" s="18" t="n"/>
      <c r="E45" s="17" t="n"/>
      <c r="F45" s="16" t="n"/>
    </row>
    <row r="46">
      <c r="A46" s="16" t="n"/>
      <c r="B46" s="17" t="n"/>
      <c r="C46" s="17" t="n"/>
      <c r="D46" s="18" t="n"/>
      <c r="E46" s="17" t="n"/>
      <c r="F46" s="16" t="n"/>
    </row>
    <row r="47">
      <c r="A47" s="16" t="n"/>
      <c r="B47" s="17" t="n"/>
      <c r="C47" s="17" t="n"/>
      <c r="D47" s="18" t="n"/>
      <c r="E47" s="17" t="n"/>
      <c r="F47" s="16" t="n"/>
    </row>
    <row r="48">
      <c r="A48" s="16" t="n"/>
      <c r="B48" s="17" t="n"/>
      <c r="C48" s="17" t="n"/>
      <c r="D48" s="18" t="n"/>
      <c r="E48" s="17" t="n"/>
      <c r="F48" s="16" t="n"/>
    </row>
    <row r="49">
      <c r="A49" s="16" t="n"/>
      <c r="B49" s="17" t="n"/>
      <c r="C49" s="17" t="n"/>
      <c r="D49" s="18" t="n"/>
      <c r="E49" s="17" t="n"/>
      <c r="F49" s="16" t="n"/>
    </row>
    <row r="50">
      <c r="A50" s="16" t="n"/>
      <c r="B50" s="17" t="n"/>
      <c r="C50" s="17" t="n"/>
      <c r="D50" s="18" t="n"/>
      <c r="E50" s="17" t="n"/>
      <c r="F50" s="16" t="n"/>
    </row>
    <row r="51">
      <c r="A51" s="16" t="n"/>
      <c r="B51" s="17" t="n"/>
      <c r="C51" s="17" t="n"/>
      <c r="D51" s="18" t="n"/>
      <c r="E51" s="17" t="n"/>
      <c r="F51" s="16" t="n"/>
    </row>
    <row r="52">
      <c r="A52" s="16" t="n"/>
      <c r="B52" s="17" t="n"/>
      <c r="C52" s="17" t="n"/>
      <c r="D52" s="18" t="n"/>
      <c r="E52" s="17" t="n"/>
      <c r="F52" s="16" t="n"/>
    </row>
    <row r="53">
      <c r="A53" s="16" t="n"/>
      <c r="B53" s="17" t="n"/>
      <c r="C53" s="17" t="n"/>
      <c r="D53" s="18" t="n"/>
      <c r="E53" s="17" t="n"/>
      <c r="F53" s="16" t="n"/>
    </row>
    <row r="54">
      <c r="A54" s="16" t="n"/>
      <c r="B54" s="17" t="n"/>
      <c r="C54" s="17" t="n"/>
      <c r="D54" s="18" t="n"/>
      <c r="E54" s="17" t="n"/>
      <c r="F54" s="16" t="n"/>
    </row>
    <row r="55">
      <c r="A55" s="16" t="n"/>
      <c r="B55" s="17" t="n"/>
      <c r="C55" s="17" t="n"/>
      <c r="D55" s="18" t="n"/>
      <c r="E55" s="17" t="n"/>
      <c r="F55" s="16" t="n"/>
    </row>
    <row r="56">
      <c r="A56" s="16" t="n"/>
      <c r="B56" s="17" t="n"/>
      <c r="C56" s="17" t="n"/>
      <c r="D56" s="18" t="n"/>
      <c r="E56" s="17" t="n"/>
      <c r="F56" s="16" t="n"/>
    </row>
    <row r="57">
      <c r="A57" s="16" t="n"/>
      <c r="B57" s="17" t="n"/>
      <c r="C57" s="17" t="n"/>
      <c r="D57" s="18" t="n"/>
      <c r="E57" s="17" t="n"/>
      <c r="F57" s="16" t="n"/>
    </row>
    <row r="58">
      <c r="A58" s="16" t="n"/>
      <c r="B58" s="17" t="n"/>
      <c r="C58" s="17" t="n"/>
      <c r="D58" s="18" t="n"/>
      <c r="E58" s="17" t="n"/>
      <c r="F58" s="16" t="n"/>
    </row>
    <row r="59">
      <c r="A59" s="16" t="n"/>
      <c r="B59" s="17" t="n"/>
      <c r="C59" s="17" t="n"/>
      <c r="D59" s="18" t="n"/>
      <c r="E59" s="17" t="n"/>
      <c r="F59" s="16" t="n"/>
    </row>
  </sheetData>
  <conditionalFormatting sqref="D2:D59">
    <cfRule type="cellIs" priority="1" operator="lessThan" dxfId="0">
      <formula>0</formula>
    </cfRule>
  </conditionalFormatting>
  <dataValidations count="2">
    <dataValidation sqref="C2:C59" showDropDown="0" showInputMessage="0" showErrorMessage="0" allowBlank="1" type="list">
      <formula1>"Fleurs,Nourriture,Location,Photos,Musique,Tenues,Logistique,Décoration,Autre"</formula1>
    </dataValidation>
    <dataValidation sqref="E2:E59" showDropDown="0" showInputMessage="0" showErrorMessage="0" allowBlank="1" type="list">
      <formula1>"À payer,Acompte,Payé"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0" customWidth="1" min="3" max="3"/>
    <col width="25" customWidth="1" min="4" max="4"/>
  </cols>
  <sheetData>
    <row r="1" ht="32" customHeight="1">
      <c r="A1" s="15" t="inlineStr">
        <is>
          <t>Catégorie</t>
        </is>
      </c>
      <c r="B1" s="15" t="inlineStr">
        <is>
          <t>Budget Initial</t>
        </is>
      </c>
      <c r="C1" s="15" t="inlineStr">
        <is>
          <t>Dépenses</t>
        </is>
      </c>
      <c r="D1" s="15" t="inlineStr">
        <is>
          <t>Reste</t>
        </is>
      </c>
    </row>
    <row r="2">
      <c r="A2" s="17" t="inlineStr">
        <is>
          <t>Fleurs</t>
        </is>
      </c>
      <c r="B2" s="18" t="n">
        <v>1000</v>
      </c>
      <c r="C2" s="19">
        <f>SUMIF(Dépenses!C2:C100, A2, Dépenses!D2:D100)</f>
        <v/>
      </c>
      <c r="D2" s="19">
        <f>B2-C2</f>
        <v/>
      </c>
    </row>
    <row r="3">
      <c r="A3" s="17" t="inlineStr">
        <is>
          <t>Nourriture</t>
        </is>
      </c>
      <c r="B3" s="18" t="n">
        <v>3500</v>
      </c>
      <c r="C3" s="19">
        <f>SUMIF(Dépenses!C2:C100, A3, Dépenses!D2:D100)</f>
        <v/>
      </c>
      <c r="D3" s="19">
        <f>B3-C3</f>
        <v/>
      </c>
    </row>
    <row r="4">
      <c r="A4" s="17" t="inlineStr">
        <is>
          <t>Location</t>
        </is>
      </c>
      <c r="B4" s="18" t="n">
        <v>2500</v>
      </c>
      <c r="C4" s="19">
        <f>SUMIF(Dépenses!C2:C100, A4, Dépenses!D2:D100)</f>
        <v/>
      </c>
      <c r="D4" s="19">
        <f>B4-C4</f>
        <v/>
      </c>
    </row>
    <row r="5">
      <c r="A5" s="17" t="inlineStr">
        <is>
          <t>Photos</t>
        </is>
      </c>
      <c r="B5" s="18" t="n">
        <v>2000</v>
      </c>
      <c r="C5" s="19">
        <f>SUMIF(Dépenses!C2:C100, A5, Dépenses!D2:D100)</f>
        <v/>
      </c>
      <c r="D5" s="19">
        <f>B5-C5</f>
        <v/>
      </c>
    </row>
    <row r="6">
      <c r="A6" s="17" t="inlineStr">
        <is>
          <t>Musique</t>
        </is>
      </c>
      <c r="B6" s="18" t="n">
        <v>1000</v>
      </c>
      <c r="C6" s="19">
        <f>SUMIF(Dépenses!C2:C100, A6, Dépenses!D2:D100)</f>
        <v/>
      </c>
      <c r="D6" s="19">
        <f>B6-C6</f>
        <v/>
      </c>
    </row>
    <row r="7">
      <c r="A7" s="17" t="inlineStr">
        <is>
          <t>Tenues</t>
        </is>
      </c>
      <c r="B7" s="18" t="n">
        <v>1500</v>
      </c>
      <c r="C7" s="19">
        <f>SUMIF(Dépenses!C2:C100, A7, Dépenses!D2:D100)</f>
        <v/>
      </c>
      <c r="D7" s="19">
        <f>B7-C7</f>
        <v/>
      </c>
    </row>
    <row r="8">
      <c r="A8" s="17" t="inlineStr">
        <is>
          <t>Logistique</t>
        </is>
      </c>
      <c r="B8" s="18" t="n">
        <v>800</v>
      </c>
      <c r="C8" s="19">
        <f>SUMIF(Dépenses!C2:C100, A8, Dépenses!D2:D100)</f>
        <v/>
      </c>
      <c r="D8" s="19">
        <f>B8-C8</f>
        <v/>
      </c>
    </row>
    <row r="9">
      <c r="A9" s="17" t="inlineStr">
        <is>
          <t>Décoration</t>
        </is>
      </c>
      <c r="B9" s="18" t="n">
        <v>1000</v>
      </c>
      <c r="C9" s="19">
        <f>SUMIF(Dépenses!C2:C100, A9, Dépenses!D2:D100)</f>
        <v/>
      </c>
      <c r="D9" s="19">
        <f>B9-C9</f>
        <v/>
      </c>
    </row>
    <row r="10">
      <c r="A10" s="17" t="n"/>
      <c r="B10" s="18" t="n"/>
      <c r="C10" s="19">
        <f>IF(A10="","",SUMIF(Dépenses!C2:C100, A10, Dépenses!D2:D100))</f>
        <v/>
      </c>
      <c r="D10" s="19">
        <f>IF(A10="","",B10-C10)</f>
        <v/>
      </c>
    </row>
    <row r="11">
      <c r="A11" s="17" t="n"/>
      <c r="B11" s="18" t="n"/>
      <c r="C11" s="19">
        <f>IF(A11="","",SUMIF(Dépenses!C2:C100, A11, Dépenses!D2:D100))</f>
        <v/>
      </c>
      <c r="D11" s="19">
        <f>IF(A11="","",B11-C11)</f>
        <v/>
      </c>
    </row>
    <row r="12">
      <c r="A12" s="17" t="n"/>
      <c r="B12" s="18" t="n"/>
      <c r="C12" s="19">
        <f>IF(A12="","",SUMIF(Dépenses!C2:C100, A12, Dépenses!D2:D100))</f>
        <v/>
      </c>
      <c r="D12" s="19">
        <f>IF(A12="","",B12-C12)</f>
        <v/>
      </c>
    </row>
    <row r="13">
      <c r="A13" s="17" t="n"/>
      <c r="B13" s="18" t="n"/>
      <c r="C13" s="19">
        <f>IF(A13="","",SUMIF(Dépenses!C2:C100, A13, Dépenses!D2:D100))</f>
        <v/>
      </c>
      <c r="D13" s="19">
        <f>IF(A13="","",B13-C13)</f>
        <v/>
      </c>
    </row>
    <row r="14">
      <c r="A14" s="17" t="n"/>
      <c r="B14" s="18" t="n"/>
      <c r="C14" s="19">
        <f>IF(A14="","",SUMIF(Dépenses!C2:C100, A14, Dépenses!D2:D100))</f>
        <v/>
      </c>
      <c r="D14" s="19">
        <f>IF(A14="","",B14-C14)</f>
        <v/>
      </c>
    </row>
    <row r="15">
      <c r="A15" s="17" t="n"/>
      <c r="B15" s="18" t="n"/>
      <c r="C15" s="19">
        <f>IF(A15="","",SUMIF(Dépenses!C2:C100, A15, Dépenses!D2:D100))</f>
        <v/>
      </c>
      <c r="D15" s="19">
        <f>IF(A15="","",B15-C15)</f>
        <v/>
      </c>
    </row>
    <row r="16">
      <c r="A16" s="17" t="n"/>
      <c r="B16" s="18" t="n"/>
      <c r="C16" s="19">
        <f>IF(A16="","",SUMIF(Dépenses!C2:C100, A16, Dépenses!D2:D100))</f>
        <v/>
      </c>
      <c r="D16" s="19">
        <f>IF(A16="","",B16-C16)</f>
        <v/>
      </c>
    </row>
    <row r="17">
      <c r="A17" s="17" t="n"/>
      <c r="B17" s="18" t="n"/>
      <c r="C17" s="19">
        <f>IF(A17="","",SUMIF(Dépenses!C2:C100, A17, Dépenses!D2:D100))</f>
        <v/>
      </c>
      <c r="D17" s="19">
        <f>IF(A17="","",B17-C17)</f>
        <v/>
      </c>
    </row>
    <row r="18">
      <c r="A18" s="17" t="n"/>
      <c r="B18" s="18" t="n"/>
      <c r="C18" s="19">
        <f>IF(A18="","",SUMIF(Dépenses!C2:C100, A18, Dépenses!D2:D100))</f>
        <v/>
      </c>
      <c r="D18" s="19">
        <f>IF(A18="","",B18-C18)</f>
        <v/>
      </c>
    </row>
    <row r="19">
      <c r="A19" s="17" t="n"/>
      <c r="B19" s="18" t="n"/>
      <c r="C19" s="19">
        <f>IF(A19="","",SUMIF(Dépenses!C2:C100, A19, Dépenses!D2:D100))</f>
        <v/>
      </c>
      <c r="D19" s="19">
        <f>IF(A19="","",B19-C19)</f>
        <v/>
      </c>
    </row>
  </sheetData>
  <conditionalFormatting sqref="B2:B19">
    <cfRule type="cellIs" priority="1" operator="lessThan" dxfId="0">
      <formula>0</formula>
    </cfRule>
  </conditionalFormatting>
  <conditionalFormatting sqref="C2:C19">
    <cfRule type="cellIs" priority="2" operator="lessThan" dxfId="0">
      <formula>0</formula>
    </cfRule>
  </conditionalFormatting>
  <conditionalFormatting sqref="D2:D19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Métrique</t>
        </is>
      </c>
      <c r="B1" s="15" t="inlineStr">
        <is>
          <t>Valeur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  <row r="14">
      <c r="A14" s="17" t="n"/>
      <c r="B14" s="17" t="n"/>
    </row>
    <row r="15">
      <c r="A15" s="17" t="n"/>
      <c r="B15" s="17" t="n"/>
    </row>
    <row r="16">
      <c r="A16" s="17" t="n"/>
      <c r="B16" s="17" t="n"/>
    </row>
    <row r="17">
      <c r="A17" s="17" t="n"/>
      <c r="B17" s="17" t="n"/>
    </row>
    <row r="18">
      <c r="A18" s="17" t="n"/>
      <c r="B18" s="17" t="n"/>
    </row>
    <row r="19">
      <c r="A19" s="17" t="n"/>
      <c r="B19" s="17" t="n"/>
    </row>
    <row r="20">
      <c r="A20" s="17" t="n"/>
      <c r="B20" s="17" t="n"/>
    </row>
    <row r="21">
      <c r="A21" s="17" t="n"/>
      <c r="B21" s="17" t="n"/>
    </row>
    <row r="22">
      <c r="A22" s="17" t="n"/>
      <c r="B22" s="17" t="n"/>
    </row>
    <row r="23">
      <c r="A23" s="17" t="n"/>
      <c r="B23" s="17" t="n"/>
    </row>
    <row r="24">
      <c r="A24" s="17" t="n"/>
      <c r="B24" s="17" t="n"/>
    </row>
    <row r="25">
      <c r="A25" s="17" t="n"/>
      <c r="B25" s="17" t="n"/>
    </row>
    <row r="26">
      <c r="A26" s="17" t="n"/>
      <c r="B26" s="17" t="n"/>
    </row>
    <row r="27">
      <c r="A27" s="17" t="n"/>
      <c r="B27" s="17" t="n"/>
    </row>
    <row r="28">
      <c r="A28" s="17" t="n"/>
      <c r="B28" s="17" t="n"/>
    </row>
    <row r="29">
      <c r="A29" s="17" t="n"/>
      <c r="B29" s="17" t="n"/>
    </row>
    <row r="30">
      <c r="A30" s="17" t="n"/>
      <c r="B30" s="17" t="n"/>
    </row>
    <row r="31">
      <c r="A31" s="17" t="n"/>
      <c r="B31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de Mariage &amp; Suivi des Dépenses - Modèle Professionnel 2026</dc:title>
  <dcterms:created xsi:type="dcterms:W3CDTF">2026-09-29T23:50:12Z</dcterms:created>
  <dcterms:modified xsi:type="dcterms:W3CDTF">2026-09-29T23:50:12Z</dcterms:modified>
</cp:coreProperties>
</file>