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Workouts" sheetId="3" state="visible" r:id="rId3"/>
    <sheet name="Nutr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0.0%"/>
    <numFmt numFmtId="168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  <xf numFmtId="166" fontId="0" fillId="0" borderId="1" pivotButton="0" quotePrefix="0" xfId="0"/>
    <xf numFmtId="168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Most Frequent Exercises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'Workouts'!F1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'Workouts'!$C$2:$C$4</f>
            </numRef>
          </cat>
          <val>
            <numRef>
              <f>'Workouts'!$F$2:$F$4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Workouts_2681" displayName="T_Workouts_2681" ref="A1:G104" headerRowCount="1">
  <autoFilter ref="A1:G104"/>
  <tableColumns count="7">
    <tableColumn id="1" name="Date"/>
    <tableColumn id="2" name="Member"/>
    <tableColumn id="3" name="Exercise"/>
    <tableColumn id="4" name="Sets"/>
    <tableColumn id="5" name="Reps"/>
    <tableColumn id="6" name="Weight (kg)"/>
    <tableColumn id="7" name="Difficulty"/>
  </tableColumns>
  <tableStyleInfo name="TableStyleMedium7" showRowStripes="1"/>
</table>
</file>

<file path=xl/tables/table2.xml><?xml version="1.0" encoding="utf-8"?>
<table xmlns="http://schemas.openxmlformats.org/spreadsheetml/2006/main" id="2" name="T_Nutrition_3884" displayName="T_Nutrition_3884" ref="A1:F103" headerRowCount="1">
  <autoFilter ref="A1:F103"/>
  <tableColumns count="6">
    <tableColumn id="1" name="Date"/>
    <tableColumn id="2" name="Meal"/>
    <tableColumn id="3" name="Calories"/>
    <tableColumn id="4" name="Protein"/>
    <tableColumn id="5" name="Carbs"/>
    <tableColumn id="6" name="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Workouts'!A1" TargetMode="External" Id="rId2" /><Relationship Type="http://schemas.openxmlformats.org/officeDocument/2006/relationships/hyperlink" Target="#'Nutritio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Family Fitness Progress Tracker &amp; Meal Planner</t>
        </is>
      </c>
    </row>
    <row r="3" ht="45" customHeight="1">
      <c r="C3" s="2" t="inlineStr">
        <is>
          <t>Track workouts and meal plans in one place with automated progress charts and nutrition KPIs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weekly workout routines for each family member</t>
        </is>
      </c>
    </row>
    <row r="7" ht="18" customHeight="1">
      <c r="B7" s="4" t="inlineStr">
        <is>
          <t>2.</t>
        </is>
      </c>
      <c r="C7" s="5" t="inlineStr">
        <is>
          <t>Log daily meals with nutrition facts</t>
        </is>
      </c>
    </row>
    <row r="8" ht="18" customHeight="1">
      <c r="B8" s="4" t="inlineStr">
        <is>
          <t>3.</t>
        </is>
      </c>
      <c r="C8" s="5" t="inlineStr">
        <is>
          <t>Track body measurements monthly</t>
        </is>
      </c>
    </row>
    <row r="9" ht="18" customHeight="1">
      <c r="B9" s="4" t="inlineStr">
        <is>
          <t>4.</t>
        </is>
      </c>
      <c r="C9" s="5" t="inlineStr">
        <is>
          <t>Review progress charts and nutrition stats</t>
        </is>
      </c>
    </row>
    <row r="10" ht="18" customHeight="1">
      <c r="B10" s="4" t="inlineStr">
        <is>
          <t>5.</t>
        </is>
      </c>
      <c r="C10" s="5" t="inlineStr">
        <is>
          <t>Adjust plans based on dashboard insights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Workouts</t>
        </is>
      </c>
    </row>
    <row r="17">
      <c r="C17" s="7" t="inlineStr">
        <is>
          <t>→ Nutrition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Family Fitness Progress Tracker &amp; Meal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Workouts</t>
        </is>
      </c>
      <c r="C5" s="12">
        <f>COUNT('Workouts'!A2:A300)</f>
        <v/>
      </c>
    </row>
    <row r="6" ht="24" customHeight="1">
      <c r="B6" s="11" t="inlineStr">
        <is>
          <t>Avg. Nutrition Cost</t>
        </is>
      </c>
      <c r="C6" s="13">
        <f>AVERAGE('Nutrition'!F2:F300)</f>
        <v/>
      </c>
    </row>
    <row r="7" ht="24" customHeight="1">
      <c r="B7" s="11" t="inlineStr">
        <is>
          <t>Protein Intake</t>
        </is>
      </c>
      <c r="C7" s="14">
        <f>SUM('Nutrition'!D2:D300)</f>
        <v/>
      </c>
    </row>
    <row r="8" ht="24" customHeight="1">
      <c r="B8" s="11" t="inlineStr">
        <is>
          <t>Exercise Variety</t>
        </is>
      </c>
      <c r="C8" s="12">
        <f>COUNTUNIQUE('Workouts'!C2:C300)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  <col width="13" customWidth="1" min="7" max="7"/>
  </cols>
  <sheetData>
    <row r="1" ht="32" customHeight="1">
      <c r="A1" s="15" t="inlineStr">
        <is>
          <t>Date</t>
        </is>
      </c>
      <c r="B1" s="15" t="inlineStr">
        <is>
          <t>Member</t>
        </is>
      </c>
      <c r="C1" s="15" t="inlineStr">
        <is>
          <t>Exercise</t>
        </is>
      </c>
      <c r="D1" s="15" t="inlineStr">
        <is>
          <t>Sets</t>
        </is>
      </c>
      <c r="E1" s="15" t="inlineStr">
        <is>
          <t>Reps</t>
        </is>
      </c>
      <c r="F1" s="15" t="inlineStr">
        <is>
          <t>Weight (kg)</t>
        </is>
      </c>
      <c r="G1" s="15" t="inlineStr">
        <is>
          <t>Difficulty</t>
        </is>
      </c>
    </row>
    <row r="2">
      <c r="A2" s="16" t="n">
        <v>46032</v>
      </c>
      <c r="B2" s="17" t="inlineStr">
        <is>
          <t>Dad</t>
        </is>
      </c>
      <c r="C2" s="17" t="inlineStr">
        <is>
          <t>Push-ups</t>
        </is>
      </c>
      <c r="D2" s="18" t="n">
        <v>3</v>
      </c>
      <c r="E2" s="18" t="n">
        <v>15</v>
      </c>
      <c r="F2" s="19">
        <f>IF(D2&gt;10, E2*0.15, "")</f>
        <v/>
      </c>
      <c r="G2" s="20" t="n">
        <v>0.7</v>
      </c>
    </row>
    <row r="3">
      <c r="A3" s="16" t="n">
        <v>46032</v>
      </c>
      <c r="B3" s="17" t="inlineStr">
        <is>
          <t>Mom</t>
        </is>
      </c>
      <c r="C3" s="17" t="inlineStr">
        <is>
          <t>Yoga</t>
        </is>
      </c>
      <c r="D3" s="18" t="inlineStr"/>
      <c r="E3" s="18" t="inlineStr">
        <is>
          <t>30 min</t>
        </is>
      </c>
      <c r="F3" s="19">
        <f>IF(D3&gt;10, E3*0.15, "")</f>
        <v/>
      </c>
      <c r="G3" s="20" t="n">
        <v>0.85</v>
      </c>
    </row>
    <row r="4">
      <c r="A4" s="16" t="n">
        <v>46032</v>
      </c>
      <c r="B4" s="17" t="inlineStr">
        <is>
          <t>Child A</t>
        </is>
      </c>
      <c r="C4" s="17" t="inlineStr">
        <is>
          <t>Jump rope</t>
        </is>
      </c>
      <c r="D4" s="18" t="n">
        <v>5</v>
      </c>
      <c r="E4" s="18" t="n">
        <v>50</v>
      </c>
      <c r="F4" s="19">
        <f>IF(D4&gt;10, E4*0.15, "")</f>
        <v/>
      </c>
      <c r="G4" s="20" t="n">
        <v>0.6</v>
      </c>
    </row>
    <row r="5">
      <c r="A5" s="16" t="n"/>
      <c r="B5" s="17" t="n"/>
      <c r="C5" s="17" t="n"/>
      <c r="D5" s="18" t="n"/>
      <c r="E5" s="18" t="n"/>
      <c r="F5" s="19">
        <f>IF(A5="","",IF(D5&gt;10, E5*0.15, ""))</f>
        <v/>
      </c>
      <c r="G5" s="20" t="n"/>
    </row>
    <row r="6">
      <c r="A6" s="16" t="n"/>
      <c r="B6" s="17" t="n"/>
      <c r="C6" s="17" t="n"/>
      <c r="D6" s="18" t="n"/>
      <c r="E6" s="18" t="n"/>
      <c r="F6" s="19">
        <f>IF(A6="","",IF(D6&gt;10, E6*0.15, ""))</f>
        <v/>
      </c>
      <c r="G6" s="20" t="n"/>
    </row>
    <row r="7">
      <c r="A7" s="16" t="n"/>
      <c r="B7" s="17" t="n"/>
      <c r="C7" s="17" t="n"/>
      <c r="D7" s="18" t="n"/>
      <c r="E7" s="18" t="n"/>
      <c r="F7" s="19">
        <f>IF(A7="","",IF(D7&gt;10, E7*0.15, ""))</f>
        <v/>
      </c>
      <c r="G7" s="20" t="n"/>
    </row>
    <row r="8">
      <c r="A8" s="16" t="n"/>
      <c r="B8" s="17" t="n"/>
      <c r="C8" s="17" t="n"/>
      <c r="D8" s="18" t="n"/>
      <c r="E8" s="18" t="n"/>
      <c r="F8" s="19">
        <f>IF(A8="","",IF(D8&gt;10, E8*0.15, ""))</f>
        <v/>
      </c>
      <c r="G8" s="20" t="n"/>
    </row>
    <row r="9">
      <c r="A9" s="16" t="n"/>
      <c r="B9" s="17" t="n"/>
      <c r="C9" s="17" t="n"/>
      <c r="D9" s="18" t="n"/>
      <c r="E9" s="18" t="n"/>
      <c r="F9" s="19">
        <f>IF(A9="","",IF(D9&gt;10, E9*0.15, ""))</f>
        <v/>
      </c>
      <c r="G9" s="20" t="n"/>
    </row>
    <row r="10">
      <c r="A10" s="16" t="n"/>
      <c r="B10" s="17" t="n"/>
      <c r="C10" s="17" t="n"/>
      <c r="D10" s="18" t="n"/>
      <c r="E10" s="18" t="n"/>
      <c r="F10" s="19">
        <f>IF(A10="","",IF(D10&gt;10, E10*0.15, ""))</f>
        <v/>
      </c>
      <c r="G10" s="20" t="n"/>
    </row>
    <row r="11">
      <c r="A11" s="16" t="n"/>
      <c r="B11" s="17" t="n"/>
      <c r="C11" s="17" t="n"/>
      <c r="D11" s="18" t="n"/>
      <c r="E11" s="18" t="n"/>
      <c r="F11" s="19">
        <f>IF(A11="","",IF(D11&gt;10, E11*0.15, ""))</f>
        <v/>
      </c>
      <c r="G11" s="20" t="n"/>
    </row>
    <row r="12">
      <c r="A12" s="16" t="n"/>
      <c r="B12" s="17" t="n"/>
      <c r="C12" s="17" t="n"/>
      <c r="D12" s="18" t="n"/>
      <c r="E12" s="18" t="n"/>
      <c r="F12" s="19">
        <f>IF(A12="","",IF(D12&gt;10, E12*0.15, ""))</f>
        <v/>
      </c>
      <c r="G12" s="20" t="n"/>
    </row>
    <row r="13">
      <c r="A13" s="16" t="n"/>
      <c r="B13" s="17" t="n"/>
      <c r="C13" s="17" t="n"/>
      <c r="D13" s="18" t="n"/>
      <c r="E13" s="18" t="n"/>
      <c r="F13" s="19">
        <f>IF(A13="","",IF(D13&gt;10, E13*0.15, ""))</f>
        <v/>
      </c>
      <c r="G13" s="20" t="n"/>
    </row>
    <row r="14">
      <c r="A14" s="16" t="n"/>
      <c r="B14" s="17" t="n"/>
      <c r="C14" s="17" t="n"/>
      <c r="D14" s="18" t="n"/>
      <c r="E14" s="18" t="n"/>
      <c r="F14" s="19">
        <f>IF(A14="","",IF(D14&gt;10, E14*0.15, ""))</f>
        <v/>
      </c>
      <c r="G14" s="20" t="n"/>
    </row>
    <row r="15">
      <c r="A15" s="16" t="n"/>
      <c r="B15" s="17" t="n"/>
      <c r="C15" s="17" t="n"/>
      <c r="D15" s="18" t="n"/>
      <c r="E15" s="18" t="n"/>
      <c r="F15" s="19">
        <f>IF(A15="","",IF(D15&gt;10, E15*0.15, ""))</f>
        <v/>
      </c>
      <c r="G15" s="20" t="n"/>
    </row>
    <row r="16">
      <c r="A16" s="16" t="n"/>
      <c r="B16" s="17" t="n"/>
      <c r="C16" s="17" t="n"/>
      <c r="D16" s="18" t="n"/>
      <c r="E16" s="18" t="n"/>
      <c r="F16" s="19">
        <f>IF(A16="","",IF(D16&gt;10, E16*0.15, ""))</f>
        <v/>
      </c>
      <c r="G16" s="20" t="n"/>
    </row>
    <row r="17">
      <c r="A17" s="16" t="n"/>
      <c r="B17" s="17" t="n"/>
      <c r="C17" s="17" t="n"/>
      <c r="D17" s="18" t="n"/>
      <c r="E17" s="18" t="n"/>
      <c r="F17" s="19">
        <f>IF(A17="","",IF(D17&gt;10, E17*0.15, ""))</f>
        <v/>
      </c>
      <c r="G17" s="20" t="n"/>
    </row>
    <row r="18">
      <c r="A18" s="16" t="n"/>
      <c r="B18" s="17" t="n"/>
      <c r="C18" s="17" t="n"/>
      <c r="D18" s="18" t="n"/>
      <c r="E18" s="18" t="n"/>
      <c r="F18" s="19">
        <f>IF(A18="","",IF(D18&gt;10, E18*0.15, ""))</f>
        <v/>
      </c>
      <c r="G18" s="20" t="n"/>
    </row>
    <row r="19">
      <c r="A19" s="16" t="n"/>
      <c r="B19" s="17" t="n"/>
      <c r="C19" s="17" t="n"/>
      <c r="D19" s="18" t="n"/>
      <c r="E19" s="18" t="n"/>
      <c r="F19" s="19">
        <f>IF(A19="","",IF(D19&gt;10, E19*0.15, ""))</f>
        <v/>
      </c>
      <c r="G19" s="20" t="n"/>
    </row>
    <row r="20">
      <c r="A20" s="16" t="n"/>
      <c r="B20" s="17" t="n"/>
      <c r="C20" s="17" t="n"/>
      <c r="D20" s="18" t="n"/>
      <c r="E20" s="18" t="n"/>
      <c r="F20" s="19">
        <f>IF(A20="","",IF(D20&gt;10, E20*0.15, ""))</f>
        <v/>
      </c>
      <c r="G20" s="20" t="n"/>
    </row>
    <row r="21">
      <c r="A21" s="16" t="n"/>
      <c r="B21" s="17" t="n"/>
      <c r="C21" s="17" t="n"/>
      <c r="D21" s="18" t="n"/>
      <c r="E21" s="18" t="n"/>
      <c r="F21" s="19">
        <f>IF(A21="","",IF(D21&gt;10, E21*0.15, ""))</f>
        <v/>
      </c>
      <c r="G21" s="20" t="n"/>
    </row>
    <row r="22">
      <c r="A22" s="16" t="n"/>
      <c r="B22" s="17" t="n"/>
      <c r="C22" s="17" t="n"/>
      <c r="D22" s="18" t="n"/>
      <c r="E22" s="18" t="n"/>
      <c r="F22" s="19">
        <f>IF(A22="","",IF(D22&gt;10, E22*0.15, ""))</f>
        <v/>
      </c>
      <c r="G22" s="20" t="n"/>
    </row>
    <row r="23">
      <c r="A23" s="16" t="n"/>
      <c r="B23" s="17" t="n"/>
      <c r="C23" s="17" t="n"/>
      <c r="D23" s="18" t="n"/>
      <c r="E23" s="18" t="n"/>
      <c r="F23" s="19">
        <f>IF(A23="","",IF(D23&gt;10, E23*0.15, ""))</f>
        <v/>
      </c>
      <c r="G23" s="20" t="n"/>
    </row>
    <row r="24">
      <c r="A24" s="16" t="n"/>
      <c r="B24" s="17" t="n"/>
      <c r="C24" s="17" t="n"/>
      <c r="D24" s="18" t="n"/>
      <c r="E24" s="18" t="n"/>
      <c r="F24" s="19">
        <f>IF(A24="","",IF(D24&gt;10, E24*0.15, ""))</f>
        <v/>
      </c>
      <c r="G24" s="20" t="n"/>
    </row>
    <row r="25">
      <c r="A25" s="16" t="n"/>
      <c r="B25" s="17" t="n"/>
      <c r="C25" s="17" t="n"/>
      <c r="D25" s="18" t="n"/>
      <c r="E25" s="18" t="n"/>
      <c r="F25" s="19">
        <f>IF(A25="","",IF(D25&gt;10, E25*0.15, ""))</f>
        <v/>
      </c>
      <c r="G25" s="20" t="n"/>
    </row>
    <row r="26">
      <c r="A26" s="16" t="n"/>
      <c r="B26" s="17" t="n"/>
      <c r="C26" s="17" t="n"/>
      <c r="D26" s="18" t="n"/>
      <c r="E26" s="18" t="n"/>
      <c r="F26" s="19">
        <f>IF(A26="","",IF(D26&gt;10, E26*0.15, ""))</f>
        <v/>
      </c>
      <c r="G26" s="20" t="n"/>
    </row>
    <row r="27">
      <c r="A27" s="16" t="n"/>
      <c r="B27" s="17" t="n"/>
      <c r="C27" s="17" t="n"/>
      <c r="D27" s="18" t="n"/>
      <c r="E27" s="18" t="n"/>
      <c r="F27" s="19">
        <f>IF(A27="","",IF(D27&gt;10, E27*0.15, ""))</f>
        <v/>
      </c>
      <c r="G27" s="20" t="n"/>
    </row>
    <row r="28">
      <c r="A28" s="16" t="n"/>
      <c r="B28" s="17" t="n"/>
      <c r="C28" s="17" t="n"/>
      <c r="D28" s="18" t="n"/>
      <c r="E28" s="18" t="n"/>
      <c r="F28" s="19">
        <f>IF(A28="","",IF(D28&gt;10, E28*0.15, ""))</f>
        <v/>
      </c>
      <c r="G28" s="20" t="n"/>
    </row>
    <row r="29">
      <c r="A29" s="16" t="n"/>
      <c r="B29" s="17" t="n"/>
      <c r="C29" s="17" t="n"/>
      <c r="D29" s="18" t="n"/>
      <c r="E29" s="18" t="n"/>
      <c r="F29" s="19">
        <f>IF(A29="","",IF(D29&gt;10, E29*0.15, ""))</f>
        <v/>
      </c>
      <c r="G29" s="20" t="n"/>
    </row>
    <row r="30">
      <c r="A30" s="16" t="n"/>
      <c r="B30" s="17" t="n"/>
      <c r="C30" s="17" t="n"/>
      <c r="D30" s="18" t="n"/>
      <c r="E30" s="18" t="n"/>
      <c r="F30" s="19">
        <f>IF(A30="","",IF(D30&gt;10, E30*0.15, ""))</f>
        <v/>
      </c>
      <c r="G30" s="20" t="n"/>
    </row>
    <row r="31">
      <c r="A31" s="16" t="n"/>
      <c r="B31" s="17" t="n"/>
      <c r="C31" s="17" t="n"/>
      <c r="D31" s="18" t="n"/>
      <c r="E31" s="18" t="n"/>
      <c r="F31" s="19">
        <f>IF(A31="","",IF(D31&gt;10, E31*0.15, ""))</f>
        <v/>
      </c>
      <c r="G31" s="20" t="n"/>
    </row>
    <row r="32">
      <c r="A32" s="16" t="n"/>
      <c r="B32" s="17" t="n"/>
      <c r="C32" s="17" t="n"/>
      <c r="D32" s="18" t="n"/>
      <c r="E32" s="18" t="n"/>
      <c r="F32" s="19">
        <f>IF(A32="","",IF(D32&gt;10, E32*0.15, ""))</f>
        <v/>
      </c>
      <c r="G32" s="20" t="n"/>
    </row>
    <row r="33">
      <c r="A33" s="16" t="n"/>
      <c r="B33" s="17" t="n"/>
      <c r="C33" s="17" t="n"/>
      <c r="D33" s="18" t="n"/>
      <c r="E33" s="18" t="n"/>
      <c r="F33" s="19">
        <f>IF(A33="","",IF(D33&gt;10, E33*0.15, ""))</f>
        <v/>
      </c>
      <c r="G33" s="20" t="n"/>
    </row>
    <row r="34">
      <c r="A34" s="16" t="n"/>
      <c r="B34" s="17" t="n"/>
      <c r="C34" s="17" t="n"/>
      <c r="D34" s="18" t="n"/>
      <c r="E34" s="18" t="n"/>
      <c r="F34" s="19">
        <f>IF(A34="","",IF(D34&gt;10, E34*0.15, ""))</f>
        <v/>
      </c>
      <c r="G34" s="20" t="n"/>
    </row>
    <row r="35">
      <c r="A35" s="16" t="n"/>
      <c r="B35" s="17" t="n"/>
      <c r="C35" s="17" t="n"/>
      <c r="D35" s="18" t="n"/>
      <c r="E35" s="18" t="n"/>
      <c r="F35" s="19">
        <f>IF(A35="","",IF(D35&gt;10, E35*0.15, ""))</f>
        <v/>
      </c>
      <c r="G35" s="20" t="n"/>
    </row>
    <row r="36">
      <c r="A36" s="16" t="n"/>
      <c r="B36" s="17" t="n"/>
      <c r="C36" s="17" t="n"/>
      <c r="D36" s="18" t="n"/>
      <c r="E36" s="18" t="n"/>
      <c r="F36" s="19">
        <f>IF(A36="","",IF(D36&gt;10, E36*0.15, ""))</f>
        <v/>
      </c>
      <c r="G36" s="20" t="n"/>
    </row>
    <row r="37">
      <c r="A37" s="16" t="n"/>
      <c r="B37" s="17" t="n"/>
      <c r="C37" s="17" t="n"/>
      <c r="D37" s="18" t="n"/>
      <c r="E37" s="18" t="n"/>
      <c r="F37" s="19">
        <f>IF(A37="","",IF(D37&gt;10, E37*0.15, ""))</f>
        <v/>
      </c>
      <c r="G37" s="20" t="n"/>
    </row>
    <row r="38">
      <c r="A38" s="16" t="n"/>
      <c r="B38" s="17" t="n"/>
      <c r="C38" s="17" t="n"/>
      <c r="D38" s="18" t="n"/>
      <c r="E38" s="18" t="n"/>
      <c r="F38" s="19">
        <f>IF(A38="","",IF(D38&gt;10, E38*0.15, ""))</f>
        <v/>
      </c>
      <c r="G38" s="20" t="n"/>
    </row>
    <row r="39">
      <c r="A39" s="16" t="n"/>
      <c r="B39" s="17" t="n"/>
      <c r="C39" s="17" t="n"/>
      <c r="D39" s="18" t="n"/>
      <c r="E39" s="18" t="n"/>
      <c r="F39" s="19">
        <f>IF(A39="","",IF(D39&gt;10, E39*0.15, ""))</f>
        <v/>
      </c>
      <c r="G39" s="20" t="n"/>
    </row>
    <row r="40">
      <c r="A40" s="16" t="n"/>
      <c r="B40" s="17" t="n"/>
      <c r="C40" s="17" t="n"/>
      <c r="D40" s="18" t="n"/>
      <c r="E40" s="18" t="n"/>
      <c r="F40" s="19">
        <f>IF(A40="","",IF(D40&gt;10, E40*0.15, ""))</f>
        <v/>
      </c>
      <c r="G40" s="20" t="n"/>
    </row>
    <row r="41">
      <c r="A41" s="16" t="n"/>
      <c r="B41" s="17" t="n"/>
      <c r="C41" s="17" t="n"/>
      <c r="D41" s="18" t="n"/>
      <c r="E41" s="18" t="n"/>
      <c r="F41" s="19">
        <f>IF(A41="","",IF(D41&gt;10, E41*0.15, ""))</f>
        <v/>
      </c>
      <c r="G41" s="20" t="n"/>
    </row>
    <row r="42">
      <c r="A42" s="16" t="n"/>
      <c r="B42" s="17" t="n"/>
      <c r="C42" s="17" t="n"/>
      <c r="D42" s="18" t="n"/>
      <c r="E42" s="18" t="n"/>
      <c r="F42" s="19">
        <f>IF(A42="","",IF(D42&gt;10, E42*0.15, ""))</f>
        <v/>
      </c>
      <c r="G42" s="20" t="n"/>
    </row>
    <row r="43">
      <c r="A43" s="16" t="n"/>
      <c r="B43" s="17" t="n"/>
      <c r="C43" s="17" t="n"/>
      <c r="D43" s="18" t="n"/>
      <c r="E43" s="18" t="n"/>
      <c r="F43" s="19">
        <f>IF(A43="","",IF(D43&gt;10, E43*0.15, ""))</f>
        <v/>
      </c>
      <c r="G43" s="20" t="n"/>
    </row>
    <row r="44">
      <c r="A44" s="16" t="n"/>
      <c r="B44" s="17" t="n"/>
      <c r="C44" s="17" t="n"/>
      <c r="D44" s="18" t="n"/>
      <c r="E44" s="18" t="n"/>
      <c r="F44" s="19">
        <f>IF(A44="","",IF(D44&gt;10, E44*0.15, ""))</f>
        <v/>
      </c>
      <c r="G44" s="20" t="n"/>
    </row>
    <row r="45">
      <c r="A45" s="16" t="n"/>
      <c r="B45" s="17" t="n"/>
      <c r="C45" s="17" t="n"/>
      <c r="D45" s="18" t="n"/>
      <c r="E45" s="18" t="n"/>
      <c r="F45" s="19">
        <f>IF(A45="","",IF(D45&gt;10, E45*0.15, ""))</f>
        <v/>
      </c>
      <c r="G45" s="20" t="n"/>
    </row>
    <row r="46">
      <c r="A46" s="16" t="n"/>
      <c r="B46" s="17" t="n"/>
      <c r="C46" s="17" t="n"/>
      <c r="D46" s="18" t="n"/>
      <c r="E46" s="18" t="n"/>
      <c r="F46" s="19">
        <f>IF(A46="","",IF(D46&gt;10, E46*0.15, ""))</f>
        <v/>
      </c>
      <c r="G46" s="20" t="n"/>
    </row>
    <row r="47">
      <c r="A47" s="16" t="n"/>
      <c r="B47" s="17" t="n"/>
      <c r="C47" s="17" t="n"/>
      <c r="D47" s="18" t="n"/>
      <c r="E47" s="18" t="n"/>
      <c r="F47" s="19">
        <f>IF(A47="","",IF(D47&gt;10, E47*0.15, ""))</f>
        <v/>
      </c>
      <c r="G47" s="20" t="n"/>
    </row>
    <row r="48">
      <c r="A48" s="16" t="n"/>
      <c r="B48" s="17" t="n"/>
      <c r="C48" s="17" t="n"/>
      <c r="D48" s="18" t="n"/>
      <c r="E48" s="18" t="n"/>
      <c r="F48" s="19">
        <f>IF(A48="","",IF(D48&gt;10, E48*0.15, ""))</f>
        <v/>
      </c>
      <c r="G48" s="20" t="n"/>
    </row>
    <row r="49">
      <c r="A49" s="16" t="n"/>
      <c r="B49" s="17" t="n"/>
      <c r="C49" s="17" t="n"/>
      <c r="D49" s="18" t="n"/>
      <c r="E49" s="18" t="n"/>
      <c r="F49" s="19">
        <f>IF(A49="","",IF(D49&gt;10, E49*0.15, ""))</f>
        <v/>
      </c>
      <c r="G49" s="20" t="n"/>
    </row>
    <row r="50">
      <c r="A50" s="16" t="n"/>
      <c r="B50" s="17" t="n"/>
      <c r="C50" s="17" t="n"/>
      <c r="D50" s="18" t="n"/>
      <c r="E50" s="18" t="n"/>
      <c r="F50" s="19">
        <f>IF(A50="","",IF(D50&gt;10, E50*0.15, ""))</f>
        <v/>
      </c>
      <c r="G50" s="20" t="n"/>
    </row>
    <row r="51">
      <c r="A51" s="16" t="n"/>
      <c r="B51" s="17" t="n"/>
      <c r="C51" s="17" t="n"/>
      <c r="D51" s="18" t="n"/>
      <c r="E51" s="18" t="n"/>
      <c r="F51" s="19">
        <f>IF(A51="","",IF(D51&gt;10, E51*0.15, ""))</f>
        <v/>
      </c>
      <c r="G51" s="20" t="n"/>
    </row>
    <row r="52">
      <c r="A52" s="16" t="n"/>
      <c r="B52" s="17" t="n"/>
      <c r="C52" s="17" t="n"/>
      <c r="D52" s="18" t="n"/>
      <c r="E52" s="18" t="n"/>
      <c r="F52" s="19">
        <f>IF(A52="","",IF(D52&gt;10, E52*0.15, ""))</f>
        <v/>
      </c>
      <c r="G52" s="20" t="n"/>
    </row>
    <row r="53">
      <c r="A53" s="16" t="n"/>
      <c r="B53" s="17" t="n"/>
      <c r="C53" s="17" t="n"/>
      <c r="D53" s="18" t="n"/>
      <c r="E53" s="18" t="n"/>
      <c r="F53" s="19">
        <f>IF(A53="","",IF(D53&gt;10, E53*0.15, ""))</f>
        <v/>
      </c>
      <c r="G53" s="20" t="n"/>
    </row>
    <row r="54">
      <c r="A54" s="16" t="n"/>
      <c r="B54" s="17" t="n"/>
      <c r="C54" s="17" t="n"/>
      <c r="D54" s="18" t="n"/>
      <c r="E54" s="18" t="n"/>
      <c r="F54" s="19">
        <f>IF(A54="","",IF(D54&gt;10, E54*0.15, ""))</f>
        <v/>
      </c>
      <c r="G54" s="20" t="n"/>
    </row>
    <row r="55">
      <c r="A55" s="16" t="n"/>
      <c r="B55" s="17" t="n"/>
      <c r="C55" s="17" t="n"/>
      <c r="D55" s="18" t="n"/>
      <c r="E55" s="18" t="n"/>
      <c r="F55" s="19">
        <f>IF(A55="","",IF(D55&gt;10, E55*0.15, ""))</f>
        <v/>
      </c>
      <c r="G55" s="20" t="n"/>
    </row>
    <row r="56">
      <c r="A56" s="16" t="n"/>
      <c r="B56" s="17" t="n"/>
      <c r="C56" s="17" t="n"/>
      <c r="D56" s="18" t="n"/>
      <c r="E56" s="18" t="n"/>
      <c r="F56" s="19">
        <f>IF(A56="","",IF(D56&gt;10, E56*0.15, ""))</f>
        <v/>
      </c>
      <c r="G56" s="20" t="n"/>
    </row>
    <row r="57">
      <c r="A57" s="16" t="n"/>
      <c r="B57" s="17" t="n"/>
      <c r="C57" s="17" t="n"/>
      <c r="D57" s="18" t="n"/>
      <c r="E57" s="18" t="n"/>
      <c r="F57" s="19">
        <f>IF(A57="","",IF(D57&gt;10, E57*0.15, ""))</f>
        <v/>
      </c>
      <c r="G57" s="20" t="n"/>
    </row>
    <row r="58">
      <c r="A58" s="16" t="n"/>
      <c r="B58" s="17" t="n"/>
      <c r="C58" s="17" t="n"/>
      <c r="D58" s="18" t="n"/>
      <c r="E58" s="18" t="n"/>
      <c r="F58" s="19">
        <f>IF(A58="","",IF(D58&gt;10, E58*0.15, ""))</f>
        <v/>
      </c>
      <c r="G58" s="20" t="n"/>
    </row>
    <row r="59">
      <c r="A59" s="16" t="n"/>
      <c r="B59" s="17" t="n"/>
      <c r="C59" s="17" t="n"/>
      <c r="D59" s="18" t="n"/>
      <c r="E59" s="18" t="n"/>
      <c r="F59" s="19">
        <f>IF(A59="","",IF(D59&gt;10, E59*0.15, ""))</f>
        <v/>
      </c>
      <c r="G59" s="20" t="n"/>
    </row>
    <row r="60">
      <c r="A60" s="16" t="n"/>
      <c r="B60" s="17" t="n"/>
      <c r="C60" s="17" t="n"/>
      <c r="D60" s="18" t="n"/>
      <c r="E60" s="18" t="n"/>
      <c r="F60" s="19">
        <f>IF(A60="","",IF(D60&gt;10, E60*0.15, ""))</f>
        <v/>
      </c>
      <c r="G60" s="20" t="n"/>
    </row>
    <row r="61">
      <c r="A61" s="16" t="n"/>
      <c r="B61" s="17" t="n"/>
      <c r="C61" s="17" t="n"/>
      <c r="D61" s="18" t="n"/>
      <c r="E61" s="18" t="n"/>
      <c r="F61" s="19">
        <f>IF(A61="","",IF(D61&gt;10, E61*0.15, ""))</f>
        <v/>
      </c>
      <c r="G61" s="20" t="n"/>
    </row>
    <row r="62">
      <c r="A62" s="16" t="n"/>
      <c r="B62" s="17" t="n"/>
      <c r="C62" s="17" t="n"/>
      <c r="D62" s="18" t="n"/>
      <c r="E62" s="18" t="n"/>
      <c r="F62" s="19">
        <f>IF(A62="","",IF(D62&gt;10, E62*0.15, ""))</f>
        <v/>
      </c>
      <c r="G62" s="20" t="n"/>
    </row>
    <row r="63">
      <c r="A63" s="16" t="n"/>
      <c r="B63" s="17" t="n"/>
      <c r="C63" s="17" t="n"/>
      <c r="D63" s="18" t="n"/>
      <c r="E63" s="18" t="n"/>
      <c r="F63" s="19">
        <f>IF(A63="","",IF(D63&gt;10, E63*0.15, ""))</f>
        <v/>
      </c>
      <c r="G63" s="20" t="n"/>
    </row>
    <row r="64">
      <c r="A64" s="16" t="n"/>
      <c r="B64" s="17" t="n"/>
      <c r="C64" s="17" t="n"/>
      <c r="D64" s="18" t="n"/>
      <c r="E64" s="18" t="n"/>
      <c r="F64" s="19">
        <f>IF(A64="","",IF(D64&gt;10, E64*0.15, ""))</f>
        <v/>
      </c>
      <c r="G64" s="20" t="n"/>
    </row>
    <row r="65">
      <c r="A65" s="16" t="n"/>
      <c r="B65" s="17" t="n"/>
      <c r="C65" s="17" t="n"/>
      <c r="D65" s="18" t="n"/>
      <c r="E65" s="18" t="n"/>
      <c r="F65" s="19">
        <f>IF(A65="","",IF(D65&gt;10, E65*0.15, ""))</f>
        <v/>
      </c>
      <c r="G65" s="20" t="n"/>
    </row>
    <row r="66">
      <c r="A66" s="16" t="n"/>
      <c r="B66" s="17" t="n"/>
      <c r="C66" s="17" t="n"/>
      <c r="D66" s="18" t="n"/>
      <c r="E66" s="18" t="n"/>
      <c r="F66" s="19">
        <f>IF(A66="","",IF(D66&gt;10, E66*0.15, ""))</f>
        <v/>
      </c>
      <c r="G66" s="20" t="n"/>
    </row>
    <row r="67">
      <c r="A67" s="16" t="n"/>
      <c r="B67" s="17" t="n"/>
      <c r="C67" s="17" t="n"/>
      <c r="D67" s="18" t="n"/>
      <c r="E67" s="18" t="n"/>
      <c r="F67" s="19">
        <f>IF(A67="","",IF(D67&gt;10, E67*0.15, ""))</f>
        <v/>
      </c>
      <c r="G67" s="20" t="n"/>
    </row>
    <row r="68">
      <c r="A68" s="16" t="n"/>
      <c r="B68" s="17" t="n"/>
      <c r="C68" s="17" t="n"/>
      <c r="D68" s="18" t="n"/>
      <c r="E68" s="18" t="n"/>
      <c r="F68" s="19">
        <f>IF(A68="","",IF(D68&gt;10, E68*0.15, ""))</f>
        <v/>
      </c>
      <c r="G68" s="20" t="n"/>
    </row>
    <row r="69">
      <c r="A69" s="16" t="n"/>
      <c r="B69" s="17" t="n"/>
      <c r="C69" s="17" t="n"/>
      <c r="D69" s="18" t="n"/>
      <c r="E69" s="18" t="n"/>
      <c r="F69" s="19">
        <f>IF(A69="","",IF(D69&gt;10, E69*0.15, ""))</f>
        <v/>
      </c>
      <c r="G69" s="20" t="n"/>
    </row>
    <row r="70">
      <c r="A70" s="16" t="n"/>
      <c r="B70" s="17" t="n"/>
      <c r="C70" s="17" t="n"/>
      <c r="D70" s="18" t="n"/>
      <c r="E70" s="18" t="n"/>
      <c r="F70" s="19">
        <f>IF(A70="","",IF(D70&gt;10, E70*0.15, ""))</f>
        <v/>
      </c>
      <c r="G70" s="20" t="n"/>
    </row>
    <row r="71">
      <c r="A71" s="16" t="n"/>
      <c r="B71" s="17" t="n"/>
      <c r="C71" s="17" t="n"/>
      <c r="D71" s="18" t="n"/>
      <c r="E71" s="18" t="n"/>
      <c r="F71" s="19">
        <f>IF(A71="","",IF(D71&gt;10, E71*0.15, ""))</f>
        <v/>
      </c>
      <c r="G71" s="20" t="n"/>
    </row>
    <row r="72">
      <c r="A72" s="16" t="n"/>
      <c r="B72" s="17" t="n"/>
      <c r="C72" s="17" t="n"/>
      <c r="D72" s="18" t="n"/>
      <c r="E72" s="18" t="n"/>
      <c r="F72" s="19">
        <f>IF(A72="","",IF(D72&gt;10, E72*0.15, ""))</f>
        <v/>
      </c>
      <c r="G72" s="20" t="n"/>
    </row>
    <row r="73">
      <c r="A73" s="16" t="n"/>
      <c r="B73" s="17" t="n"/>
      <c r="C73" s="17" t="n"/>
      <c r="D73" s="18" t="n"/>
      <c r="E73" s="18" t="n"/>
      <c r="F73" s="19">
        <f>IF(A73="","",IF(D73&gt;10, E73*0.15, ""))</f>
        <v/>
      </c>
      <c r="G73" s="20" t="n"/>
    </row>
    <row r="74">
      <c r="A74" s="16" t="n"/>
      <c r="B74" s="17" t="n"/>
      <c r="C74" s="17" t="n"/>
      <c r="D74" s="18" t="n"/>
      <c r="E74" s="18" t="n"/>
      <c r="F74" s="19">
        <f>IF(A74="","",IF(D74&gt;10, E74*0.15, ""))</f>
        <v/>
      </c>
      <c r="G74" s="20" t="n"/>
    </row>
    <row r="75">
      <c r="A75" s="16" t="n"/>
      <c r="B75" s="17" t="n"/>
      <c r="C75" s="17" t="n"/>
      <c r="D75" s="18" t="n"/>
      <c r="E75" s="18" t="n"/>
      <c r="F75" s="19">
        <f>IF(A75="","",IF(D75&gt;10, E75*0.15, ""))</f>
        <v/>
      </c>
      <c r="G75" s="20" t="n"/>
    </row>
    <row r="76">
      <c r="A76" s="16" t="n"/>
      <c r="B76" s="17" t="n"/>
      <c r="C76" s="17" t="n"/>
      <c r="D76" s="18" t="n"/>
      <c r="E76" s="18" t="n"/>
      <c r="F76" s="19">
        <f>IF(A76="","",IF(D76&gt;10, E76*0.15, ""))</f>
        <v/>
      </c>
      <c r="G76" s="20" t="n"/>
    </row>
    <row r="77">
      <c r="A77" s="16" t="n"/>
      <c r="B77" s="17" t="n"/>
      <c r="C77" s="17" t="n"/>
      <c r="D77" s="18" t="n"/>
      <c r="E77" s="18" t="n"/>
      <c r="F77" s="19">
        <f>IF(A77="","",IF(D77&gt;10, E77*0.15, ""))</f>
        <v/>
      </c>
      <c r="G77" s="20" t="n"/>
    </row>
    <row r="78">
      <c r="A78" s="16" t="n"/>
      <c r="B78" s="17" t="n"/>
      <c r="C78" s="17" t="n"/>
      <c r="D78" s="18" t="n"/>
      <c r="E78" s="18" t="n"/>
      <c r="F78" s="19">
        <f>IF(A78="","",IF(D78&gt;10, E78*0.15, ""))</f>
        <v/>
      </c>
      <c r="G78" s="20" t="n"/>
    </row>
    <row r="79">
      <c r="A79" s="16" t="n"/>
      <c r="B79" s="17" t="n"/>
      <c r="C79" s="17" t="n"/>
      <c r="D79" s="18" t="n"/>
      <c r="E79" s="18" t="n"/>
      <c r="F79" s="19">
        <f>IF(A79="","",IF(D79&gt;10, E79*0.15, ""))</f>
        <v/>
      </c>
      <c r="G79" s="20" t="n"/>
    </row>
    <row r="80">
      <c r="A80" s="16" t="n"/>
      <c r="B80" s="17" t="n"/>
      <c r="C80" s="17" t="n"/>
      <c r="D80" s="18" t="n"/>
      <c r="E80" s="18" t="n"/>
      <c r="F80" s="19">
        <f>IF(A80="","",IF(D80&gt;10, E80*0.15, ""))</f>
        <v/>
      </c>
      <c r="G80" s="20" t="n"/>
    </row>
    <row r="81">
      <c r="A81" s="16" t="n"/>
      <c r="B81" s="17" t="n"/>
      <c r="C81" s="17" t="n"/>
      <c r="D81" s="18" t="n"/>
      <c r="E81" s="18" t="n"/>
      <c r="F81" s="19">
        <f>IF(A81="","",IF(D81&gt;10, E81*0.15, ""))</f>
        <v/>
      </c>
      <c r="G81" s="20" t="n"/>
    </row>
    <row r="82">
      <c r="A82" s="16" t="n"/>
      <c r="B82" s="17" t="n"/>
      <c r="C82" s="17" t="n"/>
      <c r="D82" s="18" t="n"/>
      <c r="E82" s="18" t="n"/>
      <c r="F82" s="19">
        <f>IF(A82="","",IF(D82&gt;10, E82*0.15, ""))</f>
        <v/>
      </c>
      <c r="G82" s="20" t="n"/>
    </row>
    <row r="83">
      <c r="A83" s="16" t="n"/>
      <c r="B83" s="17" t="n"/>
      <c r="C83" s="17" t="n"/>
      <c r="D83" s="18" t="n"/>
      <c r="E83" s="18" t="n"/>
      <c r="F83" s="19">
        <f>IF(A83="","",IF(D83&gt;10, E83*0.15, ""))</f>
        <v/>
      </c>
      <c r="G83" s="20" t="n"/>
    </row>
    <row r="84">
      <c r="A84" s="16" t="n"/>
      <c r="B84" s="17" t="n"/>
      <c r="C84" s="17" t="n"/>
      <c r="D84" s="18" t="n"/>
      <c r="E84" s="18" t="n"/>
      <c r="F84" s="19">
        <f>IF(A84="","",IF(D84&gt;10, E84*0.15, ""))</f>
        <v/>
      </c>
      <c r="G84" s="20" t="n"/>
    </row>
    <row r="85">
      <c r="A85" s="16" t="n"/>
      <c r="B85" s="17" t="n"/>
      <c r="C85" s="17" t="n"/>
      <c r="D85" s="18" t="n"/>
      <c r="E85" s="18" t="n"/>
      <c r="F85" s="19">
        <f>IF(A85="","",IF(D85&gt;10, E85*0.15, ""))</f>
        <v/>
      </c>
      <c r="G85" s="20" t="n"/>
    </row>
    <row r="86">
      <c r="A86" s="16" t="n"/>
      <c r="B86" s="17" t="n"/>
      <c r="C86" s="17" t="n"/>
      <c r="D86" s="18" t="n"/>
      <c r="E86" s="18" t="n"/>
      <c r="F86" s="19">
        <f>IF(A86="","",IF(D86&gt;10, E86*0.15, ""))</f>
        <v/>
      </c>
      <c r="G86" s="20" t="n"/>
    </row>
    <row r="87">
      <c r="A87" s="16" t="n"/>
      <c r="B87" s="17" t="n"/>
      <c r="C87" s="17" t="n"/>
      <c r="D87" s="18" t="n"/>
      <c r="E87" s="18" t="n"/>
      <c r="F87" s="19">
        <f>IF(A87="","",IF(D87&gt;10, E87*0.15, ""))</f>
        <v/>
      </c>
      <c r="G87" s="20" t="n"/>
    </row>
    <row r="88">
      <c r="A88" s="16" t="n"/>
      <c r="B88" s="17" t="n"/>
      <c r="C88" s="17" t="n"/>
      <c r="D88" s="18" t="n"/>
      <c r="E88" s="18" t="n"/>
      <c r="F88" s="19">
        <f>IF(A88="","",IF(D88&gt;10, E88*0.15, ""))</f>
        <v/>
      </c>
      <c r="G88" s="20" t="n"/>
    </row>
    <row r="89">
      <c r="A89" s="16" t="n"/>
      <c r="B89" s="17" t="n"/>
      <c r="C89" s="17" t="n"/>
      <c r="D89" s="18" t="n"/>
      <c r="E89" s="18" t="n"/>
      <c r="F89" s="19">
        <f>IF(A89="","",IF(D89&gt;10, E89*0.15, ""))</f>
        <v/>
      </c>
      <c r="G89" s="20" t="n"/>
    </row>
    <row r="90">
      <c r="A90" s="16" t="n"/>
      <c r="B90" s="17" t="n"/>
      <c r="C90" s="17" t="n"/>
      <c r="D90" s="18" t="n"/>
      <c r="E90" s="18" t="n"/>
      <c r="F90" s="19">
        <f>IF(A90="","",IF(D90&gt;10, E90*0.15, ""))</f>
        <v/>
      </c>
      <c r="G90" s="20" t="n"/>
    </row>
    <row r="91">
      <c r="A91" s="16" t="n"/>
      <c r="B91" s="17" t="n"/>
      <c r="C91" s="17" t="n"/>
      <c r="D91" s="18" t="n"/>
      <c r="E91" s="18" t="n"/>
      <c r="F91" s="19">
        <f>IF(A91="","",IF(D91&gt;10, E91*0.15, ""))</f>
        <v/>
      </c>
      <c r="G91" s="20" t="n"/>
    </row>
    <row r="92">
      <c r="A92" s="16" t="n"/>
      <c r="B92" s="17" t="n"/>
      <c r="C92" s="17" t="n"/>
      <c r="D92" s="18" t="n"/>
      <c r="E92" s="18" t="n"/>
      <c r="F92" s="19">
        <f>IF(A92="","",IF(D92&gt;10, E92*0.15, ""))</f>
        <v/>
      </c>
      <c r="G92" s="20" t="n"/>
    </row>
    <row r="93">
      <c r="A93" s="16" t="n"/>
      <c r="B93" s="17" t="n"/>
      <c r="C93" s="17" t="n"/>
      <c r="D93" s="18" t="n"/>
      <c r="E93" s="18" t="n"/>
      <c r="F93" s="19">
        <f>IF(A93="","",IF(D93&gt;10, E93*0.15, ""))</f>
        <v/>
      </c>
      <c r="G93" s="20" t="n"/>
    </row>
    <row r="94">
      <c r="A94" s="16" t="n"/>
      <c r="B94" s="17" t="n"/>
      <c r="C94" s="17" t="n"/>
      <c r="D94" s="18" t="n"/>
      <c r="E94" s="18" t="n"/>
      <c r="F94" s="19">
        <f>IF(A94="","",IF(D94&gt;10, E94*0.15, ""))</f>
        <v/>
      </c>
      <c r="G94" s="20" t="n"/>
    </row>
    <row r="95">
      <c r="A95" s="16" t="n"/>
      <c r="B95" s="17" t="n"/>
      <c r="C95" s="17" t="n"/>
      <c r="D95" s="18" t="n"/>
      <c r="E95" s="18" t="n"/>
      <c r="F95" s="19">
        <f>IF(A95="","",IF(D95&gt;10, E95*0.15, ""))</f>
        <v/>
      </c>
      <c r="G95" s="20" t="n"/>
    </row>
    <row r="96">
      <c r="A96" s="16" t="n"/>
      <c r="B96" s="17" t="n"/>
      <c r="C96" s="17" t="n"/>
      <c r="D96" s="18" t="n"/>
      <c r="E96" s="18" t="n"/>
      <c r="F96" s="19">
        <f>IF(A96="","",IF(D96&gt;10, E96*0.15, ""))</f>
        <v/>
      </c>
      <c r="G96" s="20" t="n"/>
    </row>
    <row r="97">
      <c r="A97" s="16" t="n"/>
      <c r="B97" s="17" t="n"/>
      <c r="C97" s="17" t="n"/>
      <c r="D97" s="18" t="n"/>
      <c r="E97" s="18" t="n"/>
      <c r="F97" s="19">
        <f>IF(A97="","",IF(D97&gt;10, E97*0.15, ""))</f>
        <v/>
      </c>
      <c r="G97" s="20" t="n"/>
    </row>
    <row r="98">
      <c r="A98" s="16" t="n"/>
      <c r="B98" s="17" t="n"/>
      <c r="C98" s="17" t="n"/>
      <c r="D98" s="18" t="n"/>
      <c r="E98" s="18" t="n"/>
      <c r="F98" s="19">
        <f>IF(A98="","",IF(D98&gt;10, E98*0.15, ""))</f>
        <v/>
      </c>
      <c r="G98" s="20" t="n"/>
    </row>
    <row r="99">
      <c r="A99" s="16" t="n"/>
      <c r="B99" s="17" t="n"/>
      <c r="C99" s="17" t="n"/>
      <c r="D99" s="18" t="n"/>
      <c r="E99" s="18" t="n"/>
      <c r="F99" s="19">
        <f>IF(A99="","",IF(D99&gt;10, E99*0.15, ""))</f>
        <v/>
      </c>
      <c r="G99" s="20" t="n"/>
    </row>
    <row r="100">
      <c r="A100" s="16" t="n"/>
      <c r="B100" s="17" t="n"/>
      <c r="C100" s="17" t="n"/>
      <c r="D100" s="18" t="n"/>
      <c r="E100" s="18" t="n"/>
      <c r="F100" s="19">
        <f>IF(A100="","",IF(D100&gt;10, E100*0.15, ""))</f>
        <v/>
      </c>
      <c r="G100" s="20" t="n"/>
    </row>
    <row r="101">
      <c r="A101" s="16" t="n"/>
      <c r="B101" s="17" t="n"/>
      <c r="C101" s="17" t="n"/>
      <c r="D101" s="18" t="n"/>
      <c r="E101" s="18" t="n"/>
      <c r="F101" s="19">
        <f>IF(A101="","",IF(D101&gt;10, E101*0.15, ""))</f>
        <v/>
      </c>
      <c r="G101" s="20" t="n"/>
    </row>
    <row r="102">
      <c r="A102" s="16" t="n"/>
      <c r="B102" s="17" t="n"/>
      <c r="C102" s="17" t="n"/>
      <c r="D102" s="18" t="n"/>
      <c r="E102" s="18" t="n"/>
      <c r="F102" s="19">
        <f>IF(A102="","",IF(D102&gt;10, E102*0.15, ""))</f>
        <v/>
      </c>
      <c r="G102" s="20" t="n"/>
    </row>
    <row r="103">
      <c r="A103" s="16" t="n"/>
      <c r="B103" s="17" t="n"/>
      <c r="C103" s="17" t="n"/>
      <c r="D103" s="18" t="n"/>
      <c r="E103" s="18" t="n"/>
      <c r="F103" s="19">
        <f>IF(A103="","",IF(D103&gt;10, E103*0.15, ""))</f>
        <v/>
      </c>
      <c r="G103" s="20" t="n"/>
    </row>
    <row r="104">
      <c r="A104" s="16" t="n"/>
      <c r="B104" s="17" t="n"/>
      <c r="C104" s="17" t="n"/>
      <c r="D104" s="18" t="n"/>
      <c r="E104" s="18" t="n"/>
      <c r="F104" s="19">
        <f>IF(A104="","",IF(D104&gt;10, E104*0.15, ""))</f>
        <v/>
      </c>
      <c r="G104" s="20" t="n"/>
    </row>
  </sheetData>
  <conditionalFormatting sqref="F2:F104">
    <cfRule type="cellIs" priority="1" operator="lessThan" dxfId="0">
      <formula>0</formula>
    </cfRule>
  </conditionalFormatting>
  <conditionalFormatting sqref="G2:G104">
    <cfRule type="dataBar" priority="2">
      <dataBar>
        <cfvo type="num" val="0"/>
        <cfvo type="num" val="1"/>
        <color rgb="005FB38F"/>
      </dataBar>
    </cfRule>
  </conditionalFormatting>
  <dataValidations count="1">
    <dataValidation sqref="B2:B104" showDropDown="0" showInputMessage="0" showErrorMessage="0" allowBlank="1" type="list">
      <formula1>"Dad,Mom,Child A,Child B,All"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Meal</t>
        </is>
      </c>
      <c r="C1" s="15" t="inlineStr">
        <is>
          <t>Calories</t>
        </is>
      </c>
      <c r="D1" s="15" t="inlineStr">
        <is>
          <t>Protein</t>
        </is>
      </c>
      <c r="E1" s="15" t="inlineStr">
        <is>
          <t>Carbs</t>
        </is>
      </c>
      <c r="F1" s="15" t="inlineStr">
        <is>
          <t>Cost</t>
        </is>
      </c>
    </row>
    <row r="2">
      <c r="A2" s="16" t="n">
        <v>46032</v>
      </c>
      <c r="B2" s="17" t="inlineStr">
        <is>
          <t>Breakfast</t>
        </is>
      </c>
      <c r="C2" s="18" t="n">
        <v>420</v>
      </c>
      <c r="D2" s="21" t="n">
        <v>25</v>
      </c>
      <c r="E2" s="21" t="n">
        <v>50</v>
      </c>
      <c r="F2" s="22">
        <f>ROUND(E2*0.05+D2*0.08,2)</f>
        <v/>
      </c>
    </row>
    <row r="3">
      <c r="A3" s="16" t="n">
        <v>46032</v>
      </c>
      <c r="B3" s="17" t="inlineStr">
        <is>
          <t>Lunch</t>
        </is>
      </c>
      <c r="C3" s="18" t="n">
        <v>580</v>
      </c>
      <c r="D3" s="21" t="n">
        <v>32</v>
      </c>
      <c r="E3" s="21" t="n">
        <v>72</v>
      </c>
      <c r="F3" s="22">
        <f>ROUND(E3*0.05+D3*0.08,2)</f>
        <v/>
      </c>
    </row>
    <row r="4">
      <c r="A4" s="16" t="n"/>
      <c r="B4" s="17" t="n"/>
      <c r="C4" s="18" t="n"/>
      <c r="D4" s="21" t="n"/>
      <c r="E4" s="21" t="n"/>
      <c r="F4" s="22">
        <f>IF(A4="","",ROUND(E4*0.05+D4*0.08,2))</f>
        <v/>
      </c>
    </row>
    <row r="5">
      <c r="A5" s="16" t="n"/>
      <c r="B5" s="17" t="n"/>
      <c r="C5" s="18" t="n"/>
      <c r="D5" s="21" t="n"/>
      <c r="E5" s="21" t="n"/>
      <c r="F5" s="22">
        <f>IF(A5="","",ROUND(E5*0.05+D5*0.08,2))</f>
        <v/>
      </c>
    </row>
    <row r="6">
      <c r="A6" s="16" t="n"/>
      <c r="B6" s="17" t="n"/>
      <c r="C6" s="18" t="n"/>
      <c r="D6" s="21" t="n"/>
      <c r="E6" s="21" t="n"/>
      <c r="F6" s="22">
        <f>IF(A6="","",ROUND(E6*0.05+D6*0.08,2))</f>
        <v/>
      </c>
    </row>
    <row r="7">
      <c r="A7" s="16" t="n"/>
      <c r="B7" s="17" t="n"/>
      <c r="C7" s="18" t="n"/>
      <c r="D7" s="21" t="n"/>
      <c r="E7" s="21" t="n"/>
      <c r="F7" s="22">
        <f>IF(A7="","",ROUND(E7*0.05+D7*0.08,2))</f>
        <v/>
      </c>
    </row>
    <row r="8">
      <c r="A8" s="16" t="n"/>
      <c r="B8" s="17" t="n"/>
      <c r="C8" s="18" t="n"/>
      <c r="D8" s="21" t="n"/>
      <c r="E8" s="21" t="n"/>
      <c r="F8" s="22">
        <f>IF(A8="","",ROUND(E8*0.05+D8*0.08,2))</f>
        <v/>
      </c>
    </row>
    <row r="9">
      <c r="A9" s="16" t="n"/>
      <c r="B9" s="17" t="n"/>
      <c r="C9" s="18" t="n"/>
      <c r="D9" s="21" t="n"/>
      <c r="E9" s="21" t="n"/>
      <c r="F9" s="22">
        <f>IF(A9="","",ROUND(E9*0.05+D9*0.08,2))</f>
        <v/>
      </c>
    </row>
    <row r="10">
      <c r="A10" s="16" t="n"/>
      <c r="B10" s="17" t="n"/>
      <c r="C10" s="18" t="n"/>
      <c r="D10" s="21" t="n"/>
      <c r="E10" s="21" t="n"/>
      <c r="F10" s="22">
        <f>IF(A10="","",ROUND(E10*0.05+D10*0.08,2))</f>
        <v/>
      </c>
    </row>
    <row r="11">
      <c r="A11" s="16" t="n"/>
      <c r="B11" s="17" t="n"/>
      <c r="C11" s="18" t="n"/>
      <c r="D11" s="21" t="n"/>
      <c r="E11" s="21" t="n"/>
      <c r="F11" s="22">
        <f>IF(A11="","",ROUND(E11*0.05+D11*0.08,2))</f>
        <v/>
      </c>
    </row>
    <row r="12">
      <c r="A12" s="16" t="n"/>
      <c r="B12" s="17" t="n"/>
      <c r="C12" s="18" t="n"/>
      <c r="D12" s="21" t="n"/>
      <c r="E12" s="21" t="n"/>
      <c r="F12" s="22">
        <f>IF(A12="","",ROUND(E12*0.05+D12*0.08,2))</f>
        <v/>
      </c>
    </row>
    <row r="13">
      <c r="A13" s="16" t="n"/>
      <c r="B13" s="17" t="n"/>
      <c r="C13" s="18" t="n"/>
      <c r="D13" s="21" t="n"/>
      <c r="E13" s="21" t="n"/>
      <c r="F13" s="22">
        <f>IF(A13="","",ROUND(E13*0.05+D13*0.08,2))</f>
        <v/>
      </c>
    </row>
    <row r="14">
      <c r="A14" s="16" t="n"/>
      <c r="B14" s="17" t="n"/>
      <c r="C14" s="18" t="n"/>
      <c r="D14" s="21" t="n"/>
      <c r="E14" s="21" t="n"/>
      <c r="F14" s="22">
        <f>IF(A14="","",ROUND(E14*0.05+D14*0.08,2))</f>
        <v/>
      </c>
    </row>
    <row r="15">
      <c r="A15" s="16" t="n"/>
      <c r="B15" s="17" t="n"/>
      <c r="C15" s="18" t="n"/>
      <c r="D15" s="21" t="n"/>
      <c r="E15" s="21" t="n"/>
      <c r="F15" s="22">
        <f>IF(A15="","",ROUND(E15*0.05+D15*0.08,2))</f>
        <v/>
      </c>
    </row>
    <row r="16">
      <c r="A16" s="16" t="n"/>
      <c r="B16" s="17" t="n"/>
      <c r="C16" s="18" t="n"/>
      <c r="D16" s="21" t="n"/>
      <c r="E16" s="21" t="n"/>
      <c r="F16" s="22">
        <f>IF(A16="","",ROUND(E16*0.05+D16*0.08,2))</f>
        <v/>
      </c>
    </row>
    <row r="17">
      <c r="A17" s="16" t="n"/>
      <c r="B17" s="17" t="n"/>
      <c r="C17" s="18" t="n"/>
      <c r="D17" s="21" t="n"/>
      <c r="E17" s="21" t="n"/>
      <c r="F17" s="22">
        <f>IF(A17="","",ROUND(E17*0.05+D17*0.08,2))</f>
        <v/>
      </c>
    </row>
    <row r="18">
      <c r="A18" s="16" t="n"/>
      <c r="B18" s="17" t="n"/>
      <c r="C18" s="18" t="n"/>
      <c r="D18" s="21" t="n"/>
      <c r="E18" s="21" t="n"/>
      <c r="F18" s="22">
        <f>IF(A18="","",ROUND(E18*0.05+D18*0.08,2))</f>
        <v/>
      </c>
    </row>
    <row r="19">
      <c r="A19" s="16" t="n"/>
      <c r="B19" s="17" t="n"/>
      <c r="C19" s="18" t="n"/>
      <c r="D19" s="21" t="n"/>
      <c r="E19" s="21" t="n"/>
      <c r="F19" s="22">
        <f>IF(A19="","",ROUND(E19*0.05+D19*0.08,2))</f>
        <v/>
      </c>
    </row>
    <row r="20">
      <c r="A20" s="16" t="n"/>
      <c r="B20" s="17" t="n"/>
      <c r="C20" s="18" t="n"/>
      <c r="D20" s="21" t="n"/>
      <c r="E20" s="21" t="n"/>
      <c r="F20" s="22">
        <f>IF(A20="","",ROUND(E20*0.05+D20*0.08,2))</f>
        <v/>
      </c>
    </row>
    <row r="21">
      <c r="A21" s="16" t="n"/>
      <c r="B21" s="17" t="n"/>
      <c r="C21" s="18" t="n"/>
      <c r="D21" s="21" t="n"/>
      <c r="E21" s="21" t="n"/>
      <c r="F21" s="22">
        <f>IF(A21="","",ROUND(E21*0.05+D21*0.08,2))</f>
        <v/>
      </c>
    </row>
    <row r="22">
      <c r="A22" s="16" t="n"/>
      <c r="B22" s="17" t="n"/>
      <c r="C22" s="18" t="n"/>
      <c r="D22" s="21" t="n"/>
      <c r="E22" s="21" t="n"/>
      <c r="F22" s="22">
        <f>IF(A22="","",ROUND(E22*0.05+D22*0.08,2))</f>
        <v/>
      </c>
    </row>
    <row r="23">
      <c r="A23" s="16" t="n"/>
      <c r="B23" s="17" t="n"/>
      <c r="C23" s="18" t="n"/>
      <c r="D23" s="21" t="n"/>
      <c r="E23" s="21" t="n"/>
      <c r="F23" s="22">
        <f>IF(A23="","",ROUND(E23*0.05+D23*0.08,2))</f>
        <v/>
      </c>
    </row>
    <row r="24">
      <c r="A24" s="16" t="n"/>
      <c r="B24" s="17" t="n"/>
      <c r="C24" s="18" t="n"/>
      <c r="D24" s="21" t="n"/>
      <c r="E24" s="21" t="n"/>
      <c r="F24" s="22">
        <f>IF(A24="","",ROUND(E24*0.05+D24*0.08,2))</f>
        <v/>
      </c>
    </row>
    <row r="25">
      <c r="A25" s="16" t="n"/>
      <c r="B25" s="17" t="n"/>
      <c r="C25" s="18" t="n"/>
      <c r="D25" s="21" t="n"/>
      <c r="E25" s="21" t="n"/>
      <c r="F25" s="22">
        <f>IF(A25="","",ROUND(E25*0.05+D25*0.08,2))</f>
        <v/>
      </c>
    </row>
    <row r="26">
      <c r="A26" s="16" t="n"/>
      <c r="B26" s="17" t="n"/>
      <c r="C26" s="18" t="n"/>
      <c r="D26" s="21" t="n"/>
      <c r="E26" s="21" t="n"/>
      <c r="F26" s="22">
        <f>IF(A26="","",ROUND(E26*0.05+D26*0.08,2))</f>
        <v/>
      </c>
    </row>
    <row r="27">
      <c r="A27" s="16" t="n"/>
      <c r="B27" s="17" t="n"/>
      <c r="C27" s="18" t="n"/>
      <c r="D27" s="21" t="n"/>
      <c r="E27" s="21" t="n"/>
      <c r="F27" s="22">
        <f>IF(A27="","",ROUND(E27*0.05+D27*0.08,2))</f>
        <v/>
      </c>
    </row>
    <row r="28">
      <c r="A28" s="16" t="n"/>
      <c r="B28" s="17" t="n"/>
      <c r="C28" s="18" t="n"/>
      <c r="D28" s="21" t="n"/>
      <c r="E28" s="21" t="n"/>
      <c r="F28" s="22">
        <f>IF(A28="","",ROUND(E28*0.05+D28*0.08,2))</f>
        <v/>
      </c>
    </row>
    <row r="29">
      <c r="A29" s="16" t="n"/>
      <c r="B29" s="17" t="n"/>
      <c r="C29" s="18" t="n"/>
      <c r="D29" s="21" t="n"/>
      <c r="E29" s="21" t="n"/>
      <c r="F29" s="22">
        <f>IF(A29="","",ROUND(E29*0.05+D29*0.08,2))</f>
        <v/>
      </c>
    </row>
    <row r="30">
      <c r="A30" s="16" t="n"/>
      <c r="B30" s="17" t="n"/>
      <c r="C30" s="18" t="n"/>
      <c r="D30" s="21" t="n"/>
      <c r="E30" s="21" t="n"/>
      <c r="F30" s="22">
        <f>IF(A30="","",ROUND(E30*0.05+D30*0.08,2))</f>
        <v/>
      </c>
    </row>
    <row r="31">
      <c r="A31" s="16" t="n"/>
      <c r="B31" s="17" t="n"/>
      <c r="C31" s="18" t="n"/>
      <c r="D31" s="21" t="n"/>
      <c r="E31" s="21" t="n"/>
      <c r="F31" s="22">
        <f>IF(A31="","",ROUND(E31*0.05+D31*0.08,2))</f>
        <v/>
      </c>
    </row>
    <row r="32">
      <c r="A32" s="16" t="n"/>
      <c r="B32" s="17" t="n"/>
      <c r="C32" s="18" t="n"/>
      <c r="D32" s="21" t="n"/>
      <c r="E32" s="21" t="n"/>
      <c r="F32" s="22">
        <f>IF(A32="","",ROUND(E32*0.05+D32*0.08,2))</f>
        <v/>
      </c>
    </row>
    <row r="33">
      <c r="A33" s="16" t="n"/>
      <c r="B33" s="17" t="n"/>
      <c r="C33" s="18" t="n"/>
      <c r="D33" s="21" t="n"/>
      <c r="E33" s="21" t="n"/>
      <c r="F33" s="22">
        <f>IF(A33="","",ROUND(E33*0.05+D33*0.08,2))</f>
        <v/>
      </c>
    </row>
    <row r="34">
      <c r="A34" s="16" t="n"/>
      <c r="B34" s="17" t="n"/>
      <c r="C34" s="18" t="n"/>
      <c r="D34" s="21" t="n"/>
      <c r="E34" s="21" t="n"/>
      <c r="F34" s="22">
        <f>IF(A34="","",ROUND(E34*0.05+D34*0.08,2))</f>
        <v/>
      </c>
    </row>
    <row r="35">
      <c r="A35" s="16" t="n"/>
      <c r="B35" s="17" t="n"/>
      <c r="C35" s="18" t="n"/>
      <c r="D35" s="21" t="n"/>
      <c r="E35" s="21" t="n"/>
      <c r="F35" s="22">
        <f>IF(A35="","",ROUND(E35*0.05+D35*0.08,2))</f>
        <v/>
      </c>
    </row>
    <row r="36">
      <c r="A36" s="16" t="n"/>
      <c r="B36" s="17" t="n"/>
      <c r="C36" s="18" t="n"/>
      <c r="D36" s="21" t="n"/>
      <c r="E36" s="21" t="n"/>
      <c r="F36" s="22">
        <f>IF(A36="","",ROUND(E36*0.05+D36*0.08,2))</f>
        <v/>
      </c>
    </row>
    <row r="37">
      <c r="A37" s="16" t="n"/>
      <c r="B37" s="17" t="n"/>
      <c r="C37" s="18" t="n"/>
      <c r="D37" s="21" t="n"/>
      <c r="E37" s="21" t="n"/>
      <c r="F37" s="22">
        <f>IF(A37="","",ROUND(E37*0.05+D37*0.08,2))</f>
        <v/>
      </c>
    </row>
    <row r="38">
      <c r="A38" s="16" t="n"/>
      <c r="B38" s="17" t="n"/>
      <c r="C38" s="18" t="n"/>
      <c r="D38" s="21" t="n"/>
      <c r="E38" s="21" t="n"/>
      <c r="F38" s="22">
        <f>IF(A38="","",ROUND(E38*0.05+D38*0.08,2))</f>
        <v/>
      </c>
    </row>
    <row r="39">
      <c r="A39" s="16" t="n"/>
      <c r="B39" s="17" t="n"/>
      <c r="C39" s="18" t="n"/>
      <c r="D39" s="21" t="n"/>
      <c r="E39" s="21" t="n"/>
      <c r="F39" s="22">
        <f>IF(A39="","",ROUND(E39*0.05+D39*0.08,2))</f>
        <v/>
      </c>
    </row>
    <row r="40">
      <c r="A40" s="16" t="n"/>
      <c r="B40" s="17" t="n"/>
      <c r="C40" s="18" t="n"/>
      <c r="D40" s="21" t="n"/>
      <c r="E40" s="21" t="n"/>
      <c r="F40" s="22">
        <f>IF(A40="","",ROUND(E40*0.05+D40*0.08,2))</f>
        <v/>
      </c>
    </row>
    <row r="41">
      <c r="A41" s="16" t="n"/>
      <c r="B41" s="17" t="n"/>
      <c r="C41" s="18" t="n"/>
      <c r="D41" s="21" t="n"/>
      <c r="E41" s="21" t="n"/>
      <c r="F41" s="22">
        <f>IF(A41="","",ROUND(E41*0.05+D41*0.08,2))</f>
        <v/>
      </c>
    </row>
    <row r="42">
      <c r="A42" s="16" t="n"/>
      <c r="B42" s="17" t="n"/>
      <c r="C42" s="18" t="n"/>
      <c r="D42" s="21" t="n"/>
      <c r="E42" s="21" t="n"/>
      <c r="F42" s="22">
        <f>IF(A42="","",ROUND(E42*0.05+D42*0.08,2))</f>
        <v/>
      </c>
    </row>
    <row r="43">
      <c r="A43" s="16" t="n"/>
      <c r="B43" s="17" t="n"/>
      <c r="C43" s="18" t="n"/>
      <c r="D43" s="21" t="n"/>
      <c r="E43" s="21" t="n"/>
      <c r="F43" s="22">
        <f>IF(A43="","",ROUND(E43*0.05+D43*0.08,2))</f>
        <v/>
      </c>
    </row>
    <row r="44">
      <c r="A44" s="16" t="n"/>
      <c r="B44" s="17" t="n"/>
      <c r="C44" s="18" t="n"/>
      <c r="D44" s="21" t="n"/>
      <c r="E44" s="21" t="n"/>
      <c r="F44" s="22">
        <f>IF(A44="","",ROUND(E44*0.05+D44*0.08,2))</f>
        <v/>
      </c>
    </row>
    <row r="45">
      <c r="A45" s="16" t="n"/>
      <c r="B45" s="17" t="n"/>
      <c r="C45" s="18" t="n"/>
      <c r="D45" s="21" t="n"/>
      <c r="E45" s="21" t="n"/>
      <c r="F45" s="22">
        <f>IF(A45="","",ROUND(E45*0.05+D45*0.08,2))</f>
        <v/>
      </c>
    </row>
    <row r="46">
      <c r="A46" s="16" t="n"/>
      <c r="B46" s="17" t="n"/>
      <c r="C46" s="18" t="n"/>
      <c r="D46" s="21" t="n"/>
      <c r="E46" s="21" t="n"/>
      <c r="F46" s="22">
        <f>IF(A46="","",ROUND(E46*0.05+D46*0.08,2))</f>
        <v/>
      </c>
    </row>
    <row r="47">
      <c r="A47" s="16" t="n"/>
      <c r="B47" s="17" t="n"/>
      <c r="C47" s="18" t="n"/>
      <c r="D47" s="21" t="n"/>
      <c r="E47" s="21" t="n"/>
      <c r="F47" s="22">
        <f>IF(A47="","",ROUND(E47*0.05+D47*0.08,2))</f>
        <v/>
      </c>
    </row>
    <row r="48">
      <c r="A48" s="16" t="n"/>
      <c r="B48" s="17" t="n"/>
      <c r="C48" s="18" t="n"/>
      <c r="D48" s="21" t="n"/>
      <c r="E48" s="21" t="n"/>
      <c r="F48" s="22">
        <f>IF(A48="","",ROUND(E48*0.05+D48*0.08,2))</f>
        <v/>
      </c>
    </row>
    <row r="49">
      <c r="A49" s="16" t="n"/>
      <c r="B49" s="17" t="n"/>
      <c r="C49" s="18" t="n"/>
      <c r="D49" s="21" t="n"/>
      <c r="E49" s="21" t="n"/>
      <c r="F49" s="22">
        <f>IF(A49="","",ROUND(E49*0.05+D49*0.08,2))</f>
        <v/>
      </c>
    </row>
    <row r="50">
      <c r="A50" s="16" t="n"/>
      <c r="B50" s="17" t="n"/>
      <c r="C50" s="18" t="n"/>
      <c r="D50" s="21" t="n"/>
      <c r="E50" s="21" t="n"/>
      <c r="F50" s="22">
        <f>IF(A50="","",ROUND(E50*0.05+D50*0.08,2))</f>
        <v/>
      </c>
    </row>
    <row r="51">
      <c r="A51" s="16" t="n"/>
      <c r="B51" s="17" t="n"/>
      <c r="C51" s="18" t="n"/>
      <c r="D51" s="21" t="n"/>
      <c r="E51" s="21" t="n"/>
      <c r="F51" s="22">
        <f>IF(A51="","",ROUND(E51*0.05+D51*0.08,2))</f>
        <v/>
      </c>
    </row>
    <row r="52">
      <c r="A52" s="16" t="n"/>
      <c r="B52" s="17" t="n"/>
      <c r="C52" s="18" t="n"/>
      <c r="D52" s="21" t="n"/>
      <c r="E52" s="21" t="n"/>
      <c r="F52" s="22">
        <f>IF(A52="","",ROUND(E52*0.05+D52*0.08,2))</f>
        <v/>
      </c>
    </row>
    <row r="53">
      <c r="A53" s="16" t="n"/>
      <c r="B53" s="17" t="n"/>
      <c r="C53" s="18" t="n"/>
      <c r="D53" s="21" t="n"/>
      <c r="E53" s="21" t="n"/>
      <c r="F53" s="22">
        <f>IF(A53="","",ROUND(E53*0.05+D53*0.08,2))</f>
        <v/>
      </c>
    </row>
    <row r="54">
      <c r="A54" s="16" t="n"/>
      <c r="B54" s="17" t="n"/>
      <c r="C54" s="18" t="n"/>
      <c r="D54" s="21" t="n"/>
      <c r="E54" s="21" t="n"/>
      <c r="F54" s="22">
        <f>IF(A54="","",ROUND(E54*0.05+D54*0.08,2))</f>
        <v/>
      </c>
    </row>
    <row r="55">
      <c r="A55" s="16" t="n"/>
      <c r="B55" s="17" t="n"/>
      <c r="C55" s="18" t="n"/>
      <c r="D55" s="21" t="n"/>
      <c r="E55" s="21" t="n"/>
      <c r="F55" s="22">
        <f>IF(A55="","",ROUND(E55*0.05+D55*0.08,2))</f>
        <v/>
      </c>
    </row>
    <row r="56">
      <c r="A56" s="16" t="n"/>
      <c r="B56" s="17" t="n"/>
      <c r="C56" s="18" t="n"/>
      <c r="D56" s="21" t="n"/>
      <c r="E56" s="21" t="n"/>
      <c r="F56" s="22">
        <f>IF(A56="","",ROUND(E56*0.05+D56*0.08,2))</f>
        <v/>
      </c>
    </row>
    <row r="57">
      <c r="A57" s="16" t="n"/>
      <c r="B57" s="17" t="n"/>
      <c r="C57" s="18" t="n"/>
      <c r="D57" s="21" t="n"/>
      <c r="E57" s="21" t="n"/>
      <c r="F57" s="22">
        <f>IF(A57="","",ROUND(E57*0.05+D57*0.08,2))</f>
        <v/>
      </c>
    </row>
    <row r="58">
      <c r="A58" s="16" t="n"/>
      <c r="B58" s="17" t="n"/>
      <c r="C58" s="18" t="n"/>
      <c r="D58" s="21" t="n"/>
      <c r="E58" s="21" t="n"/>
      <c r="F58" s="22">
        <f>IF(A58="","",ROUND(E58*0.05+D58*0.08,2))</f>
        <v/>
      </c>
    </row>
    <row r="59">
      <c r="A59" s="16" t="n"/>
      <c r="B59" s="17" t="n"/>
      <c r="C59" s="18" t="n"/>
      <c r="D59" s="21" t="n"/>
      <c r="E59" s="21" t="n"/>
      <c r="F59" s="22">
        <f>IF(A59="","",ROUND(E59*0.05+D59*0.08,2))</f>
        <v/>
      </c>
    </row>
    <row r="60">
      <c r="A60" s="16" t="n"/>
      <c r="B60" s="17" t="n"/>
      <c r="C60" s="18" t="n"/>
      <c r="D60" s="21" t="n"/>
      <c r="E60" s="21" t="n"/>
      <c r="F60" s="22">
        <f>IF(A60="","",ROUND(E60*0.05+D60*0.08,2))</f>
        <v/>
      </c>
    </row>
    <row r="61">
      <c r="A61" s="16" t="n"/>
      <c r="B61" s="17" t="n"/>
      <c r="C61" s="18" t="n"/>
      <c r="D61" s="21" t="n"/>
      <c r="E61" s="21" t="n"/>
      <c r="F61" s="22">
        <f>IF(A61="","",ROUND(E61*0.05+D61*0.08,2))</f>
        <v/>
      </c>
    </row>
    <row r="62">
      <c r="A62" s="16" t="n"/>
      <c r="B62" s="17" t="n"/>
      <c r="C62" s="18" t="n"/>
      <c r="D62" s="21" t="n"/>
      <c r="E62" s="21" t="n"/>
      <c r="F62" s="22">
        <f>IF(A62="","",ROUND(E62*0.05+D62*0.08,2))</f>
        <v/>
      </c>
    </row>
    <row r="63">
      <c r="A63" s="16" t="n"/>
      <c r="B63" s="17" t="n"/>
      <c r="C63" s="18" t="n"/>
      <c r="D63" s="21" t="n"/>
      <c r="E63" s="21" t="n"/>
      <c r="F63" s="22">
        <f>IF(A63="","",ROUND(E63*0.05+D63*0.08,2))</f>
        <v/>
      </c>
    </row>
    <row r="64">
      <c r="A64" s="16" t="n"/>
      <c r="B64" s="17" t="n"/>
      <c r="C64" s="18" t="n"/>
      <c r="D64" s="21" t="n"/>
      <c r="E64" s="21" t="n"/>
      <c r="F64" s="22">
        <f>IF(A64="","",ROUND(E64*0.05+D64*0.08,2))</f>
        <v/>
      </c>
    </row>
    <row r="65">
      <c r="A65" s="16" t="n"/>
      <c r="B65" s="17" t="n"/>
      <c r="C65" s="18" t="n"/>
      <c r="D65" s="21" t="n"/>
      <c r="E65" s="21" t="n"/>
      <c r="F65" s="22">
        <f>IF(A65="","",ROUND(E65*0.05+D65*0.08,2))</f>
        <v/>
      </c>
    </row>
    <row r="66">
      <c r="A66" s="16" t="n"/>
      <c r="B66" s="17" t="n"/>
      <c r="C66" s="18" t="n"/>
      <c r="D66" s="21" t="n"/>
      <c r="E66" s="21" t="n"/>
      <c r="F66" s="22">
        <f>IF(A66="","",ROUND(E66*0.05+D66*0.08,2))</f>
        <v/>
      </c>
    </row>
    <row r="67">
      <c r="A67" s="16" t="n"/>
      <c r="B67" s="17" t="n"/>
      <c r="C67" s="18" t="n"/>
      <c r="D67" s="21" t="n"/>
      <c r="E67" s="21" t="n"/>
      <c r="F67" s="22">
        <f>IF(A67="","",ROUND(E67*0.05+D67*0.08,2))</f>
        <v/>
      </c>
    </row>
    <row r="68">
      <c r="A68" s="16" t="n"/>
      <c r="B68" s="17" t="n"/>
      <c r="C68" s="18" t="n"/>
      <c r="D68" s="21" t="n"/>
      <c r="E68" s="21" t="n"/>
      <c r="F68" s="22">
        <f>IF(A68="","",ROUND(E68*0.05+D68*0.08,2))</f>
        <v/>
      </c>
    </row>
    <row r="69">
      <c r="A69" s="16" t="n"/>
      <c r="B69" s="17" t="n"/>
      <c r="C69" s="18" t="n"/>
      <c r="D69" s="21" t="n"/>
      <c r="E69" s="21" t="n"/>
      <c r="F69" s="22">
        <f>IF(A69="","",ROUND(E69*0.05+D69*0.08,2))</f>
        <v/>
      </c>
    </row>
    <row r="70">
      <c r="A70" s="16" t="n"/>
      <c r="B70" s="17" t="n"/>
      <c r="C70" s="18" t="n"/>
      <c r="D70" s="21" t="n"/>
      <c r="E70" s="21" t="n"/>
      <c r="F70" s="22">
        <f>IF(A70="","",ROUND(E70*0.05+D70*0.08,2))</f>
        <v/>
      </c>
    </row>
    <row r="71">
      <c r="A71" s="16" t="n"/>
      <c r="B71" s="17" t="n"/>
      <c r="C71" s="18" t="n"/>
      <c r="D71" s="21" t="n"/>
      <c r="E71" s="21" t="n"/>
      <c r="F71" s="22">
        <f>IF(A71="","",ROUND(E71*0.05+D71*0.08,2))</f>
        <v/>
      </c>
    </row>
    <row r="72">
      <c r="A72" s="16" t="n"/>
      <c r="B72" s="17" t="n"/>
      <c r="C72" s="18" t="n"/>
      <c r="D72" s="21" t="n"/>
      <c r="E72" s="21" t="n"/>
      <c r="F72" s="22">
        <f>IF(A72="","",ROUND(E72*0.05+D72*0.08,2))</f>
        <v/>
      </c>
    </row>
    <row r="73">
      <c r="A73" s="16" t="n"/>
      <c r="B73" s="17" t="n"/>
      <c r="C73" s="18" t="n"/>
      <c r="D73" s="21" t="n"/>
      <c r="E73" s="21" t="n"/>
      <c r="F73" s="22">
        <f>IF(A73="","",ROUND(E73*0.05+D73*0.08,2))</f>
        <v/>
      </c>
    </row>
    <row r="74">
      <c r="A74" s="16" t="n"/>
      <c r="B74" s="17" t="n"/>
      <c r="C74" s="18" t="n"/>
      <c r="D74" s="21" t="n"/>
      <c r="E74" s="21" t="n"/>
      <c r="F74" s="22">
        <f>IF(A74="","",ROUND(E74*0.05+D74*0.08,2))</f>
        <v/>
      </c>
    </row>
    <row r="75">
      <c r="A75" s="16" t="n"/>
      <c r="B75" s="17" t="n"/>
      <c r="C75" s="18" t="n"/>
      <c r="D75" s="21" t="n"/>
      <c r="E75" s="21" t="n"/>
      <c r="F75" s="22">
        <f>IF(A75="","",ROUND(E75*0.05+D75*0.08,2))</f>
        <v/>
      </c>
    </row>
    <row r="76">
      <c r="A76" s="16" t="n"/>
      <c r="B76" s="17" t="n"/>
      <c r="C76" s="18" t="n"/>
      <c r="D76" s="21" t="n"/>
      <c r="E76" s="21" t="n"/>
      <c r="F76" s="22">
        <f>IF(A76="","",ROUND(E76*0.05+D76*0.08,2))</f>
        <v/>
      </c>
    </row>
    <row r="77">
      <c r="A77" s="16" t="n"/>
      <c r="B77" s="17" t="n"/>
      <c r="C77" s="18" t="n"/>
      <c r="D77" s="21" t="n"/>
      <c r="E77" s="21" t="n"/>
      <c r="F77" s="22">
        <f>IF(A77="","",ROUND(E77*0.05+D77*0.08,2))</f>
        <v/>
      </c>
    </row>
    <row r="78">
      <c r="A78" s="16" t="n"/>
      <c r="B78" s="17" t="n"/>
      <c r="C78" s="18" t="n"/>
      <c r="D78" s="21" t="n"/>
      <c r="E78" s="21" t="n"/>
      <c r="F78" s="22">
        <f>IF(A78="","",ROUND(E78*0.05+D78*0.08,2))</f>
        <v/>
      </c>
    </row>
    <row r="79">
      <c r="A79" s="16" t="n"/>
      <c r="B79" s="17" t="n"/>
      <c r="C79" s="18" t="n"/>
      <c r="D79" s="21" t="n"/>
      <c r="E79" s="21" t="n"/>
      <c r="F79" s="22">
        <f>IF(A79="","",ROUND(E79*0.05+D79*0.08,2))</f>
        <v/>
      </c>
    </row>
    <row r="80">
      <c r="A80" s="16" t="n"/>
      <c r="B80" s="17" t="n"/>
      <c r="C80" s="18" t="n"/>
      <c r="D80" s="21" t="n"/>
      <c r="E80" s="21" t="n"/>
      <c r="F80" s="22">
        <f>IF(A80="","",ROUND(E80*0.05+D80*0.08,2))</f>
        <v/>
      </c>
    </row>
    <row r="81">
      <c r="A81" s="16" t="n"/>
      <c r="B81" s="17" t="n"/>
      <c r="C81" s="18" t="n"/>
      <c r="D81" s="21" t="n"/>
      <c r="E81" s="21" t="n"/>
      <c r="F81" s="22">
        <f>IF(A81="","",ROUND(E81*0.05+D81*0.08,2))</f>
        <v/>
      </c>
    </row>
    <row r="82">
      <c r="A82" s="16" t="n"/>
      <c r="B82" s="17" t="n"/>
      <c r="C82" s="18" t="n"/>
      <c r="D82" s="21" t="n"/>
      <c r="E82" s="21" t="n"/>
      <c r="F82" s="22">
        <f>IF(A82="","",ROUND(E82*0.05+D82*0.08,2))</f>
        <v/>
      </c>
    </row>
    <row r="83">
      <c r="A83" s="16" t="n"/>
      <c r="B83" s="17" t="n"/>
      <c r="C83" s="18" t="n"/>
      <c r="D83" s="21" t="n"/>
      <c r="E83" s="21" t="n"/>
      <c r="F83" s="22">
        <f>IF(A83="","",ROUND(E83*0.05+D83*0.08,2))</f>
        <v/>
      </c>
    </row>
    <row r="84">
      <c r="A84" s="16" t="n"/>
      <c r="B84" s="17" t="n"/>
      <c r="C84" s="18" t="n"/>
      <c r="D84" s="21" t="n"/>
      <c r="E84" s="21" t="n"/>
      <c r="F84" s="22">
        <f>IF(A84="","",ROUND(E84*0.05+D84*0.08,2))</f>
        <v/>
      </c>
    </row>
    <row r="85">
      <c r="A85" s="16" t="n"/>
      <c r="B85" s="17" t="n"/>
      <c r="C85" s="18" t="n"/>
      <c r="D85" s="21" t="n"/>
      <c r="E85" s="21" t="n"/>
      <c r="F85" s="22">
        <f>IF(A85="","",ROUND(E85*0.05+D85*0.08,2))</f>
        <v/>
      </c>
    </row>
    <row r="86">
      <c r="A86" s="16" t="n"/>
      <c r="B86" s="17" t="n"/>
      <c r="C86" s="18" t="n"/>
      <c r="D86" s="21" t="n"/>
      <c r="E86" s="21" t="n"/>
      <c r="F86" s="22">
        <f>IF(A86="","",ROUND(E86*0.05+D86*0.08,2))</f>
        <v/>
      </c>
    </row>
    <row r="87">
      <c r="A87" s="16" t="n"/>
      <c r="B87" s="17" t="n"/>
      <c r="C87" s="18" t="n"/>
      <c r="D87" s="21" t="n"/>
      <c r="E87" s="21" t="n"/>
      <c r="F87" s="22">
        <f>IF(A87="","",ROUND(E87*0.05+D87*0.08,2))</f>
        <v/>
      </c>
    </row>
    <row r="88">
      <c r="A88" s="16" t="n"/>
      <c r="B88" s="17" t="n"/>
      <c r="C88" s="18" t="n"/>
      <c r="D88" s="21" t="n"/>
      <c r="E88" s="21" t="n"/>
      <c r="F88" s="22">
        <f>IF(A88="","",ROUND(E88*0.05+D88*0.08,2))</f>
        <v/>
      </c>
    </row>
    <row r="89">
      <c r="A89" s="16" t="n"/>
      <c r="B89" s="17" t="n"/>
      <c r="C89" s="18" t="n"/>
      <c r="D89" s="21" t="n"/>
      <c r="E89" s="21" t="n"/>
      <c r="F89" s="22">
        <f>IF(A89="","",ROUND(E89*0.05+D89*0.08,2))</f>
        <v/>
      </c>
    </row>
    <row r="90">
      <c r="A90" s="16" t="n"/>
      <c r="B90" s="17" t="n"/>
      <c r="C90" s="18" t="n"/>
      <c r="D90" s="21" t="n"/>
      <c r="E90" s="21" t="n"/>
      <c r="F90" s="22">
        <f>IF(A90="","",ROUND(E90*0.05+D90*0.08,2))</f>
        <v/>
      </c>
    </row>
    <row r="91">
      <c r="A91" s="16" t="n"/>
      <c r="B91" s="17" t="n"/>
      <c r="C91" s="18" t="n"/>
      <c r="D91" s="21" t="n"/>
      <c r="E91" s="21" t="n"/>
      <c r="F91" s="22">
        <f>IF(A91="","",ROUND(E91*0.05+D91*0.08,2))</f>
        <v/>
      </c>
    </row>
    <row r="92">
      <c r="A92" s="16" t="n"/>
      <c r="B92" s="17" t="n"/>
      <c r="C92" s="18" t="n"/>
      <c r="D92" s="21" t="n"/>
      <c r="E92" s="21" t="n"/>
      <c r="F92" s="22">
        <f>IF(A92="","",ROUND(E92*0.05+D92*0.08,2))</f>
        <v/>
      </c>
    </row>
    <row r="93">
      <c r="A93" s="16" t="n"/>
      <c r="B93" s="17" t="n"/>
      <c r="C93" s="18" t="n"/>
      <c r="D93" s="21" t="n"/>
      <c r="E93" s="21" t="n"/>
      <c r="F93" s="22">
        <f>IF(A93="","",ROUND(E93*0.05+D93*0.08,2))</f>
        <v/>
      </c>
    </row>
    <row r="94">
      <c r="A94" s="16" t="n"/>
      <c r="B94" s="17" t="n"/>
      <c r="C94" s="18" t="n"/>
      <c r="D94" s="21" t="n"/>
      <c r="E94" s="21" t="n"/>
      <c r="F94" s="22">
        <f>IF(A94="","",ROUND(E94*0.05+D94*0.08,2))</f>
        <v/>
      </c>
    </row>
    <row r="95">
      <c r="A95" s="16" t="n"/>
      <c r="B95" s="17" t="n"/>
      <c r="C95" s="18" t="n"/>
      <c r="D95" s="21" t="n"/>
      <c r="E95" s="21" t="n"/>
      <c r="F95" s="22">
        <f>IF(A95="","",ROUND(E95*0.05+D95*0.08,2))</f>
        <v/>
      </c>
    </row>
    <row r="96">
      <c r="A96" s="16" t="n"/>
      <c r="B96" s="17" t="n"/>
      <c r="C96" s="18" t="n"/>
      <c r="D96" s="21" t="n"/>
      <c r="E96" s="21" t="n"/>
      <c r="F96" s="22">
        <f>IF(A96="","",ROUND(E96*0.05+D96*0.08,2))</f>
        <v/>
      </c>
    </row>
    <row r="97">
      <c r="A97" s="16" t="n"/>
      <c r="B97" s="17" t="n"/>
      <c r="C97" s="18" t="n"/>
      <c r="D97" s="21" t="n"/>
      <c r="E97" s="21" t="n"/>
      <c r="F97" s="22">
        <f>IF(A97="","",ROUND(E97*0.05+D97*0.08,2))</f>
        <v/>
      </c>
    </row>
    <row r="98">
      <c r="A98" s="16" t="n"/>
      <c r="B98" s="17" t="n"/>
      <c r="C98" s="18" t="n"/>
      <c r="D98" s="21" t="n"/>
      <c r="E98" s="21" t="n"/>
      <c r="F98" s="22">
        <f>IF(A98="","",ROUND(E98*0.05+D98*0.08,2))</f>
        <v/>
      </c>
    </row>
    <row r="99">
      <c r="A99" s="16" t="n"/>
      <c r="B99" s="17" t="n"/>
      <c r="C99" s="18" t="n"/>
      <c r="D99" s="21" t="n"/>
      <c r="E99" s="21" t="n"/>
      <c r="F99" s="22">
        <f>IF(A99="","",ROUND(E99*0.05+D99*0.08,2))</f>
        <v/>
      </c>
    </row>
    <row r="100">
      <c r="A100" s="16" t="n"/>
      <c r="B100" s="17" t="n"/>
      <c r="C100" s="18" t="n"/>
      <c r="D100" s="21" t="n"/>
      <c r="E100" s="21" t="n"/>
      <c r="F100" s="22">
        <f>IF(A100="","",ROUND(E100*0.05+D100*0.08,2))</f>
        <v/>
      </c>
    </row>
    <row r="101">
      <c r="A101" s="16" t="n"/>
      <c r="B101" s="17" t="n"/>
      <c r="C101" s="18" t="n"/>
      <c r="D101" s="21" t="n"/>
      <c r="E101" s="21" t="n"/>
      <c r="F101" s="22">
        <f>IF(A101="","",ROUND(E101*0.05+D101*0.08,2))</f>
        <v/>
      </c>
    </row>
    <row r="102">
      <c r="A102" s="16" t="n"/>
      <c r="B102" s="17" t="n"/>
      <c r="C102" s="18" t="n"/>
      <c r="D102" s="21" t="n"/>
      <c r="E102" s="21" t="n"/>
      <c r="F102" s="22">
        <f>IF(A102="","",ROUND(E102*0.05+D102*0.08,2))</f>
        <v/>
      </c>
    </row>
    <row r="103">
      <c r="A103" s="16" t="n"/>
      <c r="B103" s="17" t="n"/>
      <c r="C103" s="18" t="n"/>
      <c r="D103" s="21" t="n"/>
      <c r="E103" s="21" t="n"/>
      <c r="F103" s="22">
        <f>IF(A103="","",ROUND(E103*0.05+D103*0.08,2))</f>
        <v/>
      </c>
    </row>
  </sheetData>
  <conditionalFormatting sqref="D2:D103">
    <cfRule type="cellIs" priority="1" operator="lessThan" dxfId="0">
      <formula>0</formula>
    </cfRule>
  </conditionalFormatting>
  <conditionalFormatting sqref="E2:E103">
    <cfRule type="cellIs" priority="2" operator="lessThan" dxfId="0">
      <formula>0</formula>
    </cfRule>
  </conditionalFormatting>
  <conditionalFormatting sqref="F2:F10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Family Fitness Progress Tracker &amp; Meal Planner</dc:title>
  <dcterms:created xsi:type="dcterms:W3CDTF">2026-10-28T16:42:30Z</dcterms:created>
  <dcterms:modified xsi:type="dcterms:W3CDTF">2026-10-28T16:42:30Z</dcterms:modified>
</cp:coreProperties>
</file>