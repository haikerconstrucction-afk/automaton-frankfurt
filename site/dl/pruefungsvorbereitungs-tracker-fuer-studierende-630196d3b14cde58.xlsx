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Lernplan" sheetId="3" state="visible" r:id="rId3"/>
    <sheet name="Lernprotokoll" sheetId="4" state="visible" r:id="rId4"/>
    <sheet name="Prüfungsterm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2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Lernstunden nach Fach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'Lernplan'!H1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'Lernplan'!$A$2:$A$5</f>
            </numRef>
          </cat>
          <val>
            <numRef>
              <f>'Lernplan'!$H$2:$H$5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Lernplan" displayName="T_Lernplan" ref="A1:I55" headerRowCount="1">
  <autoFilter ref="A1:I55"/>
  <tableColumns count="9">
    <tableColumn id="1" name="Fach"/>
    <tableColumn id="2" name="Thema"/>
    <tableColumn id="3" name="Startdatum"/>
    <tableColumn id="4" name="Zieldatum"/>
    <tableColumn id="5" name="Status"/>
    <tableColumn id="6" name="Priorität"/>
    <tableColumn id="7" name="Geplante Stunden"/>
    <tableColumn id="8" name="Tatsächliche Stunden"/>
    <tableColumn id="9" name="Fortschritt %"/>
  </tableColumns>
  <tableStyleInfo name="TableStyleMedium7" showRowStripes="1"/>
</table>
</file>

<file path=xl/tables/table2.xml><?xml version="1.0" encoding="utf-8"?>
<table xmlns="http://schemas.openxmlformats.org/spreadsheetml/2006/main" id="2" name="T_Lernprotokoll" displayName="T_Lernprotokoll" ref="A1:F104" headerRowCount="1">
  <autoFilter ref="A1:F104"/>
  <tableColumns count="6">
    <tableColumn id="1" name="Datum"/>
    <tableColumn id="2" name="Fach"/>
    <tableColumn id="3" name="Thema"/>
    <tableColumn id="4" name="Dauer (h)"/>
    <tableColumn id="5" name="Effektivität"/>
    <tableColumn id="6" name="Notizen"/>
  </tableColumns>
  <tableStyleInfo name="TableStyleMedium7" showRowStripes="1"/>
</table>
</file>

<file path=xl/tables/table3.xml><?xml version="1.0" encoding="utf-8"?>
<table xmlns="http://schemas.openxmlformats.org/spreadsheetml/2006/main" id="3" name="T_Pr_fungstermine" displayName="T_Pr_fungstermine" ref="A1:F24" headerRowCount="1">
  <autoFilter ref="A1:F24"/>
  <tableColumns count="6">
    <tableColumn id="1" name="Fach"/>
    <tableColumn id="2" name="Prüfungsdatum"/>
    <tableColumn id="3" name="Prüfungsort"/>
    <tableColumn id="4" name="Anmeldefrist"/>
    <tableColumn id="5" name="Bestanden"/>
    <tableColumn id="6" name="No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Lernplan'!A1" TargetMode="External" Id="rId2" /><Relationship Type="http://schemas.openxmlformats.org/officeDocument/2006/relationships/hyperlink" Target="#'Lernprotokoll'!A1" TargetMode="External" Id="rId3" /><Relationship Type="http://schemas.openxmlformats.org/officeDocument/2006/relationships/hyperlink" Target="#'Pr&#252;fungstermin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Prüfungsvorbereitungs-Tracker für Studierende</t>
        </is>
      </c>
    </row>
    <row r="3" ht="45" customHeight="1">
      <c r="C3" s="2" t="inlineStr">
        <is>
          <t>Organisiere deine Prüfungsvorbereitung effizient mit diesem Tracker. Behalte Lernfortschritt, Wiederholungen und wichtige Termine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Gib deine Prüfungsfächer ein</t>
        </is>
      </c>
    </row>
    <row r="7" ht="18" customHeight="1">
      <c r="B7" s="4" t="inlineStr">
        <is>
          <t>2.</t>
        </is>
      </c>
      <c r="C7" s="5" t="inlineStr">
        <is>
          <t>Plane wöchentliche Lernzeiten</t>
        </is>
      </c>
    </row>
    <row r="8" ht="18" customHeight="1">
      <c r="B8" s="4" t="inlineStr">
        <is>
          <t>3.</t>
        </is>
      </c>
      <c r="C8" s="5" t="inlineStr">
        <is>
          <t>Trage tägliche Lernstunden ein</t>
        </is>
      </c>
    </row>
    <row r="9" ht="18" customHeight="1">
      <c r="B9" s="4" t="inlineStr">
        <is>
          <t>4.</t>
        </is>
      </c>
      <c r="C9" s="5" t="inlineStr">
        <is>
          <t>Markiere abgeschlossene Themen</t>
        </is>
      </c>
    </row>
    <row r="10" ht="18" customHeight="1">
      <c r="B10" s="4" t="inlineStr">
        <is>
          <t>5.</t>
        </is>
      </c>
      <c r="C10" s="5" t="inlineStr">
        <is>
          <t>Aktualisiere deinen Fortschritt</t>
        </is>
      </c>
    </row>
    <row r="11" ht="18" customHeight="1">
      <c r="B11" s="4" t="inlineStr">
        <is>
          <t>6.</t>
        </is>
      </c>
      <c r="C11" s="5" t="inlineStr">
        <is>
          <t>Nutze die Statistiken zur Kontrolle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Lernplan</t>
        </is>
      </c>
    </row>
    <row r="18">
      <c r="C18" s="7" t="inlineStr">
        <is>
          <t>→ Lernprotokoll</t>
        </is>
      </c>
    </row>
    <row r="19">
      <c r="C19" s="7" t="inlineStr">
        <is>
          <t>→ Prüfungstermine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Prüfungsvorbereitungs-Tracker für Studierende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 Lernstunden</t>
        </is>
      </c>
      <c r="C5" s="12">
        <f>SUM('Lernprotokoll'!D2:D300)</f>
        <v/>
      </c>
    </row>
    <row r="6" ht="24" customHeight="1">
      <c r="B6" s="11" t="inlineStr">
        <is>
          <t>Durchschnittl. Effektivität</t>
        </is>
      </c>
      <c r="C6" s="13">
        <f>AVERAGE('Lernprotokoll'!E2:E300)</f>
        <v/>
      </c>
    </row>
    <row r="7" ht="24" customHeight="1">
      <c r="B7" s="11" t="inlineStr">
        <is>
          <t>Abgeschlossene Themen</t>
        </is>
      </c>
      <c r="C7" s="14">
        <f>COUNTIF('Lernplan'!D2:D300,"Abgeschlossen")</f>
        <v/>
      </c>
    </row>
    <row r="8" ht="24" customHeight="1">
      <c r="B8" s="11" t="inlineStr">
        <is>
          <t>Bevorstehende Prüfungen</t>
        </is>
      </c>
      <c r="C8" s="14">
        <f>COUNTIF('Prüfungstermine'!B2:B300,"&gt;"&amp;TODAY())</f>
        <v/>
      </c>
    </row>
    <row r="9" ht="24" customHeight="1">
      <c r="B9" s="11" t="inlineStr">
        <is>
          <t>Abgeschl. Prüfungen</t>
        </is>
      </c>
      <c r="C9" s="14">
        <f>COUNTIF('Prüfungstermine'!E2:E300,"Ja")</f>
        <v/>
      </c>
    </row>
    <row r="10" ht="24" customHeight="1">
      <c r="B10" s="11" t="inlineStr">
        <is>
          <t>Durchschnittsnote</t>
        </is>
      </c>
      <c r="C10" s="15">
        <f>AVERAGEIF('Prüfungstermine'!F2:F300,"&lt;&gt;"&amp;"")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7" customWidth="1" min="5" max="5"/>
    <col width="12" customWidth="1" min="6" max="6"/>
    <col width="19" customWidth="1" min="7" max="7"/>
    <col width="23" customWidth="1" min="8" max="8"/>
    <col width="25" customWidth="1" min="9" max="9"/>
  </cols>
  <sheetData>
    <row r="1" ht="32" customHeight="1">
      <c r="A1" s="16" t="inlineStr">
        <is>
          <t>Fach</t>
        </is>
      </c>
      <c r="B1" s="16" t="inlineStr">
        <is>
          <t>Thema</t>
        </is>
      </c>
      <c r="C1" s="16" t="inlineStr">
        <is>
          <t>Startdatum</t>
        </is>
      </c>
      <c r="D1" s="16" t="inlineStr">
        <is>
          <t>Zieldatum</t>
        </is>
      </c>
      <c r="E1" s="16" t="inlineStr">
        <is>
          <t>Status</t>
        </is>
      </c>
      <c r="F1" s="16" t="inlineStr">
        <is>
          <t>Priorität</t>
        </is>
      </c>
      <c r="G1" s="16" t="inlineStr">
        <is>
          <t>Geplante Stunden</t>
        </is>
      </c>
      <c r="H1" s="16" t="inlineStr">
        <is>
          <t>Tatsächliche Stunden</t>
        </is>
      </c>
      <c r="I1" s="16" t="inlineStr">
        <is>
          <t>Fortschritt %</t>
        </is>
      </c>
    </row>
    <row r="2">
      <c r="A2" s="17" t="inlineStr">
        <is>
          <t>Mathematik</t>
        </is>
      </c>
      <c r="B2" s="17" t="inlineStr">
        <is>
          <t>Lineare Algebra</t>
        </is>
      </c>
      <c r="C2" s="18" t="n">
        <v>46082</v>
      </c>
      <c r="D2" s="18" t="n">
        <v>46127</v>
      </c>
      <c r="E2" s="17" t="inlineStr">
        <is>
          <t>In Bearbeitung</t>
        </is>
      </c>
      <c r="F2" s="17" t="inlineStr">
        <is>
          <t>Hoch</t>
        </is>
      </c>
      <c r="G2" s="19" t="n">
        <v>30</v>
      </c>
      <c r="H2" s="19" t="n">
        <v>15</v>
      </c>
      <c r="I2" s="20">
        <f>H2/G2</f>
        <v/>
      </c>
    </row>
    <row r="3">
      <c r="A3" s="17" t="inlineStr">
        <is>
          <t>Physik</t>
        </is>
      </c>
      <c r="B3" s="17" t="inlineStr">
        <is>
          <t>Thermodynamik</t>
        </is>
      </c>
      <c r="C3" s="18" t="n">
        <v>46091</v>
      </c>
      <c r="D3" s="18" t="n">
        <v>46132</v>
      </c>
      <c r="E3" s="17" t="inlineStr">
        <is>
          <t>Nicht begonnen</t>
        </is>
      </c>
      <c r="F3" s="17" t="inlineStr">
        <is>
          <t>Mittel</t>
        </is>
      </c>
      <c r="G3" s="19" t="n">
        <v>25</v>
      </c>
      <c r="H3" s="19" t="n">
        <v>0</v>
      </c>
      <c r="I3" s="20">
        <f>H3/G3</f>
        <v/>
      </c>
    </row>
    <row r="4">
      <c r="A4" s="17" t="inlineStr">
        <is>
          <t>Informatik</t>
        </is>
      </c>
      <c r="B4" s="17" t="inlineStr">
        <is>
          <t>Datenbanken</t>
        </is>
      </c>
      <c r="C4" s="18" t="n">
        <v>46073</v>
      </c>
      <c r="D4" s="18" t="n">
        <v>46122</v>
      </c>
      <c r="E4" s="17" t="inlineStr">
        <is>
          <t>Abgeschlossen</t>
        </is>
      </c>
      <c r="F4" s="17" t="inlineStr">
        <is>
          <t>Niedrig</t>
        </is>
      </c>
      <c r="G4" s="19" t="n">
        <v>20</v>
      </c>
      <c r="H4" s="19" t="n">
        <v>22</v>
      </c>
      <c r="I4" s="20">
        <f>H4/G4</f>
        <v/>
      </c>
    </row>
    <row r="5">
      <c r="A5" s="17" t="inlineStr">
        <is>
          <t>BWL</t>
        </is>
      </c>
      <c r="B5" s="17" t="inlineStr">
        <is>
          <t>Kostenrechnung</t>
        </is>
      </c>
      <c r="C5" s="18" t="n">
        <v>46086</v>
      </c>
      <c r="D5" s="18" t="n">
        <v>46143</v>
      </c>
      <c r="E5" s="17" t="inlineStr">
        <is>
          <t>In Bearbeitung</t>
        </is>
      </c>
      <c r="F5" s="17" t="inlineStr">
        <is>
          <t>Hoch</t>
        </is>
      </c>
      <c r="G5" s="19" t="n">
        <v>40</v>
      </c>
      <c r="H5" s="19" t="n">
        <v>12</v>
      </c>
      <c r="I5" s="20">
        <f>H5/G5</f>
        <v/>
      </c>
    </row>
    <row r="6">
      <c r="A6" s="17" t="n"/>
      <c r="B6" s="17" t="n"/>
      <c r="C6" s="18" t="n"/>
      <c r="D6" s="18" t="n"/>
      <c r="E6" s="17" t="n"/>
      <c r="F6" s="17" t="n"/>
      <c r="G6" s="19" t="n"/>
      <c r="H6" s="19" t="n"/>
      <c r="I6" s="20">
        <f>IF(A6="","",H6/G6)</f>
        <v/>
      </c>
    </row>
    <row r="7">
      <c r="A7" s="17" t="n"/>
      <c r="B7" s="17" t="n"/>
      <c r="C7" s="18" t="n"/>
      <c r="D7" s="18" t="n"/>
      <c r="E7" s="17" t="n"/>
      <c r="F7" s="17" t="n"/>
      <c r="G7" s="19" t="n"/>
      <c r="H7" s="19" t="n"/>
      <c r="I7" s="20">
        <f>IF(A7="","",H7/G7)</f>
        <v/>
      </c>
    </row>
    <row r="8">
      <c r="A8" s="17" t="n"/>
      <c r="B8" s="17" t="n"/>
      <c r="C8" s="18" t="n"/>
      <c r="D8" s="18" t="n"/>
      <c r="E8" s="17" t="n"/>
      <c r="F8" s="17" t="n"/>
      <c r="G8" s="19" t="n"/>
      <c r="H8" s="19" t="n"/>
      <c r="I8" s="20">
        <f>IF(A8="","",H8/G8)</f>
        <v/>
      </c>
    </row>
    <row r="9">
      <c r="A9" s="17" t="n"/>
      <c r="B9" s="17" t="n"/>
      <c r="C9" s="18" t="n"/>
      <c r="D9" s="18" t="n"/>
      <c r="E9" s="17" t="n"/>
      <c r="F9" s="17" t="n"/>
      <c r="G9" s="19" t="n"/>
      <c r="H9" s="19" t="n"/>
      <c r="I9" s="20">
        <f>IF(A9="","",H9/G9)</f>
        <v/>
      </c>
    </row>
    <row r="10">
      <c r="A10" s="17" t="n"/>
      <c r="B10" s="17" t="n"/>
      <c r="C10" s="18" t="n"/>
      <c r="D10" s="18" t="n"/>
      <c r="E10" s="17" t="n"/>
      <c r="F10" s="17" t="n"/>
      <c r="G10" s="19" t="n"/>
      <c r="H10" s="19" t="n"/>
      <c r="I10" s="20">
        <f>IF(A10="","",H10/G10)</f>
        <v/>
      </c>
    </row>
    <row r="11">
      <c r="A11" s="17" t="n"/>
      <c r="B11" s="17" t="n"/>
      <c r="C11" s="18" t="n"/>
      <c r="D11" s="18" t="n"/>
      <c r="E11" s="17" t="n"/>
      <c r="F11" s="17" t="n"/>
      <c r="G11" s="19" t="n"/>
      <c r="H11" s="19" t="n"/>
      <c r="I11" s="20">
        <f>IF(A11="","",H11/G11)</f>
        <v/>
      </c>
    </row>
    <row r="12">
      <c r="A12" s="17" t="n"/>
      <c r="B12" s="17" t="n"/>
      <c r="C12" s="18" t="n"/>
      <c r="D12" s="18" t="n"/>
      <c r="E12" s="17" t="n"/>
      <c r="F12" s="17" t="n"/>
      <c r="G12" s="19" t="n"/>
      <c r="H12" s="19" t="n"/>
      <c r="I12" s="20">
        <f>IF(A12="","",H12/G12)</f>
        <v/>
      </c>
    </row>
    <row r="13">
      <c r="A13" s="17" t="n"/>
      <c r="B13" s="17" t="n"/>
      <c r="C13" s="18" t="n"/>
      <c r="D13" s="18" t="n"/>
      <c r="E13" s="17" t="n"/>
      <c r="F13" s="17" t="n"/>
      <c r="G13" s="19" t="n"/>
      <c r="H13" s="19" t="n"/>
      <c r="I13" s="20">
        <f>IF(A13="","",H13/G13)</f>
        <v/>
      </c>
    </row>
    <row r="14">
      <c r="A14" s="17" t="n"/>
      <c r="B14" s="17" t="n"/>
      <c r="C14" s="18" t="n"/>
      <c r="D14" s="18" t="n"/>
      <c r="E14" s="17" t="n"/>
      <c r="F14" s="17" t="n"/>
      <c r="G14" s="19" t="n"/>
      <c r="H14" s="19" t="n"/>
      <c r="I14" s="20">
        <f>IF(A14="","",H14/G14)</f>
        <v/>
      </c>
    </row>
    <row r="15">
      <c r="A15" s="17" t="n"/>
      <c r="B15" s="17" t="n"/>
      <c r="C15" s="18" t="n"/>
      <c r="D15" s="18" t="n"/>
      <c r="E15" s="17" t="n"/>
      <c r="F15" s="17" t="n"/>
      <c r="G15" s="19" t="n"/>
      <c r="H15" s="19" t="n"/>
      <c r="I15" s="20">
        <f>IF(A15="","",H15/G15)</f>
        <v/>
      </c>
    </row>
    <row r="16">
      <c r="A16" s="17" t="n"/>
      <c r="B16" s="17" t="n"/>
      <c r="C16" s="18" t="n"/>
      <c r="D16" s="18" t="n"/>
      <c r="E16" s="17" t="n"/>
      <c r="F16" s="17" t="n"/>
      <c r="G16" s="19" t="n"/>
      <c r="H16" s="19" t="n"/>
      <c r="I16" s="20">
        <f>IF(A16="","",H16/G16)</f>
        <v/>
      </c>
    </row>
    <row r="17">
      <c r="A17" s="17" t="n"/>
      <c r="B17" s="17" t="n"/>
      <c r="C17" s="18" t="n"/>
      <c r="D17" s="18" t="n"/>
      <c r="E17" s="17" t="n"/>
      <c r="F17" s="17" t="n"/>
      <c r="G17" s="19" t="n"/>
      <c r="H17" s="19" t="n"/>
      <c r="I17" s="20">
        <f>IF(A17="","",H17/G17)</f>
        <v/>
      </c>
    </row>
    <row r="18">
      <c r="A18" s="17" t="n"/>
      <c r="B18" s="17" t="n"/>
      <c r="C18" s="18" t="n"/>
      <c r="D18" s="18" t="n"/>
      <c r="E18" s="17" t="n"/>
      <c r="F18" s="17" t="n"/>
      <c r="G18" s="19" t="n"/>
      <c r="H18" s="19" t="n"/>
      <c r="I18" s="20">
        <f>IF(A18="","",H18/G18)</f>
        <v/>
      </c>
    </row>
    <row r="19">
      <c r="A19" s="17" t="n"/>
      <c r="B19" s="17" t="n"/>
      <c r="C19" s="18" t="n"/>
      <c r="D19" s="18" t="n"/>
      <c r="E19" s="17" t="n"/>
      <c r="F19" s="17" t="n"/>
      <c r="G19" s="19" t="n"/>
      <c r="H19" s="19" t="n"/>
      <c r="I19" s="20">
        <f>IF(A19="","",H19/G19)</f>
        <v/>
      </c>
    </row>
    <row r="20">
      <c r="A20" s="17" t="n"/>
      <c r="B20" s="17" t="n"/>
      <c r="C20" s="18" t="n"/>
      <c r="D20" s="18" t="n"/>
      <c r="E20" s="17" t="n"/>
      <c r="F20" s="17" t="n"/>
      <c r="G20" s="19" t="n"/>
      <c r="H20" s="19" t="n"/>
      <c r="I20" s="20">
        <f>IF(A20="","",H20/G20)</f>
        <v/>
      </c>
    </row>
    <row r="21">
      <c r="A21" s="17" t="n"/>
      <c r="B21" s="17" t="n"/>
      <c r="C21" s="18" t="n"/>
      <c r="D21" s="18" t="n"/>
      <c r="E21" s="17" t="n"/>
      <c r="F21" s="17" t="n"/>
      <c r="G21" s="19" t="n"/>
      <c r="H21" s="19" t="n"/>
      <c r="I21" s="20">
        <f>IF(A21="","",H21/G21)</f>
        <v/>
      </c>
    </row>
    <row r="22">
      <c r="A22" s="17" t="n"/>
      <c r="B22" s="17" t="n"/>
      <c r="C22" s="18" t="n"/>
      <c r="D22" s="18" t="n"/>
      <c r="E22" s="17" t="n"/>
      <c r="F22" s="17" t="n"/>
      <c r="G22" s="19" t="n"/>
      <c r="H22" s="19" t="n"/>
      <c r="I22" s="20">
        <f>IF(A22="","",H22/G22)</f>
        <v/>
      </c>
    </row>
    <row r="23">
      <c r="A23" s="17" t="n"/>
      <c r="B23" s="17" t="n"/>
      <c r="C23" s="18" t="n"/>
      <c r="D23" s="18" t="n"/>
      <c r="E23" s="17" t="n"/>
      <c r="F23" s="17" t="n"/>
      <c r="G23" s="19" t="n"/>
      <c r="H23" s="19" t="n"/>
      <c r="I23" s="20">
        <f>IF(A23="","",H23/G23)</f>
        <v/>
      </c>
    </row>
    <row r="24">
      <c r="A24" s="17" t="n"/>
      <c r="B24" s="17" t="n"/>
      <c r="C24" s="18" t="n"/>
      <c r="D24" s="18" t="n"/>
      <c r="E24" s="17" t="n"/>
      <c r="F24" s="17" t="n"/>
      <c r="G24" s="19" t="n"/>
      <c r="H24" s="19" t="n"/>
      <c r="I24" s="20">
        <f>IF(A24="","",H24/G24)</f>
        <v/>
      </c>
    </row>
    <row r="25">
      <c r="A25" s="17" t="n"/>
      <c r="B25" s="17" t="n"/>
      <c r="C25" s="18" t="n"/>
      <c r="D25" s="18" t="n"/>
      <c r="E25" s="17" t="n"/>
      <c r="F25" s="17" t="n"/>
      <c r="G25" s="19" t="n"/>
      <c r="H25" s="19" t="n"/>
      <c r="I25" s="20">
        <f>IF(A25="","",H25/G25)</f>
        <v/>
      </c>
    </row>
    <row r="26">
      <c r="A26" s="17" t="n"/>
      <c r="B26" s="17" t="n"/>
      <c r="C26" s="18" t="n"/>
      <c r="D26" s="18" t="n"/>
      <c r="E26" s="17" t="n"/>
      <c r="F26" s="17" t="n"/>
      <c r="G26" s="19" t="n"/>
      <c r="H26" s="19" t="n"/>
      <c r="I26" s="20">
        <f>IF(A26="","",H26/G26)</f>
        <v/>
      </c>
    </row>
    <row r="27">
      <c r="A27" s="17" t="n"/>
      <c r="B27" s="17" t="n"/>
      <c r="C27" s="18" t="n"/>
      <c r="D27" s="18" t="n"/>
      <c r="E27" s="17" t="n"/>
      <c r="F27" s="17" t="n"/>
      <c r="G27" s="19" t="n"/>
      <c r="H27" s="19" t="n"/>
      <c r="I27" s="20">
        <f>IF(A27="","",H27/G27)</f>
        <v/>
      </c>
    </row>
    <row r="28">
      <c r="A28" s="17" t="n"/>
      <c r="B28" s="17" t="n"/>
      <c r="C28" s="18" t="n"/>
      <c r="D28" s="18" t="n"/>
      <c r="E28" s="17" t="n"/>
      <c r="F28" s="17" t="n"/>
      <c r="G28" s="19" t="n"/>
      <c r="H28" s="19" t="n"/>
      <c r="I28" s="20">
        <f>IF(A28="","",H28/G28)</f>
        <v/>
      </c>
    </row>
    <row r="29">
      <c r="A29" s="17" t="n"/>
      <c r="B29" s="17" t="n"/>
      <c r="C29" s="18" t="n"/>
      <c r="D29" s="18" t="n"/>
      <c r="E29" s="17" t="n"/>
      <c r="F29" s="17" t="n"/>
      <c r="G29" s="19" t="n"/>
      <c r="H29" s="19" t="n"/>
      <c r="I29" s="20">
        <f>IF(A29="","",H29/G29)</f>
        <v/>
      </c>
    </row>
    <row r="30">
      <c r="A30" s="17" t="n"/>
      <c r="B30" s="17" t="n"/>
      <c r="C30" s="18" t="n"/>
      <c r="D30" s="18" t="n"/>
      <c r="E30" s="17" t="n"/>
      <c r="F30" s="17" t="n"/>
      <c r="G30" s="19" t="n"/>
      <c r="H30" s="19" t="n"/>
      <c r="I30" s="20">
        <f>IF(A30="","",H30/G30)</f>
        <v/>
      </c>
    </row>
    <row r="31">
      <c r="A31" s="17" t="n"/>
      <c r="B31" s="17" t="n"/>
      <c r="C31" s="18" t="n"/>
      <c r="D31" s="18" t="n"/>
      <c r="E31" s="17" t="n"/>
      <c r="F31" s="17" t="n"/>
      <c r="G31" s="19" t="n"/>
      <c r="H31" s="19" t="n"/>
      <c r="I31" s="20">
        <f>IF(A31="","",H31/G31)</f>
        <v/>
      </c>
    </row>
    <row r="32">
      <c r="A32" s="17" t="n"/>
      <c r="B32" s="17" t="n"/>
      <c r="C32" s="18" t="n"/>
      <c r="D32" s="18" t="n"/>
      <c r="E32" s="17" t="n"/>
      <c r="F32" s="17" t="n"/>
      <c r="G32" s="19" t="n"/>
      <c r="H32" s="19" t="n"/>
      <c r="I32" s="20">
        <f>IF(A32="","",H32/G32)</f>
        <v/>
      </c>
    </row>
    <row r="33">
      <c r="A33" s="17" t="n"/>
      <c r="B33" s="17" t="n"/>
      <c r="C33" s="18" t="n"/>
      <c r="D33" s="18" t="n"/>
      <c r="E33" s="17" t="n"/>
      <c r="F33" s="17" t="n"/>
      <c r="G33" s="19" t="n"/>
      <c r="H33" s="19" t="n"/>
      <c r="I33" s="20">
        <f>IF(A33="","",H33/G33)</f>
        <v/>
      </c>
    </row>
    <row r="34">
      <c r="A34" s="17" t="n"/>
      <c r="B34" s="17" t="n"/>
      <c r="C34" s="18" t="n"/>
      <c r="D34" s="18" t="n"/>
      <c r="E34" s="17" t="n"/>
      <c r="F34" s="17" t="n"/>
      <c r="G34" s="19" t="n"/>
      <c r="H34" s="19" t="n"/>
      <c r="I34" s="20">
        <f>IF(A34="","",H34/G34)</f>
        <v/>
      </c>
    </row>
    <row r="35">
      <c r="A35" s="17" t="n"/>
      <c r="B35" s="17" t="n"/>
      <c r="C35" s="18" t="n"/>
      <c r="D35" s="18" t="n"/>
      <c r="E35" s="17" t="n"/>
      <c r="F35" s="17" t="n"/>
      <c r="G35" s="19" t="n"/>
      <c r="H35" s="19" t="n"/>
      <c r="I35" s="20">
        <f>IF(A35="","",H35/G35)</f>
        <v/>
      </c>
    </row>
    <row r="36">
      <c r="A36" s="17" t="n"/>
      <c r="B36" s="17" t="n"/>
      <c r="C36" s="18" t="n"/>
      <c r="D36" s="18" t="n"/>
      <c r="E36" s="17" t="n"/>
      <c r="F36" s="17" t="n"/>
      <c r="G36" s="19" t="n"/>
      <c r="H36" s="19" t="n"/>
      <c r="I36" s="20">
        <f>IF(A36="","",H36/G36)</f>
        <v/>
      </c>
    </row>
    <row r="37">
      <c r="A37" s="17" t="n"/>
      <c r="B37" s="17" t="n"/>
      <c r="C37" s="18" t="n"/>
      <c r="D37" s="18" t="n"/>
      <c r="E37" s="17" t="n"/>
      <c r="F37" s="17" t="n"/>
      <c r="G37" s="19" t="n"/>
      <c r="H37" s="19" t="n"/>
      <c r="I37" s="20">
        <f>IF(A37="","",H37/G37)</f>
        <v/>
      </c>
    </row>
    <row r="38">
      <c r="A38" s="17" t="n"/>
      <c r="B38" s="17" t="n"/>
      <c r="C38" s="18" t="n"/>
      <c r="D38" s="18" t="n"/>
      <c r="E38" s="17" t="n"/>
      <c r="F38" s="17" t="n"/>
      <c r="G38" s="19" t="n"/>
      <c r="H38" s="19" t="n"/>
      <c r="I38" s="20">
        <f>IF(A38="","",H38/G38)</f>
        <v/>
      </c>
    </row>
    <row r="39">
      <c r="A39" s="17" t="n"/>
      <c r="B39" s="17" t="n"/>
      <c r="C39" s="18" t="n"/>
      <c r="D39" s="18" t="n"/>
      <c r="E39" s="17" t="n"/>
      <c r="F39" s="17" t="n"/>
      <c r="G39" s="19" t="n"/>
      <c r="H39" s="19" t="n"/>
      <c r="I39" s="20">
        <f>IF(A39="","",H39/G39)</f>
        <v/>
      </c>
    </row>
    <row r="40">
      <c r="A40" s="17" t="n"/>
      <c r="B40" s="17" t="n"/>
      <c r="C40" s="18" t="n"/>
      <c r="D40" s="18" t="n"/>
      <c r="E40" s="17" t="n"/>
      <c r="F40" s="17" t="n"/>
      <c r="G40" s="19" t="n"/>
      <c r="H40" s="19" t="n"/>
      <c r="I40" s="20">
        <f>IF(A40="","",H40/G40)</f>
        <v/>
      </c>
    </row>
    <row r="41">
      <c r="A41" s="17" t="n"/>
      <c r="B41" s="17" t="n"/>
      <c r="C41" s="18" t="n"/>
      <c r="D41" s="18" t="n"/>
      <c r="E41" s="17" t="n"/>
      <c r="F41" s="17" t="n"/>
      <c r="G41" s="19" t="n"/>
      <c r="H41" s="19" t="n"/>
      <c r="I41" s="20">
        <f>IF(A41="","",H41/G41)</f>
        <v/>
      </c>
    </row>
    <row r="42">
      <c r="A42" s="17" t="n"/>
      <c r="B42" s="17" t="n"/>
      <c r="C42" s="18" t="n"/>
      <c r="D42" s="18" t="n"/>
      <c r="E42" s="17" t="n"/>
      <c r="F42" s="17" t="n"/>
      <c r="G42" s="19" t="n"/>
      <c r="H42" s="19" t="n"/>
      <c r="I42" s="20">
        <f>IF(A42="","",H42/G42)</f>
        <v/>
      </c>
    </row>
    <row r="43">
      <c r="A43" s="17" t="n"/>
      <c r="B43" s="17" t="n"/>
      <c r="C43" s="18" t="n"/>
      <c r="D43" s="18" t="n"/>
      <c r="E43" s="17" t="n"/>
      <c r="F43" s="17" t="n"/>
      <c r="G43" s="19" t="n"/>
      <c r="H43" s="19" t="n"/>
      <c r="I43" s="20">
        <f>IF(A43="","",H43/G43)</f>
        <v/>
      </c>
    </row>
    <row r="44">
      <c r="A44" s="17" t="n"/>
      <c r="B44" s="17" t="n"/>
      <c r="C44" s="18" t="n"/>
      <c r="D44" s="18" t="n"/>
      <c r="E44" s="17" t="n"/>
      <c r="F44" s="17" t="n"/>
      <c r="G44" s="19" t="n"/>
      <c r="H44" s="19" t="n"/>
      <c r="I44" s="20">
        <f>IF(A44="","",H44/G44)</f>
        <v/>
      </c>
    </row>
    <row r="45">
      <c r="A45" s="17" t="n"/>
      <c r="B45" s="17" t="n"/>
      <c r="C45" s="18" t="n"/>
      <c r="D45" s="18" t="n"/>
      <c r="E45" s="17" t="n"/>
      <c r="F45" s="17" t="n"/>
      <c r="G45" s="19" t="n"/>
      <c r="H45" s="19" t="n"/>
      <c r="I45" s="20">
        <f>IF(A45="","",H45/G45)</f>
        <v/>
      </c>
    </row>
    <row r="46">
      <c r="A46" s="17" t="n"/>
      <c r="B46" s="17" t="n"/>
      <c r="C46" s="18" t="n"/>
      <c r="D46" s="18" t="n"/>
      <c r="E46" s="17" t="n"/>
      <c r="F46" s="17" t="n"/>
      <c r="G46" s="19" t="n"/>
      <c r="H46" s="19" t="n"/>
      <c r="I46" s="20">
        <f>IF(A46="","",H46/G46)</f>
        <v/>
      </c>
    </row>
    <row r="47">
      <c r="A47" s="17" t="n"/>
      <c r="B47" s="17" t="n"/>
      <c r="C47" s="18" t="n"/>
      <c r="D47" s="18" t="n"/>
      <c r="E47" s="17" t="n"/>
      <c r="F47" s="17" t="n"/>
      <c r="G47" s="19" t="n"/>
      <c r="H47" s="19" t="n"/>
      <c r="I47" s="20">
        <f>IF(A47="","",H47/G47)</f>
        <v/>
      </c>
    </row>
    <row r="48">
      <c r="A48" s="17" t="n"/>
      <c r="B48" s="17" t="n"/>
      <c r="C48" s="18" t="n"/>
      <c r="D48" s="18" t="n"/>
      <c r="E48" s="17" t="n"/>
      <c r="F48" s="17" t="n"/>
      <c r="G48" s="19" t="n"/>
      <c r="H48" s="19" t="n"/>
      <c r="I48" s="20">
        <f>IF(A48="","",H48/G48)</f>
        <v/>
      </c>
    </row>
    <row r="49">
      <c r="A49" s="17" t="n"/>
      <c r="B49" s="17" t="n"/>
      <c r="C49" s="18" t="n"/>
      <c r="D49" s="18" t="n"/>
      <c r="E49" s="17" t="n"/>
      <c r="F49" s="17" t="n"/>
      <c r="G49" s="19" t="n"/>
      <c r="H49" s="19" t="n"/>
      <c r="I49" s="20">
        <f>IF(A49="","",H49/G49)</f>
        <v/>
      </c>
    </row>
    <row r="50">
      <c r="A50" s="17" t="n"/>
      <c r="B50" s="17" t="n"/>
      <c r="C50" s="18" t="n"/>
      <c r="D50" s="18" t="n"/>
      <c r="E50" s="17" t="n"/>
      <c r="F50" s="17" t="n"/>
      <c r="G50" s="19" t="n"/>
      <c r="H50" s="19" t="n"/>
      <c r="I50" s="20">
        <f>IF(A50="","",H50/G50)</f>
        <v/>
      </c>
    </row>
    <row r="51">
      <c r="A51" s="17" t="n"/>
      <c r="B51" s="17" t="n"/>
      <c r="C51" s="18" t="n"/>
      <c r="D51" s="18" t="n"/>
      <c r="E51" s="17" t="n"/>
      <c r="F51" s="17" t="n"/>
      <c r="G51" s="19" t="n"/>
      <c r="H51" s="19" t="n"/>
      <c r="I51" s="20">
        <f>IF(A51="","",H51/G51)</f>
        <v/>
      </c>
    </row>
    <row r="52">
      <c r="A52" s="17" t="n"/>
      <c r="B52" s="17" t="n"/>
      <c r="C52" s="18" t="n"/>
      <c r="D52" s="18" t="n"/>
      <c r="E52" s="17" t="n"/>
      <c r="F52" s="17" t="n"/>
      <c r="G52" s="19" t="n"/>
      <c r="H52" s="19" t="n"/>
      <c r="I52" s="20">
        <f>IF(A52="","",H52/G52)</f>
        <v/>
      </c>
    </row>
    <row r="53">
      <c r="A53" s="17" t="n"/>
      <c r="B53" s="17" t="n"/>
      <c r="C53" s="18" t="n"/>
      <c r="D53" s="18" t="n"/>
      <c r="E53" s="17" t="n"/>
      <c r="F53" s="17" t="n"/>
      <c r="G53" s="19" t="n"/>
      <c r="H53" s="19" t="n"/>
      <c r="I53" s="20">
        <f>IF(A53="","",H53/G53)</f>
        <v/>
      </c>
    </row>
    <row r="54">
      <c r="A54" s="17" t="n"/>
      <c r="B54" s="17" t="n"/>
      <c r="C54" s="18" t="n"/>
      <c r="D54" s="18" t="n"/>
      <c r="E54" s="17" t="n"/>
      <c r="F54" s="17" t="n"/>
      <c r="G54" s="19" t="n"/>
      <c r="H54" s="19" t="n"/>
      <c r="I54" s="20">
        <f>IF(A54="","",H54/G54)</f>
        <v/>
      </c>
    </row>
    <row r="55">
      <c r="A55" s="17" t="n"/>
      <c r="B55" s="17" t="n"/>
      <c r="C55" s="18" t="n"/>
      <c r="D55" s="18" t="n"/>
      <c r="E55" s="17" t="n"/>
      <c r="F55" s="17" t="n"/>
      <c r="G55" s="19" t="n"/>
      <c r="H55" s="19" t="n"/>
      <c r="I55" s="20">
        <f>IF(A55="","",H55/G55)</f>
        <v/>
      </c>
    </row>
  </sheetData>
  <conditionalFormatting sqref="G2:G55">
    <cfRule type="cellIs" priority="1" operator="lessThan" dxfId="0">
      <formula>0</formula>
    </cfRule>
  </conditionalFormatting>
  <conditionalFormatting sqref="H2:H55">
    <cfRule type="cellIs" priority="2" operator="lessThan" dxfId="0">
      <formula>0</formula>
    </cfRule>
  </conditionalFormatting>
  <conditionalFormatting sqref="I2:I55">
    <cfRule type="dataBar" priority="3">
      <dataBar>
        <cfvo type="num" val="0"/>
        <cfvo type="num" val="1"/>
        <color rgb="005FB38F"/>
      </dataBar>
    </cfRule>
  </conditionalFormatting>
  <dataValidations count="2">
    <dataValidation sqref="E2:E55" showDropDown="0" showInputMessage="0" showErrorMessage="0" allowBlank="1" type="list">
      <formula1>"Nicht begonnen,In Bearbeitung,Abgeschlossen"</formula1>
    </dataValidation>
    <dataValidation sqref="F2:F55" showDropDown="0" showInputMessage="0" showErrorMessage="0" allowBlank="1" type="list">
      <formula1>"Hoch,Mittel,Niedrig"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4" customWidth="1" min="4" max="4"/>
    <col width="15" customWidth="1" min="5" max="5"/>
    <col width="40" customWidth="1" min="6" max="6"/>
  </cols>
  <sheetData>
    <row r="1" ht="32" customHeight="1">
      <c r="A1" s="16" t="inlineStr">
        <is>
          <t>Datum</t>
        </is>
      </c>
      <c r="B1" s="16" t="inlineStr">
        <is>
          <t>Fach</t>
        </is>
      </c>
      <c r="C1" s="16" t="inlineStr">
        <is>
          <t>Thema</t>
        </is>
      </c>
      <c r="D1" s="16" t="inlineStr">
        <is>
          <t>Dauer (h)</t>
        </is>
      </c>
      <c r="E1" s="16" t="inlineStr">
        <is>
          <t>Effektivität</t>
        </is>
      </c>
      <c r="F1" s="16" t="inlineStr">
        <is>
          <t>Notizen</t>
        </is>
      </c>
    </row>
    <row r="2">
      <c r="A2" s="18" t="n">
        <v>46096</v>
      </c>
      <c r="B2" s="17" t="inlineStr">
        <is>
          <t>Mathematik</t>
        </is>
      </c>
      <c r="C2" s="17" t="inlineStr">
        <is>
          <t>Lineare Algebra</t>
        </is>
      </c>
      <c r="D2" s="21">
        <f>E2/60</f>
        <v/>
      </c>
      <c r="E2" s="22" t="n">
        <v>0.8</v>
      </c>
      <c r="F2" s="17" t="inlineStr">
        <is>
          <t>Verständnis von Vektorräumen verbessert</t>
        </is>
      </c>
    </row>
    <row r="3">
      <c r="A3" s="18" t="n">
        <v>46097</v>
      </c>
      <c r="B3" s="17" t="inlineStr">
        <is>
          <t>Physik</t>
        </is>
      </c>
      <c r="C3" s="17" t="inlineStr">
        <is>
          <t>Thermodynamik</t>
        </is>
      </c>
      <c r="D3" s="21">
        <f>E3/60</f>
        <v/>
      </c>
      <c r="E3" s="22" t="n">
        <v>0.6</v>
      </c>
      <c r="F3" s="17" t="inlineStr">
        <is>
          <t>Zustandsgleichungen wiederholt</t>
        </is>
      </c>
    </row>
    <row r="4">
      <c r="A4" s="18" t="n">
        <v>46098</v>
      </c>
      <c r="B4" s="17" t="inlineStr">
        <is>
          <t>Informatik</t>
        </is>
      </c>
      <c r="C4" s="17" t="inlineStr">
        <is>
          <t>Datenbanken</t>
        </is>
      </c>
      <c r="D4" s="21">
        <f>E4/60</f>
        <v/>
      </c>
      <c r="E4" s="22" t="n">
        <v>0.9</v>
      </c>
      <c r="F4" s="17" t="inlineStr">
        <is>
          <t>SQL Übungen absolviert</t>
        </is>
      </c>
    </row>
    <row r="5">
      <c r="A5" s="18" t="n"/>
      <c r="B5" s="17" t="n"/>
      <c r="C5" s="17" t="n"/>
      <c r="D5" s="21">
        <f>IF(A5="","",E5/60)</f>
        <v/>
      </c>
      <c r="E5" s="22" t="n"/>
      <c r="F5" s="17" t="n"/>
    </row>
    <row r="6">
      <c r="A6" s="18" t="n"/>
      <c r="B6" s="17" t="n"/>
      <c r="C6" s="17" t="n"/>
      <c r="D6" s="21">
        <f>IF(A6="","",E6/60)</f>
        <v/>
      </c>
      <c r="E6" s="22" t="n"/>
      <c r="F6" s="17" t="n"/>
    </row>
    <row r="7">
      <c r="A7" s="18" t="n"/>
      <c r="B7" s="17" t="n"/>
      <c r="C7" s="17" t="n"/>
      <c r="D7" s="21">
        <f>IF(A7="","",E7/60)</f>
        <v/>
      </c>
      <c r="E7" s="22" t="n"/>
      <c r="F7" s="17" t="n"/>
    </row>
    <row r="8">
      <c r="A8" s="18" t="n"/>
      <c r="B8" s="17" t="n"/>
      <c r="C8" s="17" t="n"/>
      <c r="D8" s="21">
        <f>IF(A8="","",E8/60)</f>
        <v/>
      </c>
      <c r="E8" s="22" t="n"/>
      <c r="F8" s="17" t="n"/>
    </row>
    <row r="9">
      <c r="A9" s="18" t="n"/>
      <c r="B9" s="17" t="n"/>
      <c r="C9" s="17" t="n"/>
      <c r="D9" s="21">
        <f>IF(A9="","",E9/60)</f>
        <v/>
      </c>
      <c r="E9" s="22" t="n"/>
      <c r="F9" s="17" t="n"/>
    </row>
    <row r="10">
      <c r="A10" s="18" t="n"/>
      <c r="B10" s="17" t="n"/>
      <c r="C10" s="17" t="n"/>
      <c r="D10" s="21">
        <f>IF(A10="","",E10/60)</f>
        <v/>
      </c>
      <c r="E10" s="22" t="n"/>
      <c r="F10" s="17" t="n"/>
    </row>
    <row r="11">
      <c r="A11" s="18" t="n"/>
      <c r="B11" s="17" t="n"/>
      <c r="C11" s="17" t="n"/>
      <c r="D11" s="21">
        <f>IF(A11="","",E11/60)</f>
        <v/>
      </c>
      <c r="E11" s="22" t="n"/>
      <c r="F11" s="17" t="n"/>
    </row>
    <row r="12">
      <c r="A12" s="18" t="n"/>
      <c r="B12" s="17" t="n"/>
      <c r="C12" s="17" t="n"/>
      <c r="D12" s="21">
        <f>IF(A12="","",E12/60)</f>
        <v/>
      </c>
      <c r="E12" s="22" t="n"/>
      <c r="F12" s="17" t="n"/>
    </row>
    <row r="13">
      <c r="A13" s="18" t="n"/>
      <c r="B13" s="17" t="n"/>
      <c r="C13" s="17" t="n"/>
      <c r="D13" s="21">
        <f>IF(A13="","",E13/60)</f>
        <v/>
      </c>
      <c r="E13" s="22" t="n"/>
      <c r="F13" s="17" t="n"/>
    </row>
    <row r="14">
      <c r="A14" s="18" t="n"/>
      <c r="B14" s="17" t="n"/>
      <c r="C14" s="17" t="n"/>
      <c r="D14" s="21">
        <f>IF(A14="","",E14/60)</f>
        <v/>
      </c>
      <c r="E14" s="22" t="n"/>
      <c r="F14" s="17" t="n"/>
    </row>
    <row r="15">
      <c r="A15" s="18" t="n"/>
      <c r="B15" s="17" t="n"/>
      <c r="C15" s="17" t="n"/>
      <c r="D15" s="21">
        <f>IF(A15="","",E15/60)</f>
        <v/>
      </c>
      <c r="E15" s="22" t="n"/>
      <c r="F15" s="17" t="n"/>
    </row>
    <row r="16">
      <c r="A16" s="18" t="n"/>
      <c r="B16" s="17" t="n"/>
      <c r="C16" s="17" t="n"/>
      <c r="D16" s="21">
        <f>IF(A16="","",E16/60)</f>
        <v/>
      </c>
      <c r="E16" s="22" t="n"/>
      <c r="F16" s="17" t="n"/>
    </row>
    <row r="17">
      <c r="A17" s="18" t="n"/>
      <c r="B17" s="17" t="n"/>
      <c r="C17" s="17" t="n"/>
      <c r="D17" s="21">
        <f>IF(A17="","",E17/60)</f>
        <v/>
      </c>
      <c r="E17" s="22" t="n"/>
      <c r="F17" s="17" t="n"/>
    </row>
    <row r="18">
      <c r="A18" s="18" t="n"/>
      <c r="B18" s="17" t="n"/>
      <c r="C18" s="17" t="n"/>
      <c r="D18" s="21">
        <f>IF(A18="","",E18/60)</f>
        <v/>
      </c>
      <c r="E18" s="22" t="n"/>
      <c r="F18" s="17" t="n"/>
    </row>
    <row r="19">
      <c r="A19" s="18" t="n"/>
      <c r="B19" s="17" t="n"/>
      <c r="C19" s="17" t="n"/>
      <c r="D19" s="21">
        <f>IF(A19="","",E19/60)</f>
        <v/>
      </c>
      <c r="E19" s="22" t="n"/>
      <c r="F19" s="17" t="n"/>
    </row>
    <row r="20">
      <c r="A20" s="18" t="n"/>
      <c r="B20" s="17" t="n"/>
      <c r="C20" s="17" t="n"/>
      <c r="D20" s="21">
        <f>IF(A20="","",E20/60)</f>
        <v/>
      </c>
      <c r="E20" s="22" t="n"/>
      <c r="F20" s="17" t="n"/>
    </row>
    <row r="21">
      <c r="A21" s="18" t="n"/>
      <c r="B21" s="17" t="n"/>
      <c r="C21" s="17" t="n"/>
      <c r="D21" s="21">
        <f>IF(A21="","",E21/60)</f>
        <v/>
      </c>
      <c r="E21" s="22" t="n"/>
      <c r="F21" s="17" t="n"/>
    </row>
    <row r="22">
      <c r="A22" s="18" t="n"/>
      <c r="B22" s="17" t="n"/>
      <c r="C22" s="17" t="n"/>
      <c r="D22" s="21">
        <f>IF(A22="","",E22/60)</f>
        <v/>
      </c>
      <c r="E22" s="22" t="n"/>
      <c r="F22" s="17" t="n"/>
    </row>
    <row r="23">
      <c r="A23" s="18" t="n"/>
      <c r="B23" s="17" t="n"/>
      <c r="C23" s="17" t="n"/>
      <c r="D23" s="21">
        <f>IF(A23="","",E23/60)</f>
        <v/>
      </c>
      <c r="E23" s="22" t="n"/>
      <c r="F23" s="17" t="n"/>
    </row>
    <row r="24">
      <c r="A24" s="18" t="n"/>
      <c r="B24" s="17" t="n"/>
      <c r="C24" s="17" t="n"/>
      <c r="D24" s="21">
        <f>IF(A24="","",E24/60)</f>
        <v/>
      </c>
      <c r="E24" s="22" t="n"/>
      <c r="F24" s="17" t="n"/>
    </row>
    <row r="25">
      <c r="A25" s="18" t="n"/>
      <c r="B25" s="17" t="n"/>
      <c r="C25" s="17" t="n"/>
      <c r="D25" s="21">
        <f>IF(A25="","",E25/60)</f>
        <v/>
      </c>
      <c r="E25" s="22" t="n"/>
      <c r="F25" s="17" t="n"/>
    </row>
    <row r="26">
      <c r="A26" s="18" t="n"/>
      <c r="B26" s="17" t="n"/>
      <c r="C26" s="17" t="n"/>
      <c r="D26" s="21">
        <f>IF(A26="","",E26/60)</f>
        <v/>
      </c>
      <c r="E26" s="22" t="n"/>
      <c r="F26" s="17" t="n"/>
    </row>
    <row r="27">
      <c r="A27" s="18" t="n"/>
      <c r="B27" s="17" t="n"/>
      <c r="C27" s="17" t="n"/>
      <c r="D27" s="21">
        <f>IF(A27="","",E27/60)</f>
        <v/>
      </c>
      <c r="E27" s="22" t="n"/>
      <c r="F27" s="17" t="n"/>
    </row>
    <row r="28">
      <c r="A28" s="18" t="n"/>
      <c r="B28" s="17" t="n"/>
      <c r="C28" s="17" t="n"/>
      <c r="D28" s="21">
        <f>IF(A28="","",E28/60)</f>
        <v/>
      </c>
      <c r="E28" s="22" t="n"/>
      <c r="F28" s="17" t="n"/>
    </row>
    <row r="29">
      <c r="A29" s="18" t="n"/>
      <c r="B29" s="17" t="n"/>
      <c r="C29" s="17" t="n"/>
      <c r="D29" s="21">
        <f>IF(A29="","",E29/60)</f>
        <v/>
      </c>
      <c r="E29" s="22" t="n"/>
      <c r="F29" s="17" t="n"/>
    </row>
    <row r="30">
      <c r="A30" s="18" t="n"/>
      <c r="B30" s="17" t="n"/>
      <c r="C30" s="17" t="n"/>
      <c r="D30" s="21">
        <f>IF(A30="","",E30/60)</f>
        <v/>
      </c>
      <c r="E30" s="22" t="n"/>
      <c r="F30" s="17" t="n"/>
    </row>
    <row r="31">
      <c r="A31" s="18" t="n"/>
      <c r="B31" s="17" t="n"/>
      <c r="C31" s="17" t="n"/>
      <c r="D31" s="21">
        <f>IF(A31="","",E31/60)</f>
        <v/>
      </c>
      <c r="E31" s="22" t="n"/>
      <c r="F31" s="17" t="n"/>
    </row>
    <row r="32">
      <c r="A32" s="18" t="n"/>
      <c r="B32" s="17" t="n"/>
      <c r="C32" s="17" t="n"/>
      <c r="D32" s="21">
        <f>IF(A32="","",E32/60)</f>
        <v/>
      </c>
      <c r="E32" s="22" t="n"/>
      <c r="F32" s="17" t="n"/>
    </row>
    <row r="33">
      <c r="A33" s="18" t="n"/>
      <c r="B33" s="17" t="n"/>
      <c r="C33" s="17" t="n"/>
      <c r="D33" s="21">
        <f>IF(A33="","",E33/60)</f>
        <v/>
      </c>
      <c r="E33" s="22" t="n"/>
      <c r="F33" s="17" t="n"/>
    </row>
    <row r="34">
      <c r="A34" s="18" t="n"/>
      <c r="B34" s="17" t="n"/>
      <c r="C34" s="17" t="n"/>
      <c r="D34" s="21">
        <f>IF(A34="","",E34/60)</f>
        <v/>
      </c>
      <c r="E34" s="22" t="n"/>
      <c r="F34" s="17" t="n"/>
    </row>
    <row r="35">
      <c r="A35" s="18" t="n"/>
      <c r="B35" s="17" t="n"/>
      <c r="C35" s="17" t="n"/>
      <c r="D35" s="21">
        <f>IF(A35="","",E35/60)</f>
        <v/>
      </c>
      <c r="E35" s="22" t="n"/>
      <c r="F35" s="17" t="n"/>
    </row>
    <row r="36">
      <c r="A36" s="18" t="n"/>
      <c r="B36" s="17" t="n"/>
      <c r="C36" s="17" t="n"/>
      <c r="D36" s="21">
        <f>IF(A36="","",E36/60)</f>
        <v/>
      </c>
      <c r="E36" s="22" t="n"/>
      <c r="F36" s="17" t="n"/>
    </row>
    <row r="37">
      <c r="A37" s="18" t="n"/>
      <c r="B37" s="17" t="n"/>
      <c r="C37" s="17" t="n"/>
      <c r="D37" s="21">
        <f>IF(A37="","",E37/60)</f>
        <v/>
      </c>
      <c r="E37" s="22" t="n"/>
      <c r="F37" s="17" t="n"/>
    </row>
    <row r="38">
      <c r="A38" s="18" t="n"/>
      <c r="B38" s="17" t="n"/>
      <c r="C38" s="17" t="n"/>
      <c r="D38" s="21">
        <f>IF(A38="","",E38/60)</f>
        <v/>
      </c>
      <c r="E38" s="22" t="n"/>
      <c r="F38" s="17" t="n"/>
    </row>
    <row r="39">
      <c r="A39" s="18" t="n"/>
      <c r="B39" s="17" t="n"/>
      <c r="C39" s="17" t="n"/>
      <c r="D39" s="21">
        <f>IF(A39="","",E39/60)</f>
        <v/>
      </c>
      <c r="E39" s="22" t="n"/>
      <c r="F39" s="17" t="n"/>
    </row>
    <row r="40">
      <c r="A40" s="18" t="n"/>
      <c r="B40" s="17" t="n"/>
      <c r="C40" s="17" t="n"/>
      <c r="D40" s="21">
        <f>IF(A40="","",E40/60)</f>
        <v/>
      </c>
      <c r="E40" s="22" t="n"/>
      <c r="F40" s="17" t="n"/>
    </row>
    <row r="41">
      <c r="A41" s="18" t="n"/>
      <c r="B41" s="17" t="n"/>
      <c r="C41" s="17" t="n"/>
      <c r="D41" s="21">
        <f>IF(A41="","",E41/60)</f>
        <v/>
      </c>
      <c r="E41" s="22" t="n"/>
      <c r="F41" s="17" t="n"/>
    </row>
    <row r="42">
      <c r="A42" s="18" t="n"/>
      <c r="B42" s="17" t="n"/>
      <c r="C42" s="17" t="n"/>
      <c r="D42" s="21">
        <f>IF(A42="","",E42/60)</f>
        <v/>
      </c>
      <c r="E42" s="22" t="n"/>
      <c r="F42" s="17" t="n"/>
    </row>
    <row r="43">
      <c r="A43" s="18" t="n"/>
      <c r="B43" s="17" t="n"/>
      <c r="C43" s="17" t="n"/>
      <c r="D43" s="21">
        <f>IF(A43="","",E43/60)</f>
        <v/>
      </c>
      <c r="E43" s="22" t="n"/>
      <c r="F43" s="17" t="n"/>
    </row>
    <row r="44">
      <c r="A44" s="18" t="n"/>
      <c r="B44" s="17" t="n"/>
      <c r="C44" s="17" t="n"/>
      <c r="D44" s="21">
        <f>IF(A44="","",E44/60)</f>
        <v/>
      </c>
      <c r="E44" s="22" t="n"/>
      <c r="F44" s="17" t="n"/>
    </row>
    <row r="45">
      <c r="A45" s="18" t="n"/>
      <c r="B45" s="17" t="n"/>
      <c r="C45" s="17" t="n"/>
      <c r="D45" s="21">
        <f>IF(A45="","",E45/60)</f>
        <v/>
      </c>
      <c r="E45" s="22" t="n"/>
      <c r="F45" s="17" t="n"/>
    </row>
    <row r="46">
      <c r="A46" s="18" t="n"/>
      <c r="B46" s="17" t="n"/>
      <c r="C46" s="17" t="n"/>
      <c r="D46" s="21">
        <f>IF(A46="","",E46/60)</f>
        <v/>
      </c>
      <c r="E46" s="22" t="n"/>
      <c r="F46" s="17" t="n"/>
    </row>
    <row r="47">
      <c r="A47" s="18" t="n"/>
      <c r="B47" s="17" t="n"/>
      <c r="C47" s="17" t="n"/>
      <c r="D47" s="21">
        <f>IF(A47="","",E47/60)</f>
        <v/>
      </c>
      <c r="E47" s="22" t="n"/>
      <c r="F47" s="17" t="n"/>
    </row>
    <row r="48">
      <c r="A48" s="18" t="n"/>
      <c r="B48" s="17" t="n"/>
      <c r="C48" s="17" t="n"/>
      <c r="D48" s="21">
        <f>IF(A48="","",E48/60)</f>
        <v/>
      </c>
      <c r="E48" s="22" t="n"/>
      <c r="F48" s="17" t="n"/>
    </row>
    <row r="49">
      <c r="A49" s="18" t="n"/>
      <c r="B49" s="17" t="n"/>
      <c r="C49" s="17" t="n"/>
      <c r="D49" s="21">
        <f>IF(A49="","",E49/60)</f>
        <v/>
      </c>
      <c r="E49" s="22" t="n"/>
      <c r="F49" s="17" t="n"/>
    </row>
    <row r="50">
      <c r="A50" s="18" t="n"/>
      <c r="B50" s="17" t="n"/>
      <c r="C50" s="17" t="n"/>
      <c r="D50" s="21">
        <f>IF(A50="","",E50/60)</f>
        <v/>
      </c>
      <c r="E50" s="22" t="n"/>
      <c r="F50" s="17" t="n"/>
    </row>
    <row r="51">
      <c r="A51" s="18" t="n"/>
      <c r="B51" s="17" t="n"/>
      <c r="C51" s="17" t="n"/>
      <c r="D51" s="21">
        <f>IF(A51="","",E51/60)</f>
        <v/>
      </c>
      <c r="E51" s="22" t="n"/>
      <c r="F51" s="17" t="n"/>
    </row>
    <row r="52">
      <c r="A52" s="18" t="n"/>
      <c r="B52" s="17" t="n"/>
      <c r="C52" s="17" t="n"/>
      <c r="D52" s="21">
        <f>IF(A52="","",E52/60)</f>
        <v/>
      </c>
      <c r="E52" s="22" t="n"/>
      <c r="F52" s="17" t="n"/>
    </row>
    <row r="53">
      <c r="A53" s="18" t="n"/>
      <c r="B53" s="17" t="n"/>
      <c r="C53" s="17" t="n"/>
      <c r="D53" s="21">
        <f>IF(A53="","",E53/60)</f>
        <v/>
      </c>
      <c r="E53" s="22" t="n"/>
      <c r="F53" s="17" t="n"/>
    </row>
    <row r="54">
      <c r="A54" s="18" t="n"/>
      <c r="B54" s="17" t="n"/>
      <c r="C54" s="17" t="n"/>
      <c r="D54" s="21">
        <f>IF(A54="","",E54/60)</f>
        <v/>
      </c>
      <c r="E54" s="22" t="n"/>
      <c r="F54" s="17" t="n"/>
    </row>
    <row r="55">
      <c r="A55" s="18" t="n"/>
      <c r="B55" s="17" t="n"/>
      <c r="C55" s="17" t="n"/>
      <c r="D55" s="21">
        <f>IF(A55="","",E55/60)</f>
        <v/>
      </c>
      <c r="E55" s="22" t="n"/>
      <c r="F55" s="17" t="n"/>
    </row>
    <row r="56">
      <c r="A56" s="18" t="n"/>
      <c r="B56" s="17" t="n"/>
      <c r="C56" s="17" t="n"/>
      <c r="D56" s="21">
        <f>IF(A56="","",E56/60)</f>
        <v/>
      </c>
      <c r="E56" s="22" t="n"/>
      <c r="F56" s="17" t="n"/>
    </row>
    <row r="57">
      <c r="A57" s="18" t="n"/>
      <c r="B57" s="17" t="n"/>
      <c r="C57" s="17" t="n"/>
      <c r="D57" s="21">
        <f>IF(A57="","",E57/60)</f>
        <v/>
      </c>
      <c r="E57" s="22" t="n"/>
      <c r="F57" s="17" t="n"/>
    </row>
    <row r="58">
      <c r="A58" s="18" t="n"/>
      <c r="B58" s="17" t="n"/>
      <c r="C58" s="17" t="n"/>
      <c r="D58" s="21">
        <f>IF(A58="","",E58/60)</f>
        <v/>
      </c>
      <c r="E58" s="22" t="n"/>
      <c r="F58" s="17" t="n"/>
    </row>
    <row r="59">
      <c r="A59" s="18" t="n"/>
      <c r="B59" s="17" t="n"/>
      <c r="C59" s="17" t="n"/>
      <c r="D59" s="21">
        <f>IF(A59="","",E59/60)</f>
        <v/>
      </c>
      <c r="E59" s="22" t="n"/>
      <c r="F59" s="17" t="n"/>
    </row>
    <row r="60">
      <c r="A60" s="18" t="n"/>
      <c r="B60" s="17" t="n"/>
      <c r="C60" s="17" t="n"/>
      <c r="D60" s="21">
        <f>IF(A60="","",E60/60)</f>
        <v/>
      </c>
      <c r="E60" s="22" t="n"/>
      <c r="F60" s="17" t="n"/>
    </row>
    <row r="61">
      <c r="A61" s="18" t="n"/>
      <c r="B61" s="17" t="n"/>
      <c r="C61" s="17" t="n"/>
      <c r="D61" s="21">
        <f>IF(A61="","",E61/60)</f>
        <v/>
      </c>
      <c r="E61" s="22" t="n"/>
      <c r="F61" s="17" t="n"/>
    </row>
    <row r="62">
      <c r="A62" s="18" t="n"/>
      <c r="B62" s="17" t="n"/>
      <c r="C62" s="17" t="n"/>
      <c r="D62" s="21">
        <f>IF(A62="","",E62/60)</f>
        <v/>
      </c>
      <c r="E62" s="22" t="n"/>
      <c r="F62" s="17" t="n"/>
    </row>
    <row r="63">
      <c r="A63" s="18" t="n"/>
      <c r="B63" s="17" t="n"/>
      <c r="C63" s="17" t="n"/>
      <c r="D63" s="21">
        <f>IF(A63="","",E63/60)</f>
        <v/>
      </c>
      <c r="E63" s="22" t="n"/>
      <c r="F63" s="17" t="n"/>
    </row>
    <row r="64">
      <c r="A64" s="18" t="n"/>
      <c r="B64" s="17" t="n"/>
      <c r="C64" s="17" t="n"/>
      <c r="D64" s="21">
        <f>IF(A64="","",E64/60)</f>
        <v/>
      </c>
      <c r="E64" s="22" t="n"/>
      <c r="F64" s="17" t="n"/>
    </row>
    <row r="65">
      <c r="A65" s="18" t="n"/>
      <c r="B65" s="17" t="n"/>
      <c r="C65" s="17" t="n"/>
      <c r="D65" s="21">
        <f>IF(A65="","",E65/60)</f>
        <v/>
      </c>
      <c r="E65" s="22" t="n"/>
      <c r="F65" s="17" t="n"/>
    </row>
    <row r="66">
      <c r="A66" s="18" t="n"/>
      <c r="B66" s="17" t="n"/>
      <c r="C66" s="17" t="n"/>
      <c r="D66" s="21">
        <f>IF(A66="","",E66/60)</f>
        <v/>
      </c>
      <c r="E66" s="22" t="n"/>
      <c r="F66" s="17" t="n"/>
    </row>
    <row r="67">
      <c r="A67" s="18" t="n"/>
      <c r="B67" s="17" t="n"/>
      <c r="C67" s="17" t="n"/>
      <c r="D67" s="21">
        <f>IF(A67="","",E67/60)</f>
        <v/>
      </c>
      <c r="E67" s="22" t="n"/>
      <c r="F67" s="17" t="n"/>
    </row>
    <row r="68">
      <c r="A68" s="18" t="n"/>
      <c r="B68" s="17" t="n"/>
      <c r="C68" s="17" t="n"/>
      <c r="D68" s="21">
        <f>IF(A68="","",E68/60)</f>
        <v/>
      </c>
      <c r="E68" s="22" t="n"/>
      <c r="F68" s="17" t="n"/>
    </row>
    <row r="69">
      <c r="A69" s="18" t="n"/>
      <c r="B69" s="17" t="n"/>
      <c r="C69" s="17" t="n"/>
      <c r="D69" s="21">
        <f>IF(A69="","",E69/60)</f>
        <v/>
      </c>
      <c r="E69" s="22" t="n"/>
      <c r="F69" s="17" t="n"/>
    </row>
    <row r="70">
      <c r="A70" s="18" t="n"/>
      <c r="B70" s="17" t="n"/>
      <c r="C70" s="17" t="n"/>
      <c r="D70" s="21">
        <f>IF(A70="","",E70/60)</f>
        <v/>
      </c>
      <c r="E70" s="22" t="n"/>
      <c r="F70" s="17" t="n"/>
    </row>
    <row r="71">
      <c r="A71" s="18" t="n"/>
      <c r="B71" s="17" t="n"/>
      <c r="C71" s="17" t="n"/>
      <c r="D71" s="21">
        <f>IF(A71="","",E71/60)</f>
        <v/>
      </c>
      <c r="E71" s="22" t="n"/>
      <c r="F71" s="17" t="n"/>
    </row>
    <row r="72">
      <c r="A72" s="18" t="n"/>
      <c r="B72" s="17" t="n"/>
      <c r="C72" s="17" t="n"/>
      <c r="D72" s="21">
        <f>IF(A72="","",E72/60)</f>
        <v/>
      </c>
      <c r="E72" s="22" t="n"/>
      <c r="F72" s="17" t="n"/>
    </row>
    <row r="73">
      <c r="A73" s="18" t="n"/>
      <c r="B73" s="17" t="n"/>
      <c r="C73" s="17" t="n"/>
      <c r="D73" s="21">
        <f>IF(A73="","",E73/60)</f>
        <v/>
      </c>
      <c r="E73" s="22" t="n"/>
      <c r="F73" s="17" t="n"/>
    </row>
    <row r="74">
      <c r="A74" s="18" t="n"/>
      <c r="B74" s="17" t="n"/>
      <c r="C74" s="17" t="n"/>
      <c r="D74" s="21">
        <f>IF(A74="","",E74/60)</f>
        <v/>
      </c>
      <c r="E74" s="22" t="n"/>
      <c r="F74" s="17" t="n"/>
    </row>
    <row r="75">
      <c r="A75" s="18" t="n"/>
      <c r="B75" s="17" t="n"/>
      <c r="C75" s="17" t="n"/>
      <c r="D75" s="21">
        <f>IF(A75="","",E75/60)</f>
        <v/>
      </c>
      <c r="E75" s="22" t="n"/>
      <c r="F75" s="17" t="n"/>
    </row>
    <row r="76">
      <c r="A76" s="18" t="n"/>
      <c r="B76" s="17" t="n"/>
      <c r="C76" s="17" t="n"/>
      <c r="D76" s="21">
        <f>IF(A76="","",E76/60)</f>
        <v/>
      </c>
      <c r="E76" s="22" t="n"/>
      <c r="F76" s="17" t="n"/>
    </row>
    <row r="77">
      <c r="A77" s="18" t="n"/>
      <c r="B77" s="17" t="n"/>
      <c r="C77" s="17" t="n"/>
      <c r="D77" s="21">
        <f>IF(A77="","",E77/60)</f>
        <v/>
      </c>
      <c r="E77" s="22" t="n"/>
      <c r="F77" s="17" t="n"/>
    </row>
    <row r="78">
      <c r="A78" s="18" t="n"/>
      <c r="B78" s="17" t="n"/>
      <c r="C78" s="17" t="n"/>
      <c r="D78" s="21">
        <f>IF(A78="","",E78/60)</f>
        <v/>
      </c>
      <c r="E78" s="22" t="n"/>
      <c r="F78" s="17" t="n"/>
    </row>
    <row r="79">
      <c r="A79" s="18" t="n"/>
      <c r="B79" s="17" t="n"/>
      <c r="C79" s="17" t="n"/>
      <c r="D79" s="21">
        <f>IF(A79="","",E79/60)</f>
        <v/>
      </c>
      <c r="E79" s="22" t="n"/>
      <c r="F79" s="17" t="n"/>
    </row>
    <row r="80">
      <c r="A80" s="18" t="n"/>
      <c r="B80" s="17" t="n"/>
      <c r="C80" s="17" t="n"/>
      <c r="D80" s="21">
        <f>IF(A80="","",E80/60)</f>
        <v/>
      </c>
      <c r="E80" s="22" t="n"/>
      <c r="F80" s="17" t="n"/>
    </row>
    <row r="81">
      <c r="A81" s="18" t="n"/>
      <c r="B81" s="17" t="n"/>
      <c r="C81" s="17" t="n"/>
      <c r="D81" s="21">
        <f>IF(A81="","",E81/60)</f>
        <v/>
      </c>
      <c r="E81" s="22" t="n"/>
      <c r="F81" s="17" t="n"/>
    </row>
    <row r="82">
      <c r="A82" s="18" t="n"/>
      <c r="B82" s="17" t="n"/>
      <c r="C82" s="17" t="n"/>
      <c r="D82" s="21">
        <f>IF(A82="","",E82/60)</f>
        <v/>
      </c>
      <c r="E82" s="22" t="n"/>
      <c r="F82" s="17" t="n"/>
    </row>
    <row r="83">
      <c r="A83" s="18" t="n"/>
      <c r="B83" s="17" t="n"/>
      <c r="C83" s="17" t="n"/>
      <c r="D83" s="21">
        <f>IF(A83="","",E83/60)</f>
        <v/>
      </c>
      <c r="E83" s="22" t="n"/>
      <c r="F83" s="17" t="n"/>
    </row>
    <row r="84">
      <c r="A84" s="18" t="n"/>
      <c r="B84" s="17" t="n"/>
      <c r="C84" s="17" t="n"/>
      <c r="D84" s="21">
        <f>IF(A84="","",E84/60)</f>
        <v/>
      </c>
      <c r="E84" s="22" t="n"/>
      <c r="F84" s="17" t="n"/>
    </row>
    <row r="85">
      <c r="A85" s="18" t="n"/>
      <c r="B85" s="17" t="n"/>
      <c r="C85" s="17" t="n"/>
      <c r="D85" s="21">
        <f>IF(A85="","",E85/60)</f>
        <v/>
      </c>
      <c r="E85" s="22" t="n"/>
      <c r="F85" s="17" t="n"/>
    </row>
    <row r="86">
      <c r="A86" s="18" t="n"/>
      <c r="B86" s="17" t="n"/>
      <c r="C86" s="17" t="n"/>
      <c r="D86" s="21">
        <f>IF(A86="","",E86/60)</f>
        <v/>
      </c>
      <c r="E86" s="22" t="n"/>
      <c r="F86" s="17" t="n"/>
    </row>
    <row r="87">
      <c r="A87" s="18" t="n"/>
      <c r="B87" s="17" t="n"/>
      <c r="C87" s="17" t="n"/>
      <c r="D87" s="21">
        <f>IF(A87="","",E87/60)</f>
        <v/>
      </c>
      <c r="E87" s="22" t="n"/>
      <c r="F87" s="17" t="n"/>
    </row>
    <row r="88">
      <c r="A88" s="18" t="n"/>
      <c r="B88" s="17" t="n"/>
      <c r="C88" s="17" t="n"/>
      <c r="D88" s="21">
        <f>IF(A88="","",E88/60)</f>
        <v/>
      </c>
      <c r="E88" s="22" t="n"/>
      <c r="F88" s="17" t="n"/>
    </row>
    <row r="89">
      <c r="A89" s="18" t="n"/>
      <c r="B89" s="17" t="n"/>
      <c r="C89" s="17" t="n"/>
      <c r="D89" s="21">
        <f>IF(A89="","",E89/60)</f>
        <v/>
      </c>
      <c r="E89" s="22" t="n"/>
      <c r="F89" s="17" t="n"/>
    </row>
    <row r="90">
      <c r="A90" s="18" t="n"/>
      <c r="B90" s="17" t="n"/>
      <c r="C90" s="17" t="n"/>
      <c r="D90" s="21">
        <f>IF(A90="","",E90/60)</f>
        <v/>
      </c>
      <c r="E90" s="22" t="n"/>
      <c r="F90" s="17" t="n"/>
    </row>
    <row r="91">
      <c r="A91" s="18" t="n"/>
      <c r="B91" s="17" t="n"/>
      <c r="C91" s="17" t="n"/>
      <c r="D91" s="21">
        <f>IF(A91="","",E91/60)</f>
        <v/>
      </c>
      <c r="E91" s="22" t="n"/>
      <c r="F91" s="17" t="n"/>
    </row>
    <row r="92">
      <c r="A92" s="18" t="n"/>
      <c r="B92" s="17" t="n"/>
      <c r="C92" s="17" t="n"/>
      <c r="D92" s="21">
        <f>IF(A92="","",E92/60)</f>
        <v/>
      </c>
      <c r="E92" s="22" t="n"/>
      <c r="F92" s="17" t="n"/>
    </row>
    <row r="93">
      <c r="A93" s="18" t="n"/>
      <c r="B93" s="17" t="n"/>
      <c r="C93" s="17" t="n"/>
      <c r="D93" s="21">
        <f>IF(A93="","",E93/60)</f>
        <v/>
      </c>
      <c r="E93" s="22" t="n"/>
      <c r="F93" s="17" t="n"/>
    </row>
    <row r="94">
      <c r="A94" s="18" t="n"/>
      <c r="B94" s="17" t="n"/>
      <c r="C94" s="17" t="n"/>
      <c r="D94" s="21">
        <f>IF(A94="","",E94/60)</f>
        <v/>
      </c>
      <c r="E94" s="22" t="n"/>
      <c r="F94" s="17" t="n"/>
    </row>
    <row r="95">
      <c r="A95" s="18" t="n"/>
      <c r="B95" s="17" t="n"/>
      <c r="C95" s="17" t="n"/>
      <c r="D95" s="21">
        <f>IF(A95="","",E95/60)</f>
        <v/>
      </c>
      <c r="E95" s="22" t="n"/>
      <c r="F95" s="17" t="n"/>
    </row>
    <row r="96">
      <c r="A96" s="18" t="n"/>
      <c r="B96" s="17" t="n"/>
      <c r="C96" s="17" t="n"/>
      <c r="D96" s="21">
        <f>IF(A96="","",E96/60)</f>
        <v/>
      </c>
      <c r="E96" s="22" t="n"/>
      <c r="F96" s="17" t="n"/>
    </row>
    <row r="97">
      <c r="A97" s="18" t="n"/>
      <c r="B97" s="17" t="n"/>
      <c r="C97" s="17" t="n"/>
      <c r="D97" s="21">
        <f>IF(A97="","",E97/60)</f>
        <v/>
      </c>
      <c r="E97" s="22" t="n"/>
      <c r="F97" s="17" t="n"/>
    </row>
    <row r="98">
      <c r="A98" s="18" t="n"/>
      <c r="B98" s="17" t="n"/>
      <c r="C98" s="17" t="n"/>
      <c r="D98" s="21">
        <f>IF(A98="","",E98/60)</f>
        <v/>
      </c>
      <c r="E98" s="22" t="n"/>
      <c r="F98" s="17" t="n"/>
    </row>
    <row r="99">
      <c r="A99" s="18" t="n"/>
      <c r="B99" s="17" t="n"/>
      <c r="C99" s="17" t="n"/>
      <c r="D99" s="21">
        <f>IF(A99="","",E99/60)</f>
        <v/>
      </c>
      <c r="E99" s="22" t="n"/>
      <c r="F99" s="17" t="n"/>
    </row>
    <row r="100">
      <c r="A100" s="18" t="n"/>
      <c r="B100" s="17" t="n"/>
      <c r="C100" s="17" t="n"/>
      <c r="D100" s="21">
        <f>IF(A100="","",E100/60)</f>
        <v/>
      </c>
      <c r="E100" s="22" t="n"/>
      <c r="F100" s="17" t="n"/>
    </row>
    <row r="101">
      <c r="A101" s="18" t="n"/>
      <c r="B101" s="17" t="n"/>
      <c r="C101" s="17" t="n"/>
      <c r="D101" s="21">
        <f>IF(A101="","",E101/60)</f>
        <v/>
      </c>
      <c r="E101" s="22" t="n"/>
      <c r="F101" s="17" t="n"/>
    </row>
    <row r="102">
      <c r="A102" s="18" t="n"/>
      <c r="B102" s="17" t="n"/>
      <c r="C102" s="17" t="n"/>
      <c r="D102" s="21">
        <f>IF(A102="","",E102/60)</f>
        <v/>
      </c>
      <c r="E102" s="22" t="n"/>
      <c r="F102" s="17" t="n"/>
    </row>
    <row r="103">
      <c r="A103" s="18" t="n"/>
      <c r="B103" s="17" t="n"/>
      <c r="C103" s="17" t="n"/>
      <c r="D103" s="21">
        <f>IF(A103="","",E103/60)</f>
        <v/>
      </c>
      <c r="E103" s="22" t="n"/>
      <c r="F103" s="17" t="n"/>
    </row>
    <row r="104">
      <c r="A104" s="18" t="n"/>
      <c r="B104" s="17" t="n"/>
      <c r="C104" s="17" t="n"/>
      <c r="D104" s="21">
        <f>IF(A104="","",E104/60)</f>
        <v/>
      </c>
      <c r="E104" s="22" t="n"/>
      <c r="F104" s="17" t="n"/>
    </row>
  </sheetData>
  <conditionalFormatting sqref="E2:E104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5" customWidth="1" min="4" max="4"/>
    <col width="12" customWidth="1" min="5" max="5"/>
    <col width="12" customWidth="1" min="6" max="6"/>
  </cols>
  <sheetData>
    <row r="1" ht="32" customHeight="1">
      <c r="A1" s="16" t="inlineStr">
        <is>
          <t>Fach</t>
        </is>
      </c>
      <c r="B1" s="16" t="inlineStr">
        <is>
          <t>Prüfungsdatum</t>
        </is>
      </c>
      <c r="C1" s="16" t="inlineStr">
        <is>
          <t>Prüfungsort</t>
        </is>
      </c>
      <c r="D1" s="16" t="inlineStr">
        <is>
          <t>Anmeldefrist</t>
        </is>
      </c>
      <c r="E1" s="16" t="inlineStr">
        <is>
          <t>Bestanden</t>
        </is>
      </c>
      <c r="F1" s="16" t="inlineStr">
        <is>
          <t>Note</t>
        </is>
      </c>
    </row>
    <row r="2">
      <c r="A2" s="17" t="inlineStr">
        <is>
          <t>Mathematik</t>
        </is>
      </c>
      <c r="B2" s="18" t="n">
        <v>46132</v>
      </c>
      <c r="C2" s="17" t="inlineStr">
        <is>
          <t>HS 3</t>
        </is>
      </c>
      <c r="D2" s="18" t="n">
        <v>46096</v>
      </c>
      <c r="E2" s="17" t="inlineStr"/>
      <c r="F2" s="17" t="inlineStr"/>
    </row>
    <row r="3">
      <c r="A3" s="17" t="inlineStr">
        <is>
          <t>Physik</t>
        </is>
      </c>
      <c r="B3" s="18" t="n">
        <v>46147</v>
      </c>
      <c r="C3" s="17" t="inlineStr">
        <is>
          <t>HS 1</t>
        </is>
      </c>
      <c r="D3" s="18" t="n">
        <v>46113</v>
      </c>
      <c r="E3" s="17" t="inlineStr"/>
      <c r="F3" s="17" t="inlineStr"/>
    </row>
    <row r="4">
      <c r="A4" s="17" t="inlineStr">
        <is>
          <t>Informatik</t>
        </is>
      </c>
      <c r="B4" s="18" t="n">
        <v>46137</v>
      </c>
      <c r="C4" s="17" t="inlineStr">
        <is>
          <t>HS 2</t>
        </is>
      </c>
      <c r="D4" s="18" t="n">
        <v>46101</v>
      </c>
      <c r="E4" s="17" t="inlineStr"/>
      <c r="F4" s="17" t="inlineStr"/>
    </row>
    <row r="5">
      <c r="A5" s="17" t="n"/>
      <c r="B5" s="18" t="n"/>
      <c r="C5" s="17" t="n"/>
      <c r="D5" s="18" t="n"/>
      <c r="E5" s="17" t="n"/>
      <c r="F5" s="17" t="n"/>
    </row>
    <row r="6">
      <c r="A6" s="17" t="n"/>
      <c r="B6" s="18" t="n"/>
      <c r="C6" s="17" t="n"/>
      <c r="D6" s="18" t="n"/>
      <c r="E6" s="17" t="n"/>
      <c r="F6" s="17" t="n"/>
    </row>
    <row r="7">
      <c r="A7" s="17" t="n"/>
      <c r="B7" s="18" t="n"/>
      <c r="C7" s="17" t="n"/>
      <c r="D7" s="18" t="n"/>
      <c r="E7" s="17" t="n"/>
      <c r="F7" s="17" t="n"/>
    </row>
    <row r="8">
      <c r="A8" s="17" t="n"/>
      <c r="B8" s="18" t="n"/>
      <c r="C8" s="17" t="n"/>
      <c r="D8" s="18" t="n"/>
      <c r="E8" s="17" t="n"/>
      <c r="F8" s="17" t="n"/>
    </row>
    <row r="9">
      <c r="A9" s="17" t="n"/>
      <c r="B9" s="18" t="n"/>
      <c r="C9" s="17" t="n"/>
      <c r="D9" s="18" t="n"/>
      <c r="E9" s="17" t="n"/>
      <c r="F9" s="17" t="n"/>
    </row>
    <row r="10">
      <c r="A10" s="17" t="n"/>
      <c r="B10" s="18" t="n"/>
      <c r="C10" s="17" t="n"/>
      <c r="D10" s="18" t="n"/>
      <c r="E10" s="17" t="n"/>
      <c r="F10" s="17" t="n"/>
    </row>
    <row r="11">
      <c r="A11" s="17" t="n"/>
      <c r="B11" s="18" t="n"/>
      <c r="C11" s="17" t="n"/>
      <c r="D11" s="18" t="n"/>
      <c r="E11" s="17" t="n"/>
      <c r="F11" s="17" t="n"/>
    </row>
    <row r="12">
      <c r="A12" s="17" t="n"/>
      <c r="B12" s="18" t="n"/>
      <c r="C12" s="17" t="n"/>
      <c r="D12" s="18" t="n"/>
      <c r="E12" s="17" t="n"/>
      <c r="F12" s="17" t="n"/>
    </row>
    <row r="13">
      <c r="A13" s="17" t="n"/>
      <c r="B13" s="18" t="n"/>
      <c r="C13" s="17" t="n"/>
      <c r="D13" s="18" t="n"/>
      <c r="E13" s="17" t="n"/>
      <c r="F13" s="17" t="n"/>
    </row>
    <row r="14">
      <c r="A14" s="17" t="n"/>
      <c r="B14" s="18" t="n"/>
      <c r="C14" s="17" t="n"/>
      <c r="D14" s="18" t="n"/>
      <c r="E14" s="17" t="n"/>
      <c r="F14" s="17" t="n"/>
    </row>
    <row r="15">
      <c r="A15" s="17" t="n"/>
      <c r="B15" s="18" t="n"/>
      <c r="C15" s="17" t="n"/>
      <c r="D15" s="18" t="n"/>
      <c r="E15" s="17" t="n"/>
      <c r="F15" s="17" t="n"/>
    </row>
    <row r="16">
      <c r="A16" s="17" t="n"/>
      <c r="B16" s="18" t="n"/>
      <c r="C16" s="17" t="n"/>
      <c r="D16" s="18" t="n"/>
      <c r="E16" s="17" t="n"/>
      <c r="F16" s="17" t="n"/>
    </row>
    <row r="17">
      <c r="A17" s="17" t="n"/>
      <c r="B17" s="18" t="n"/>
      <c r="C17" s="17" t="n"/>
      <c r="D17" s="18" t="n"/>
      <c r="E17" s="17" t="n"/>
      <c r="F17" s="17" t="n"/>
    </row>
    <row r="18">
      <c r="A18" s="17" t="n"/>
      <c r="B18" s="18" t="n"/>
      <c r="C18" s="17" t="n"/>
      <c r="D18" s="18" t="n"/>
      <c r="E18" s="17" t="n"/>
      <c r="F18" s="17" t="n"/>
    </row>
    <row r="19">
      <c r="A19" s="17" t="n"/>
      <c r="B19" s="18" t="n"/>
      <c r="C19" s="17" t="n"/>
      <c r="D19" s="18" t="n"/>
      <c r="E19" s="17" t="n"/>
      <c r="F19" s="17" t="n"/>
    </row>
    <row r="20">
      <c r="A20" s="17" t="n"/>
      <c r="B20" s="18" t="n"/>
      <c r="C20" s="17" t="n"/>
      <c r="D20" s="18" t="n"/>
      <c r="E20" s="17" t="n"/>
      <c r="F20" s="17" t="n"/>
    </row>
    <row r="21">
      <c r="A21" s="17" t="n"/>
      <c r="B21" s="18" t="n"/>
      <c r="C21" s="17" t="n"/>
      <c r="D21" s="18" t="n"/>
      <c r="E21" s="17" t="n"/>
      <c r="F21" s="17" t="n"/>
    </row>
    <row r="22">
      <c r="A22" s="17" t="n"/>
      <c r="B22" s="18" t="n"/>
      <c r="C22" s="17" t="n"/>
      <c r="D22" s="18" t="n"/>
      <c r="E22" s="17" t="n"/>
      <c r="F22" s="17" t="n"/>
    </row>
    <row r="23">
      <c r="A23" s="17" t="n"/>
      <c r="B23" s="18" t="n"/>
      <c r="C23" s="17" t="n"/>
      <c r="D23" s="18" t="n"/>
      <c r="E23" s="17" t="n"/>
      <c r="F23" s="17" t="n"/>
    </row>
    <row r="24">
      <c r="A24" s="17" t="n"/>
      <c r="B24" s="18" t="n"/>
      <c r="C24" s="17" t="n"/>
      <c r="D24" s="18" t="n"/>
      <c r="E24" s="17" t="n"/>
      <c r="F24" s="17" t="n"/>
    </row>
  </sheetData>
  <dataValidations count="1">
    <dataValidation sqref="E2:E24" showDropDown="0" showInputMessage="0" showErrorMessage="0" allowBlank="1" type="list">
      <formula1>",Ja,Nein"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Prüfungsvorbereitungs-Tracker für Studierende</dc:title>
  <dcterms:created xsi:type="dcterms:W3CDTF">2026-09-28T23:28:56Z</dcterms:created>
  <dcterms:modified xsi:type="dcterms:W3CDTF">2026-09-28T23:28:56Z</dcterms:modified>
</cp:coreProperties>
</file>