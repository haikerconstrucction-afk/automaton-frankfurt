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训练计划" sheetId="3" state="visible" r:id="rId3"/>
    <sheet name="支出记录" sheetId="4" state="visible" r:id="rId4"/>
    <sheet name="进度追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68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健身支出分类</a:t>
            </a:r>
          </a:p>
        </rich>
      </tx>
    </title>
    <plotArea>
      <pieChart>
        <varyColors val="1"/>
        <ser>
          <idx val="0"/>
          <order val="0"/>
          <tx>
            <strRef>
              <f>'支出记录'!F1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'支出记录'!$B$2:$B$9</f>
            </numRef>
          </cat>
          <val>
            <numRef>
              <f>'支出记录'!$F$2:$F$9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66" displayName="T______266" ref="A1:E39" headerRowCount="1">
  <autoFilter ref="A1:E39"/>
  <tableColumns count="5">
    <tableColumn id="1" name="日期"/>
    <tableColumn id="2" name="训练类型"/>
    <tableColumn id="3" name="时长(分钟)"/>
    <tableColumn id="4" name="强度"/>
    <tableColumn id="5" name="训练内容"/>
  </tableColumns>
  <tableStyleInfo name="TableStyleMedium7" showRowStripes="1"/>
</table>
</file>

<file path=xl/tables/table2.xml><?xml version="1.0" encoding="utf-8"?>
<table xmlns="http://schemas.openxmlformats.org/spreadsheetml/2006/main" id="2" name="T______337" displayName="T______337" ref="A1:F69" headerRowCount="1">
  <autoFilter ref="A1:F69"/>
  <tableColumns count="6">
    <tableColumn id="1" name="日期"/>
    <tableColumn id="2" name="类别"/>
    <tableColumn id="3" name="项目"/>
    <tableColumn id="4" name="数量"/>
    <tableColumn id="5" name="单价"/>
    <tableColumn id="6" name="总价"/>
  </tableColumns>
  <tableStyleInfo name="TableStyleMedium7" showRowStripes="1"/>
</table>
</file>

<file path=xl/tables/table3.xml><?xml version="1.0" encoding="utf-8"?>
<table xmlns="http://schemas.openxmlformats.org/spreadsheetml/2006/main" id="3" name="T______4616" displayName="T______4616" ref="A1:F36" headerRowCount="1">
  <autoFilter ref="A1:F36"/>
  <tableColumns count="6">
    <tableColumn id="1" name="日期"/>
    <tableColumn id="2" name="体重(kg)"/>
    <tableColumn id="3" name="体脂率(%)"/>
    <tableColumn id="4" name="静息心率"/>
    <tableColumn id="5" name="最大力量(kg)"/>
    <tableColumn id="6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5757;&#32451;&#35745;&#21010;'!A1" TargetMode="External" Id="rId2" /><Relationship Type="http://schemas.openxmlformats.org/officeDocument/2006/relationships/hyperlink" Target="#'&#25903;&#20986;&#35760;&#24405;'!A1" TargetMode="External" Id="rId3" /><Relationship Type="http://schemas.openxmlformats.org/officeDocument/2006/relationships/hyperlink" Target="#'&#36827;&#24230;&#36861;&#3639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智能私人健身预算与训练进度追踪器</t>
        </is>
      </c>
    </row>
    <row r="3" ht="45" customHeight="1">
      <c r="C3" s="2" t="inlineStr">
        <is>
          <t>专业级的健身预算和训练进度追踪工具，帮助您高效管理训练计划和财务支出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在「训练计划」表填写您的每周训练安排</t>
        </is>
      </c>
    </row>
    <row r="7" ht="18" customHeight="1">
      <c r="B7" s="4" t="inlineStr">
        <is>
          <t>2.</t>
        </is>
      </c>
      <c r="C7" s="5" t="inlineStr">
        <is>
          <t>在「支出记录」表记录所有健身相关支出</t>
        </is>
      </c>
    </row>
    <row r="8" ht="18" customHeight="1">
      <c r="B8" s="4" t="inlineStr">
        <is>
          <t>3.</t>
        </is>
      </c>
      <c r="C8" s="5" t="inlineStr">
        <is>
          <t>定期更新「进度追踪」表中的身体指标</t>
        </is>
      </c>
    </row>
    <row r="9" ht="18" customHeight="1">
      <c r="B9" s="4" t="inlineStr">
        <is>
          <t>4.</t>
        </is>
      </c>
      <c r="C9" s="5" t="inlineStr">
        <is>
          <t>在「仪表盘」查看关键统计数据和图表</t>
        </is>
      </c>
    </row>
    <row r="10" ht="18" customHeight="1">
      <c r="B10" s="4" t="inlineStr">
        <is>
          <t>5.</t>
        </is>
      </c>
      <c r="C10" s="5" t="inlineStr">
        <is>
          <t>每月分析支出和训练效果，调整计划</t>
        </is>
      </c>
    </row>
    <row r="11" ht="18" customHeight="1">
      <c r="B11" s="4" t="inlineStr">
        <is>
          <t>6.</t>
        </is>
      </c>
      <c r="C11" s="5" t="inlineStr">
        <is>
          <t>利用下拉菜单简化数据输入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训练计划</t>
        </is>
      </c>
    </row>
    <row r="18">
      <c r="C18" s="7" t="inlineStr">
        <is>
          <t>→ 支出记录</t>
        </is>
      </c>
    </row>
    <row r="19">
      <c r="C19" s="7" t="inlineStr">
        <is>
          <t>→ 进度追踪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智能私人健身预算与训练进度追踪器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月度健身总支出</t>
        </is>
      </c>
      <c r="C5" s="12">
        <f>SUM('支出记录'!F2:F300)</f>
        <v/>
      </c>
    </row>
    <row r="6" ht="24" customHeight="1">
      <c r="B6" s="11" t="inlineStr">
        <is>
          <t>训练总时长(小时)</t>
        </is>
      </c>
      <c r="C6" s="13">
        <f>SUM('训练计划'!C2:C300)/60</f>
        <v/>
      </c>
    </row>
    <row r="7" ht="24" customHeight="1">
      <c r="B7" s="11" t="inlineStr">
        <is>
          <t>平均每月会员开销</t>
        </is>
      </c>
      <c r="C7" s="12">
        <f>AVERAGEIF('支出记录'!B2:B300,"会员费",'支出记录'!F2:F300)</f>
        <v/>
      </c>
    </row>
    <row r="8" ht="24" customHeight="1">
      <c r="B8" s="11" t="inlineStr">
        <is>
          <t>力量训练占比</t>
        </is>
      </c>
      <c r="C8" s="14">
        <f>COUNTIF('训练计划'!B2:B300,"力量训练")/COUNTA('训练计划'!B2:B300)</f>
        <v/>
      </c>
    </row>
    <row r="9" ht="24" customHeight="1">
      <c r="B9" s="11" t="inlineStr">
        <is>
          <t>体脂降低</t>
        </is>
      </c>
      <c r="C9" s="14">
        <f>INDEX('进度追踪'!C2:C50,1)-INDEX('进度追踪'!C2:C50,COUNTA('进度追踪'!C2:C50))</f>
        <v/>
      </c>
    </row>
    <row r="10" ht="24" customHeight="1">
      <c r="B10" s="11" t="inlineStr">
        <is>
          <t>训练记录数</t>
        </is>
      </c>
      <c r="C10" s="15">
        <f>COUNTA('训练计划'!A2:A300)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32" customHeight="1">
      <c r="A1" s="16" t="inlineStr">
        <is>
          <t>日期</t>
        </is>
      </c>
      <c r="B1" s="16" t="inlineStr">
        <is>
          <t>训练类型</t>
        </is>
      </c>
      <c r="C1" s="16" t="inlineStr">
        <is>
          <t>时长(分钟)</t>
        </is>
      </c>
      <c r="D1" s="16" t="inlineStr">
        <is>
          <t>强度</t>
        </is>
      </c>
      <c r="E1" s="16" t="inlineStr">
        <is>
          <t>训练内容</t>
        </is>
      </c>
    </row>
    <row r="2">
      <c r="A2" s="17" t="n">
        <v>46037</v>
      </c>
      <c r="B2" s="18" t="inlineStr">
        <is>
          <t>力量训练</t>
        </is>
      </c>
      <c r="C2" s="19" t="n">
        <v>60</v>
      </c>
      <c r="D2" s="18" t="inlineStr">
        <is>
          <t>高强度</t>
        </is>
      </c>
      <c r="E2" s="18" t="inlineStr">
        <is>
          <t>深蹲/硬拉/卧推</t>
        </is>
      </c>
    </row>
    <row r="3">
      <c r="A3" s="17" t="n">
        <v>46039</v>
      </c>
      <c r="B3" s="18" t="inlineStr">
        <is>
          <t>有氧运动</t>
        </is>
      </c>
      <c r="C3" s="19" t="n">
        <v>45</v>
      </c>
      <c r="D3" s="18" t="inlineStr">
        <is>
          <t>中等</t>
        </is>
      </c>
      <c r="E3" s="18" t="inlineStr">
        <is>
          <t>跑步机间歇训练</t>
        </is>
      </c>
    </row>
    <row r="4">
      <c r="A4" s="17" t="n">
        <v>46041</v>
      </c>
      <c r="B4" s="18" t="inlineStr">
        <is>
          <t>柔韧性</t>
        </is>
      </c>
      <c r="C4" s="19" t="n">
        <v>30</v>
      </c>
      <c r="D4" s="18" t="inlineStr">
        <is>
          <t>低</t>
        </is>
      </c>
      <c r="E4" s="18" t="inlineStr">
        <is>
          <t>瑜伽拉伸</t>
        </is>
      </c>
    </row>
    <row r="5">
      <c r="A5" s="17" t="n">
        <v>46044</v>
      </c>
      <c r="B5" s="18" t="inlineStr">
        <is>
          <t>HIIT</t>
        </is>
      </c>
      <c r="C5" s="19" t="n">
        <v>40</v>
      </c>
      <c r="D5" s="18" t="inlineStr">
        <is>
          <t>高强度</t>
        </is>
      </c>
      <c r="E5" s="18" t="inlineStr">
        <is>
          <t>循环训练</t>
        </is>
      </c>
    </row>
    <row r="6">
      <c r="A6" s="17" t="n">
        <v>46046</v>
      </c>
      <c r="B6" s="18" t="inlineStr">
        <is>
          <t>力量训练</t>
        </is>
      </c>
      <c r="C6" s="19" t="n">
        <v>60</v>
      </c>
      <c r="D6" s="18" t="inlineStr">
        <is>
          <t>中等</t>
        </is>
      </c>
      <c r="E6" s="18" t="inlineStr">
        <is>
          <t>上肢专项</t>
        </is>
      </c>
    </row>
    <row r="7">
      <c r="A7" s="17" t="n">
        <v>46048</v>
      </c>
      <c r="B7" s="18" t="inlineStr">
        <is>
          <t>恢复</t>
        </is>
      </c>
      <c r="C7" s="19" t="n">
        <v>30</v>
      </c>
      <c r="D7" s="18" t="inlineStr">
        <is>
          <t>低</t>
        </is>
      </c>
      <c r="E7" s="18" t="inlineStr">
        <is>
          <t>泡沫轴放松</t>
        </is>
      </c>
    </row>
    <row r="8">
      <c r="A8" s="17" t="n">
        <v>46051</v>
      </c>
      <c r="B8" s="18" t="inlineStr">
        <is>
          <t>综合训练</t>
        </is>
      </c>
      <c r="C8" s="19" t="n">
        <v>50</v>
      </c>
      <c r="D8" s="18" t="inlineStr">
        <is>
          <t>高强度</t>
        </is>
      </c>
      <c r="E8" s="18" t="inlineStr">
        <is>
          <t>CrossFit WOD</t>
        </is>
      </c>
    </row>
    <row r="9">
      <c r="A9" s="17" t="n">
        <v>46053</v>
      </c>
      <c r="B9" s="18" t="inlineStr">
        <is>
          <t>长跑</t>
        </is>
      </c>
      <c r="C9" s="19" t="n">
        <v>90</v>
      </c>
      <c r="D9" s="18" t="inlineStr">
        <is>
          <t>中等</t>
        </is>
      </c>
      <c r="E9" s="18" t="inlineStr">
        <is>
          <t>户外10公里</t>
        </is>
      </c>
    </row>
    <row r="10">
      <c r="A10" s="17" t="n"/>
      <c r="B10" s="18" t="n"/>
      <c r="C10" s="19" t="n"/>
      <c r="D10" s="18" t="n"/>
      <c r="E10" s="18" t="n"/>
    </row>
    <row r="11">
      <c r="A11" s="17" t="n"/>
      <c r="B11" s="18" t="n"/>
      <c r="C11" s="19" t="n"/>
      <c r="D11" s="18" t="n"/>
      <c r="E11" s="18" t="n"/>
    </row>
    <row r="12">
      <c r="A12" s="17" t="n"/>
      <c r="B12" s="18" t="n"/>
      <c r="C12" s="19" t="n"/>
      <c r="D12" s="18" t="n"/>
      <c r="E12" s="18" t="n"/>
    </row>
    <row r="13">
      <c r="A13" s="17" t="n"/>
      <c r="B13" s="18" t="n"/>
      <c r="C13" s="19" t="n"/>
      <c r="D13" s="18" t="n"/>
      <c r="E13" s="18" t="n"/>
    </row>
    <row r="14">
      <c r="A14" s="17" t="n"/>
      <c r="B14" s="18" t="n"/>
      <c r="C14" s="19" t="n"/>
      <c r="D14" s="18" t="n"/>
      <c r="E14" s="18" t="n"/>
    </row>
    <row r="15">
      <c r="A15" s="17" t="n"/>
      <c r="B15" s="18" t="n"/>
      <c r="C15" s="19" t="n"/>
      <c r="D15" s="18" t="n"/>
      <c r="E15" s="18" t="n"/>
    </row>
    <row r="16">
      <c r="A16" s="17" t="n"/>
      <c r="B16" s="18" t="n"/>
      <c r="C16" s="19" t="n"/>
      <c r="D16" s="18" t="n"/>
      <c r="E16" s="18" t="n"/>
    </row>
    <row r="17">
      <c r="A17" s="17" t="n"/>
      <c r="B17" s="18" t="n"/>
      <c r="C17" s="19" t="n"/>
      <c r="D17" s="18" t="n"/>
      <c r="E17" s="18" t="n"/>
    </row>
    <row r="18">
      <c r="A18" s="17" t="n"/>
      <c r="B18" s="18" t="n"/>
      <c r="C18" s="19" t="n"/>
      <c r="D18" s="18" t="n"/>
      <c r="E18" s="18" t="n"/>
    </row>
    <row r="19">
      <c r="A19" s="17" t="n"/>
      <c r="B19" s="18" t="n"/>
      <c r="C19" s="19" t="n"/>
      <c r="D19" s="18" t="n"/>
      <c r="E19" s="18" t="n"/>
    </row>
    <row r="20">
      <c r="A20" s="17" t="n"/>
      <c r="B20" s="18" t="n"/>
      <c r="C20" s="19" t="n"/>
      <c r="D20" s="18" t="n"/>
      <c r="E20" s="18" t="n"/>
    </row>
    <row r="21">
      <c r="A21" s="17" t="n"/>
      <c r="B21" s="18" t="n"/>
      <c r="C21" s="19" t="n"/>
      <c r="D21" s="18" t="n"/>
      <c r="E21" s="18" t="n"/>
    </row>
    <row r="22">
      <c r="A22" s="17" t="n"/>
      <c r="B22" s="18" t="n"/>
      <c r="C22" s="19" t="n"/>
      <c r="D22" s="18" t="n"/>
      <c r="E22" s="18" t="n"/>
    </row>
    <row r="23">
      <c r="A23" s="17" t="n"/>
      <c r="B23" s="18" t="n"/>
      <c r="C23" s="19" t="n"/>
      <c r="D23" s="18" t="n"/>
      <c r="E23" s="18" t="n"/>
    </row>
    <row r="24">
      <c r="A24" s="17" t="n"/>
      <c r="B24" s="18" t="n"/>
      <c r="C24" s="19" t="n"/>
      <c r="D24" s="18" t="n"/>
      <c r="E24" s="18" t="n"/>
    </row>
    <row r="25">
      <c r="A25" s="17" t="n"/>
      <c r="B25" s="18" t="n"/>
      <c r="C25" s="19" t="n"/>
      <c r="D25" s="18" t="n"/>
      <c r="E25" s="18" t="n"/>
    </row>
    <row r="26">
      <c r="A26" s="17" t="n"/>
      <c r="B26" s="18" t="n"/>
      <c r="C26" s="19" t="n"/>
      <c r="D26" s="18" t="n"/>
      <c r="E26" s="18" t="n"/>
    </row>
    <row r="27">
      <c r="A27" s="17" t="n"/>
      <c r="B27" s="18" t="n"/>
      <c r="C27" s="19" t="n"/>
      <c r="D27" s="18" t="n"/>
      <c r="E27" s="18" t="n"/>
    </row>
    <row r="28">
      <c r="A28" s="17" t="n"/>
      <c r="B28" s="18" t="n"/>
      <c r="C28" s="19" t="n"/>
      <c r="D28" s="18" t="n"/>
      <c r="E28" s="18" t="n"/>
    </row>
    <row r="29">
      <c r="A29" s="17" t="n"/>
      <c r="B29" s="18" t="n"/>
      <c r="C29" s="19" t="n"/>
      <c r="D29" s="18" t="n"/>
      <c r="E29" s="18" t="n"/>
    </row>
    <row r="30">
      <c r="A30" s="17" t="n"/>
      <c r="B30" s="18" t="n"/>
      <c r="C30" s="19" t="n"/>
      <c r="D30" s="18" t="n"/>
      <c r="E30" s="18" t="n"/>
    </row>
    <row r="31">
      <c r="A31" s="17" t="n"/>
      <c r="B31" s="18" t="n"/>
      <c r="C31" s="19" t="n"/>
      <c r="D31" s="18" t="n"/>
      <c r="E31" s="18" t="n"/>
    </row>
    <row r="32">
      <c r="A32" s="17" t="n"/>
      <c r="B32" s="18" t="n"/>
      <c r="C32" s="19" t="n"/>
      <c r="D32" s="18" t="n"/>
      <c r="E32" s="18" t="n"/>
    </row>
    <row r="33">
      <c r="A33" s="17" t="n"/>
      <c r="B33" s="18" t="n"/>
      <c r="C33" s="19" t="n"/>
      <c r="D33" s="18" t="n"/>
      <c r="E33" s="18" t="n"/>
    </row>
    <row r="34">
      <c r="A34" s="17" t="n"/>
      <c r="B34" s="18" t="n"/>
      <c r="C34" s="19" t="n"/>
      <c r="D34" s="18" t="n"/>
      <c r="E34" s="18" t="n"/>
    </row>
    <row r="35">
      <c r="A35" s="17" t="n"/>
      <c r="B35" s="18" t="n"/>
      <c r="C35" s="19" t="n"/>
      <c r="D35" s="18" t="n"/>
      <c r="E35" s="18" t="n"/>
    </row>
    <row r="36">
      <c r="A36" s="17" t="n"/>
      <c r="B36" s="18" t="n"/>
      <c r="C36" s="19" t="n"/>
      <c r="D36" s="18" t="n"/>
      <c r="E36" s="18" t="n"/>
    </row>
    <row r="37">
      <c r="A37" s="17" t="n"/>
      <c r="B37" s="18" t="n"/>
      <c r="C37" s="19" t="n"/>
      <c r="D37" s="18" t="n"/>
      <c r="E37" s="18" t="n"/>
    </row>
    <row r="38">
      <c r="A38" s="17" t="n"/>
      <c r="B38" s="18" t="n"/>
      <c r="C38" s="19" t="n"/>
      <c r="D38" s="18" t="n"/>
      <c r="E38" s="18" t="n"/>
    </row>
    <row r="39">
      <c r="A39" s="17" t="n"/>
      <c r="B39" s="18" t="n"/>
      <c r="C39" s="19" t="n"/>
      <c r="D39" s="18" t="n"/>
      <c r="E39" s="18" t="n"/>
    </row>
  </sheetData>
  <conditionalFormatting sqref="C2:C39">
    <cfRule type="cellIs" priority="1" operator="lessThan" dxfId="0">
      <formula>0</formula>
    </cfRule>
  </conditionalFormatting>
  <dataValidations count="2">
    <dataValidation sqref="B2:B39" showDropDown="0" showInputMessage="0" showErrorMessage="0" allowBlank="1" type="list">
      <formula1>"力量训练,有氧运动,HIIT,柔韧性,恢复,综合训练,其他"</formula1>
    </dataValidation>
    <dataValidation sqref="D2:D39" showDropDown="0" showInputMessage="0" showErrorMessage="0" allowBlank="1" type="list">
      <formula1>"低,中等,高强度"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日期</t>
        </is>
      </c>
      <c r="B1" s="16" t="inlineStr">
        <is>
          <t>类别</t>
        </is>
      </c>
      <c r="C1" s="16" t="inlineStr">
        <is>
          <t>项目</t>
        </is>
      </c>
      <c r="D1" s="16" t="inlineStr">
        <is>
          <t>数量</t>
        </is>
      </c>
      <c r="E1" s="16" t="inlineStr">
        <is>
          <t>单价</t>
        </is>
      </c>
      <c r="F1" s="16" t="inlineStr">
        <is>
          <t>总价</t>
        </is>
      </c>
    </row>
    <row r="2">
      <c r="A2" s="17" t="n">
        <v>46027</v>
      </c>
      <c r="B2" s="18" t="inlineStr">
        <is>
          <t>装备</t>
        </is>
      </c>
      <c r="C2" s="18" t="inlineStr">
        <is>
          <t>蛋白粉</t>
        </is>
      </c>
      <c r="D2" s="19" t="n">
        <v>1</v>
      </c>
      <c r="E2" s="20" t="n">
        <v>45.9</v>
      </c>
      <c r="F2" s="21">
        <f>D2*E2</f>
        <v/>
      </c>
    </row>
    <row r="3">
      <c r="A3" s="17" t="n">
        <v>46030</v>
      </c>
      <c r="B3" s="18" t="inlineStr">
        <is>
          <t>会员费</t>
        </is>
      </c>
      <c r="C3" s="18" t="inlineStr">
        <is>
          <t>健身房月费</t>
        </is>
      </c>
      <c r="D3" s="19" t="n">
        <v>1</v>
      </c>
      <c r="E3" s="20" t="n">
        <v>59</v>
      </c>
      <c r="F3" s="21">
        <f>D3*E3</f>
        <v/>
      </c>
    </row>
    <row r="4">
      <c r="A4" s="17" t="n">
        <v>46034</v>
      </c>
      <c r="B4" s="18" t="inlineStr">
        <is>
          <t>课程</t>
        </is>
      </c>
      <c r="C4" s="18" t="inlineStr">
        <is>
          <t>私人教练</t>
        </is>
      </c>
      <c r="D4" s="19" t="n">
        <v>4</v>
      </c>
      <c r="E4" s="20" t="n">
        <v>30</v>
      </c>
      <c r="F4" s="21">
        <f>D4*E4</f>
        <v/>
      </c>
    </row>
    <row r="5">
      <c r="A5" s="17" t="n">
        <v>46037</v>
      </c>
      <c r="B5" s="18" t="inlineStr">
        <is>
          <t>装备</t>
        </is>
      </c>
      <c r="C5" s="18" t="inlineStr">
        <is>
          <t>弹性带</t>
        </is>
      </c>
      <c r="D5" s="19" t="n">
        <v>2</v>
      </c>
      <c r="E5" s="20" t="n">
        <v>12.5</v>
      </c>
      <c r="F5" s="21">
        <f>D5*E5</f>
        <v/>
      </c>
    </row>
    <row r="6">
      <c r="A6" s="17" t="n">
        <v>46040</v>
      </c>
      <c r="B6" s="18" t="inlineStr">
        <is>
          <t>营养</t>
        </is>
      </c>
      <c r="C6" s="18" t="inlineStr">
        <is>
          <t>运动饮料</t>
        </is>
      </c>
      <c r="D6" s="19" t="n">
        <v>6</v>
      </c>
      <c r="E6" s="20" t="n">
        <v>2.3</v>
      </c>
      <c r="F6" s="21">
        <f>D6*E6</f>
        <v/>
      </c>
    </row>
    <row r="7">
      <c r="A7" s="17" t="n">
        <v>46044</v>
      </c>
      <c r="B7" s="18" t="inlineStr">
        <is>
          <t>装备</t>
        </is>
      </c>
      <c r="C7" s="18" t="inlineStr">
        <is>
          <t>心率带</t>
        </is>
      </c>
      <c r="D7" s="19" t="n">
        <v>1</v>
      </c>
      <c r="E7" s="20" t="n">
        <v>89.90000000000001</v>
      </c>
      <c r="F7" s="21">
        <f>D7*E7</f>
        <v/>
      </c>
    </row>
    <row r="8">
      <c r="A8" s="17" t="n">
        <v>46047</v>
      </c>
      <c r="B8" s="18" t="inlineStr">
        <is>
          <t>课程</t>
        </is>
      </c>
      <c r="C8" s="18" t="inlineStr">
        <is>
          <t>瑜伽课</t>
        </is>
      </c>
      <c r="D8" s="19" t="n">
        <v>8</v>
      </c>
      <c r="E8" s="20" t="n">
        <v>15</v>
      </c>
      <c r="F8" s="21">
        <f>D8*E8</f>
        <v/>
      </c>
    </row>
    <row r="9">
      <c r="A9" s="17" t="n">
        <v>46050</v>
      </c>
      <c r="B9" s="18" t="inlineStr">
        <is>
          <t>其他</t>
        </is>
      </c>
      <c r="C9" s="18" t="inlineStr">
        <is>
          <t>体格测试</t>
        </is>
      </c>
      <c r="D9" s="19" t="n">
        <v>1</v>
      </c>
      <c r="E9" s="20" t="n">
        <v>25</v>
      </c>
      <c r="F9" s="21">
        <f>D9*E9</f>
        <v/>
      </c>
    </row>
    <row r="10">
      <c r="A10" s="17" t="n"/>
      <c r="B10" s="18" t="n"/>
      <c r="C10" s="18" t="n"/>
      <c r="D10" s="19" t="n"/>
      <c r="E10" s="20" t="n"/>
      <c r="F10" s="21">
        <f>IF(A10="","",D10*E10)</f>
        <v/>
      </c>
    </row>
    <row r="11">
      <c r="A11" s="17" t="n"/>
      <c r="B11" s="18" t="n"/>
      <c r="C11" s="18" t="n"/>
      <c r="D11" s="19" t="n"/>
      <c r="E11" s="20" t="n"/>
      <c r="F11" s="21">
        <f>IF(A11="","",D11*E11)</f>
        <v/>
      </c>
    </row>
    <row r="12">
      <c r="A12" s="17" t="n"/>
      <c r="B12" s="18" t="n"/>
      <c r="C12" s="18" t="n"/>
      <c r="D12" s="19" t="n"/>
      <c r="E12" s="20" t="n"/>
      <c r="F12" s="21">
        <f>IF(A12="","",D12*E12)</f>
        <v/>
      </c>
    </row>
    <row r="13">
      <c r="A13" s="17" t="n"/>
      <c r="B13" s="18" t="n"/>
      <c r="C13" s="18" t="n"/>
      <c r="D13" s="19" t="n"/>
      <c r="E13" s="20" t="n"/>
      <c r="F13" s="21">
        <f>IF(A13="","",D13*E13)</f>
        <v/>
      </c>
    </row>
    <row r="14">
      <c r="A14" s="17" t="n"/>
      <c r="B14" s="18" t="n"/>
      <c r="C14" s="18" t="n"/>
      <c r="D14" s="19" t="n"/>
      <c r="E14" s="20" t="n"/>
      <c r="F14" s="21">
        <f>IF(A14="","",D14*E14)</f>
        <v/>
      </c>
    </row>
    <row r="15">
      <c r="A15" s="17" t="n"/>
      <c r="B15" s="18" t="n"/>
      <c r="C15" s="18" t="n"/>
      <c r="D15" s="19" t="n"/>
      <c r="E15" s="20" t="n"/>
      <c r="F15" s="21">
        <f>IF(A15="","",D15*E15)</f>
        <v/>
      </c>
    </row>
    <row r="16">
      <c r="A16" s="17" t="n"/>
      <c r="B16" s="18" t="n"/>
      <c r="C16" s="18" t="n"/>
      <c r="D16" s="19" t="n"/>
      <c r="E16" s="20" t="n"/>
      <c r="F16" s="21">
        <f>IF(A16="","",D16*E16)</f>
        <v/>
      </c>
    </row>
    <row r="17">
      <c r="A17" s="17" t="n"/>
      <c r="B17" s="18" t="n"/>
      <c r="C17" s="18" t="n"/>
      <c r="D17" s="19" t="n"/>
      <c r="E17" s="20" t="n"/>
      <c r="F17" s="21">
        <f>IF(A17="","",D17*E17)</f>
        <v/>
      </c>
    </row>
    <row r="18">
      <c r="A18" s="17" t="n"/>
      <c r="B18" s="18" t="n"/>
      <c r="C18" s="18" t="n"/>
      <c r="D18" s="19" t="n"/>
      <c r="E18" s="20" t="n"/>
      <c r="F18" s="21">
        <f>IF(A18="","",D18*E18)</f>
        <v/>
      </c>
    </row>
    <row r="19">
      <c r="A19" s="17" t="n"/>
      <c r="B19" s="18" t="n"/>
      <c r="C19" s="18" t="n"/>
      <c r="D19" s="19" t="n"/>
      <c r="E19" s="20" t="n"/>
      <c r="F19" s="21">
        <f>IF(A19="","",D19*E19)</f>
        <v/>
      </c>
    </row>
    <row r="20">
      <c r="A20" s="17" t="n"/>
      <c r="B20" s="18" t="n"/>
      <c r="C20" s="18" t="n"/>
      <c r="D20" s="19" t="n"/>
      <c r="E20" s="20" t="n"/>
      <c r="F20" s="21">
        <f>IF(A20="","",D20*E20)</f>
        <v/>
      </c>
    </row>
    <row r="21">
      <c r="A21" s="17" t="n"/>
      <c r="B21" s="18" t="n"/>
      <c r="C21" s="18" t="n"/>
      <c r="D21" s="19" t="n"/>
      <c r="E21" s="20" t="n"/>
      <c r="F21" s="21">
        <f>IF(A21="","",D21*E21)</f>
        <v/>
      </c>
    </row>
    <row r="22">
      <c r="A22" s="17" t="n"/>
      <c r="B22" s="18" t="n"/>
      <c r="C22" s="18" t="n"/>
      <c r="D22" s="19" t="n"/>
      <c r="E22" s="20" t="n"/>
      <c r="F22" s="21">
        <f>IF(A22="","",D22*E22)</f>
        <v/>
      </c>
    </row>
    <row r="23">
      <c r="A23" s="17" t="n"/>
      <c r="B23" s="18" t="n"/>
      <c r="C23" s="18" t="n"/>
      <c r="D23" s="19" t="n"/>
      <c r="E23" s="20" t="n"/>
      <c r="F23" s="21">
        <f>IF(A23="","",D23*E23)</f>
        <v/>
      </c>
    </row>
    <row r="24">
      <c r="A24" s="17" t="n"/>
      <c r="B24" s="18" t="n"/>
      <c r="C24" s="18" t="n"/>
      <c r="D24" s="19" t="n"/>
      <c r="E24" s="20" t="n"/>
      <c r="F24" s="21">
        <f>IF(A24="","",D24*E24)</f>
        <v/>
      </c>
    </row>
    <row r="25">
      <c r="A25" s="17" t="n"/>
      <c r="B25" s="18" t="n"/>
      <c r="C25" s="18" t="n"/>
      <c r="D25" s="19" t="n"/>
      <c r="E25" s="20" t="n"/>
      <c r="F25" s="21">
        <f>IF(A25="","",D25*E25)</f>
        <v/>
      </c>
    </row>
    <row r="26">
      <c r="A26" s="17" t="n"/>
      <c r="B26" s="18" t="n"/>
      <c r="C26" s="18" t="n"/>
      <c r="D26" s="19" t="n"/>
      <c r="E26" s="20" t="n"/>
      <c r="F26" s="21">
        <f>IF(A26="","",D26*E26)</f>
        <v/>
      </c>
    </row>
    <row r="27">
      <c r="A27" s="17" t="n"/>
      <c r="B27" s="18" t="n"/>
      <c r="C27" s="18" t="n"/>
      <c r="D27" s="19" t="n"/>
      <c r="E27" s="20" t="n"/>
      <c r="F27" s="21">
        <f>IF(A27="","",D27*E27)</f>
        <v/>
      </c>
    </row>
    <row r="28">
      <c r="A28" s="17" t="n"/>
      <c r="B28" s="18" t="n"/>
      <c r="C28" s="18" t="n"/>
      <c r="D28" s="19" t="n"/>
      <c r="E28" s="20" t="n"/>
      <c r="F28" s="21">
        <f>IF(A28="","",D28*E28)</f>
        <v/>
      </c>
    </row>
    <row r="29">
      <c r="A29" s="17" t="n"/>
      <c r="B29" s="18" t="n"/>
      <c r="C29" s="18" t="n"/>
      <c r="D29" s="19" t="n"/>
      <c r="E29" s="20" t="n"/>
      <c r="F29" s="21">
        <f>IF(A29="","",D29*E29)</f>
        <v/>
      </c>
    </row>
    <row r="30">
      <c r="A30" s="17" t="n"/>
      <c r="B30" s="18" t="n"/>
      <c r="C30" s="18" t="n"/>
      <c r="D30" s="19" t="n"/>
      <c r="E30" s="20" t="n"/>
      <c r="F30" s="21">
        <f>IF(A30="","",D30*E30)</f>
        <v/>
      </c>
    </row>
    <row r="31">
      <c r="A31" s="17" t="n"/>
      <c r="B31" s="18" t="n"/>
      <c r="C31" s="18" t="n"/>
      <c r="D31" s="19" t="n"/>
      <c r="E31" s="20" t="n"/>
      <c r="F31" s="21">
        <f>IF(A31="","",D31*E31)</f>
        <v/>
      </c>
    </row>
    <row r="32">
      <c r="A32" s="17" t="n"/>
      <c r="B32" s="18" t="n"/>
      <c r="C32" s="18" t="n"/>
      <c r="D32" s="19" t="n"/>
      <c r="E32" s="20" t="n"/>
      <c r="F32" s="21">
        <f>IF(A32="","",D32*E32)</f>
        <v/>
      </c>
    </row>
    <row r="33">
      <c r="A33" s="17" t="n"/>
      <c r="B33" s="18" t="n"/>
      <c r="C33" s="18" t="n"/>
      <c r="D33" s="19" t="n"/>
      <c r="E33" s="20" t="n"/>
      <c r="F33" s="21">
        <f>IF(A33="","",D33*E33)</f>
        <v/>
      </c>
    </row>
    <row r="34">
      <c r="A34" s="17" t="n"/>
      <c r="B34" s="18" t="n"/>
      <c r="C34" s="18" t="n"/>
      <c r="D34" s="19" t="n"/>
      <c r="E34" s="20" t="n"/>
      <c r="F34" s="21">
        <f>IF(A34="","",D34*E34)</f>
        <v/>
      </c>
    </row>
    <row r="35">
      <c r="A35" s="17" t="n"/>
      <c r="B35" s="18" t="n"/>
      <c r="C35" s="18" t="n"/>
      <c r="D35" s="19" t="n"/>
      <c r="E35" s="20" t="n"/>
      <c r="F35" s="21">
        <f>IF(A35="","",D35*E35)</f>
        <v/>
      </c>
    </row>
    <row r="36">
      <c r="A36" s="17" t="n"/>
      <c r="B36" s="18" t="n"/>
      <c r="C36" s="18" t="n"/>
      <c r="D36" s="19" t="n"/>
      <c r="E36" s="20" t="n"/>
      <c r="F36" s="21">
        <f>IF(A36="","",D36*E36)</f>
        <v/>
      </c>
    </row>
    <row r="37">
      <c r="A37" s="17" t="n"/>
      <c r="B37" s="18" t="n"/>
      <c r="C37" s="18" t="n"/>
      <c r="D37" s="19" t="n"/>
      <c r="E37" s="20" t="n"/>
      <c r="F37" s="21">
        <f>IF(A37="","",D37*E37)</f>
        <v/>
      </c>
    </row>
    <row r="38">
      <c r="A38" s="17" t="n"/>
      <c r="B38" s="18" t="n"/>
      <c r="C38" s="18" t="n"/>
      <c r="D38" s="19" t="n"/>
      <c r="E38" s="20" t="n"/>
      <c r="F38" s="21">
        <f>IF(A38="","",D38*E38)</f>
        <v/>
      </c>
    </row>
    <row r="39">
      <c r="A39" s="17" t="n"/>
      <c r="B39" s="18" t="n"/>
      <c r="C39" s="18" t="n"/>
      <c r="D39" s="19" t="n"/>
      <c r="E39" s="20" t="n"/>
      <c r="F39" s="21">
        <f>IF(A39="","",D39*E39)</f>
        <v/>
      </c>
    </row>
    <row r="40">
      <c r="A40" s="17" t="n"/>
      <c r="B40" s="18" t="n"/>
      <c r="C40" s="18" t="n"/>
      <c r="D40" s="19" t="n"/>
      <c r="E40" s="20" t="n"/>
      <c r="F40" s="21">
        <f>IF(A40="","",D40*E40)</f>
        <v/>
      </c>
    </row>
    <row r="41">
      <c r="A41" s="17" t="n"/>
      <c r="B41" s="18" t="n"/>
      <c r="C41" s="18" t="n"/>
      <c r="D41" s="19" t="n"/>
      <c r="E41" s="20" t="n"/>
      <c r="F41" s="21">
        <f>IF(A41="","",D41*E41)</f>
        <v/>
      </c>
    </row>
    <row r="42">
      <c r="A42" s="17" t="n"/>
      <c r="B42" s="18" t="n"/>
      <c r="C42" s="18" t="n"/>
      <c r="D42" s="19" t="n"/>
      <c r="E42" s="20" t="n"/>
      <c r="F42" s="21">
        <f>IF(A42="","",D42*E42)</f>
        <v/>
      </c>
    </row>
    <row r="43">
      <c r="A43" s="17" t="n"/>
      <c r="B43" s="18" t="n"/>
      <c r="C43" s="18" t="n"/>
      <c r="D43" s="19" t="n"/>
      <c r="E43" s="20" t="n"/>
      <c r="F43" s="21">
        <f>IF(A43="","",D43*E43)</f>
        <v/>
      </c>
    </row>
    <row r="44">
      <c r="A44" s="17" t="n"/>
      <c r="B44" s="18" t="n"/>
      <c r="C44" s="18" t="n"/>
      <c r="D44" s="19" t="n"/>
      <c r="E44" s="20" t="n"/>
      <c r="F44" s="21">
        <f>IF(A44="","",D44*E44)</f>
        <v/>
      </c>
    </row>
    <row r="45">
      <c r="A45" s="17" t="n"/>
      <c r="B45" s="18" t="n"/>
      <c r="C45" s="18" t="n"/>
      <c r="D45" s="19" t="n"/>
      <c r="E45" s="20" t="n"/>
      <c r="F45" s="21">
        <f>IF(A45="","",D45*E45)</f>
        <v/>
      </c>
    </row>
    <row r="46">
      <c r="A46" s="17" t="n"/>
      <c r="B46" s="18" t="n"/>
      <c r="C46" s="18" t="n"/>
      <c r="D46" s="19" t="n"/>
      <c r="E46" s="20" t="n"/>
      <c r="F46" s="21">
        <f>IF(A46="","",D46*E46)</f>
        <v/>
      </c>
    </row>
    <row r="47">
      <c r="A47" s="17" t="n"/>
      <c r="B47" s="18" t="n"/>
      <c r="C47" s="18" t="n"/>
      <c r="D47" s="19" t="n"/>
      <c r="E47" s="20" t="n"/>
      <c r="F47" s="21">
        <f>IF(A47="","",D47*E47)</f>
        <v/>
      </c>
    </row>
    <row r="48">
      <c r="A48" s="17" t="n"/>
      <c r="B48" s="18" t="n"/>
      <c r="C48" s="18" t="n"/>
      <c r="D48" s="19" t="n"/>
      <c r="E48" s="20" t="n"/>
      <c r="F48" s="21">
        <f>IF(A48="","",D48*E48)</f>
        <v/>
      </c>
    </row>
    <row r="49">
      <c r="A49" s="17" t="n"/>
      <c r="B49" s="18" t="n"/>
      <c r="C49" s="18" t="n"/>
      <c r="D49" s="19" t="n"/>
      <c r="E49" s="20" t="n"/>
      <c r="F49" s="21">
        <f>IF(A49="","",D49*E49)</f>
        <v/>
      </c>
    </row>
    <row r="50">
      <c r="A50" s="17" t="n"/>
      <c r="B50" s="18" t="n"/>
      <c r="C50" s="18" t="n"/>
      <c r="D50" s="19" t="n"/>
      <c r="E50" s="20" t="n"/>
      <c r="F50" s="21">
        <f>IF(A50="","",D50*E50)</f>
        <v/>
      </c>
    </row>
    <row r="51">
      <c r="A51" s="17" t="n"/>
      <c r="B51" s="18" t="n"/>
      <c r="C51" s="18" t="n"/>
      <c r="D51" s="19" t="n"/>
      <c r="E51" s="20" t="n"/>
      <c r="F51" s="21">
        <f>IF(A51="","",D51*E51)</f>
        <v/>
      </c>
    </row>
    <row r="52">
      <c r="A52" s="17" t="n"/>
      <c r="B52" s="18" t="n"/>
      <c r="C52" s="18" t="n"/>
      <c r="D52" s="19" t="n"/>
      <c r="E52" s="20" t="n"/>
      <c r="F52" s="21">
        <f>IF(A52="","",D52*E52)</f>
        <v/>
      </c>
    </row>
    <row r="53">
      <c r="A53" s="17" t="n"/>
      <c r="B53" s="18" t="n"/>
      <c r="C53" s="18" t="n"/>
      <c r="D53" s="19" t="n"/>
      <c r="E53" s="20" t="n"/>
      <c r="F53" s="21">
        <f>IF(A53="","",D53*E53)</f>
        <v/>
      </c>
    </row>
    <row r="54">
      <c r="A54" s="17" t="n"/>
      <c r="B54" s="18" t="n"/>
      <c r="C54" s="18" t="n"/>
      <c r="D54" s="19" t="n"/>
      <c r="E54" s="20" t="n"/>
      <c r="F54" s="21">
        <f>IF(A54="","",D54*E54)</f>
        <v/>
      </c>
    </row>
    <row r="55">
      <c r="A55" s="17" t="n"/>
      <c r="B55" s="18" t="n"/>
      <c r="C55" s="18" t="n"/>
      <c r="D55" s="19" t="n"/>
      <c r="E55" s="20" t="n"/>
      <c r="F55" s="21">
        <f>IF(A55="","",D55*E55)</f>
        <v/>
      </c>
    </row>
    <row r="56">
      <c r="A56" s="17" t="n"/>
      <c r="B56" s="18" t="n"/>
      <c r="C56" s="18" t="n"/>
      <c r="D56" s="19" t="n"/>
      <c r="E56" s="20" t="n"/>
      <c r="F56" s="21">
        <f>IF(A56="","",D56*E56)</f>
        <v/>
      </c>
    </row>
    <row r="57">
      <c r="A57" s="17" t="n"/>
      <c r="B57" s="18" t="n"/>
      <c r="C57" s="18" t="n"/>
      <c r="D57" s="19" t="n"/>
      <c r="E57" s="20" t="n"/>
      <c r="F57" s="21">
        <f>IF(A57="","",D57*E57)</f>
        <v/>
      </c>
    </row>
    <row r="58">
      <c r="A58" s="17" t="n"/>
      <c r="B58" s="18" t="n"/>
      <c r="C58" s="18" t="n"/>
      <c r="D58" s="19" t="n"/>
      <c r="E58" s="20" t="n"/>
      <c r="F58" s="21">
        <f>IF(A58="","",D58*E58)</f>
        <v/>
      </c>
    </row>
    <row r="59">
      <c r="A59" s="17" t="n"/>
      <c r="B59" s="18" t="n"/>
      <c r="C59" s="18" t="n"/>
      <c r="D59" s="19" t="n"/>
      <c r="E59" s="20" t="n"/>
      <c r="F59" s="21">
        <f>IF(A59="","",D59*E59)</f>
        <v/>
      </c>
    </row>
    <row r="60">
      <c r="A60" s="17" t="n"/>
      <c r="B60" s="18" t="n"/>
      <c r="C60" s="18" t="n"/>
      <c r="D60" s="19" t="n"/>
      <c r="E60" s="20" t="n"/>
      <c r="F60" s="21">
        <f>IF(A60="","",D60*E60)</f>
        <v/>
      </c>
    </row>
    <row r="61">
      <c r="A61" s="17" t="n"/>
      <c r="B61" s="18" t="n"/>
      <c r="C61" s="18" t="n"/>
      <c r="D61" s="19" t="n"/>
      <c r="E61" s="20" t="n"/>
      <c r="F61" s="21">
        <f>IF(A61="","",D61*E61)</f>
        <v/>
      </c>
    </row>
    <row r="62">
      <c r="A62" s="17" t="n"/>
      <c r="B62" s="18" t="n"/>
      <c r="C62" s="18" t="n"/>
      <c r="D62" s="19" t="n"/>
      <c r="E62" s="20" t="n"/>
      <c r="F62" s="21">
        <f>IF(A62="","",D62*E62)</f>
        <v/>
      </c>
    </row>
    <row r="63">
      <c r="A63" s="17" t="n"/>
      <c r="B63" s="18" t="n"/>
      <c r="C63" s="18" t="n"/>
      <c r="D63" s="19" t="n"/>
      <c r="E63" s="20" t="n"/>
      <c r="F63" s="21">
        <f>IF(A63="","",D63*E63)</f>
        <v/>
      </c>
    </row>
    <row r="64">
      <c r="A64" s="17" t="n"/>
      <c r="B64" s="18" t="n"/>
      <c r="C64" s="18" t="n"/>
      <c r="D64" s="19" t="n"/>
      <c r="E64" s="20" t="n"/>
      <c r="F64" s="21">
        <f>IF(A64="","",D64*E64)</f>
        <v/>
      </c>
    </row>
    <row r="65">
      <c r="A65" s="17" t="n"/>
      <c r="B65" s="18" t="n"/>
      <c r="C65" s="18" t="n"/>
      <c r="D65" s="19" t="n"/>
      <c r="E65" s="20" t="n"/>
      <c r="F65" s="21">
        <f>IF(A65="","",D65*E65)</f>
        <v/>
      </c>
    </row>
    <row r="66">
      <c r="A66" s="17" t="n"/>
      <c r="B66" s="18" t="n"/>
      <c r="C66" s="18" t="n"/>
      <c r="D66" s="19" t="n"/>
      <c r="E66" s="20" t="n"/>
      <c r="F66" s="21">
        <f>IF(A66="","",D66*E66)</f>
        <v/>
      </c>
    </row>
    <row r="67">
      <c r="A67" s="17" t="n"/>
      <c r="B67" s="18" t="n"/>
      <c r="C67" s="18" t="n"/>
      <c r="D67" s="19" t="n"/>
      <c r="E67" s="20" t="n"/>
      <c r="F67" s="21">
        <f>IF(A67="","",D67*E67)</f>
        <v/>
      </c>
    </row>
    <row r="68">
      <c r="A68" s="17" t="n"/>
      <c r="B68" s="18" t="n"/>
      <c r="C68" s="18" t="n"/>
      <c r="D68" s="19" t="n"/>
      <c r="E68" s="20" t="n"/>
      <c r="F68" s="21">
        <f>IF(A68="","",D68*E68)</f>
        <v/>
      </c>
    </row>
    <row r="69">
      <c r="A69" s="17" t="n"/>
      <c r="B69" s="18" t="n"/>
      <c r="C69" s="18" t="n"/>
      <c r="D69" s="19" t="n"/>
      <c r="E69" s="20" t="n"/>
      <c r="F69" s="21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"装备,会员费,课程,营养,旅行,比赛报名,其他"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6" t="inlineStr">
        <is>
          <t>日期</t>
        </is>
      </c>
      <c r="B1" s="16" t="inlineStr">
        <is>
          <t>体重(kg)</t>
        </is>
      </c>
      <c r="C1" s="16" t="inlineStr">
        <is>
          <t>体脂率(%)</t>
        </is>
      </c>
      <c r="D1" s="16" t="inlineStr">
        <is>
          <t>静息心率</t>
        </is>
      </c>
      <c r="E1" s="16" t="inlineStr">
        <is>
          <t>最大力量(kg)</t>
        </is>
      </c>
      <c r="F1" s="16" t="inlineStr">
        <is>
          <t>备注</t>
        </is>
      </c>
    </row>
    <row r="2">
      <c r="A2" s="17" t="n">
        <v>46023</v>
      </c>
      <c r="B2" s="19" t="n">
        <v>68.5</v>
      </c>
      <c r="C2" s="22" t="n">
        <v>0.18</v>
      </c>
      <c r="D2" s="23" t="n">
        <v>66</v>
      </c>
      <c r="E2" s="19" t="n">
        <v>110</v>
      </c>
      <c r="F2" s="18" t="inlineStr">
        <is>
          <t>初始测量</t>
        </is>
      </c>
    </row>
    <row r="3">
      <c r="A3" s="17" t="n">
        <v>46030</v>
      </c>
      <c r="B3" s="19" t="n">
        <v>68</v>
      </c>
      <c r="C3" s="22" t="n">
        <v>0.177</v>
      </c>
      <c r="D3" s="23" t="n">
        <v>64</v>
      </c>
      <c r="E3" s="19" t="n">
        <v>112</v>
      </c>
      <c r="F3" s="18" t="inlineStr">
        <is>
          <t>第一周</t>
        </is>
      </c>
    </row>
    <row r="4">
      <c r="A4" s="17" t="n">
        <v>46037</v>
      </c>
      <c r="B4" s="19" t="n">
        <v>67.8</v>
      </c>
      <c r="C4" s="22" t="n">
        <v>0.175</v>
      </c>
      <c r="D4" s="23" t="n">
        <v>63</v>
      </c>
      <c r="E4" s="19" t="n">
        <v>115</v>
      </c>
      <c r="F4" s="18" t="inlineStr">
        <is>
          <t>两周检查</t>
        </is>
      </c>
    </row>
    <row r="5">
      <c r="A5" s="17" t="n">
        <v>46044</v>
      </c>
      <c r="B5" s="19" t="n">
        <v>67.5</v>
      </c>
      <c r="C5" s="22" t="n">
        <v>0.172</v>
      </c>
      <c r="D5" s="23" t="n">
        <v>62</v>
      </c>
      <c r="E5" s="19" t="n">
        <v>118</v>
      </c>
      <c r="F5" s="18" t="inlineStr">
        <is>
          <t>增加蛋白质</t>
        </is>
      </c>
    </row>
    <row r="6">
      <c r="A6" s="17" t="n">
        <v>46051</v>
      </c>
      <c r="B6" s="19" t="n">
        <v>67</v>
      </c>
      <c r="C6" s="22" t="n">
        <v>0.17</v>
      </c>
      <c r="D6" s="23" t="n">
        <v>60</v>
      </c>
      <c r="E6" s="19" t="n">
        <v>120</v>
      </c>
      <c r="F6" s="18" t="inlineStr">
        <is>
          <t>保持良好</t>
        </is>
      </c>
    </row>
    <row r="7">
      <c r="A7" s="17" t="n"/>
      <c r="B7" s="19" t="n"/>
      <c r="C7" s="22" t="n"/>
      <c r="D7" s="23" t="n"/>
      <c r="E7" s="19" t="n"/>
      <c r="F7" s="18" t="n"/>
    </row>
    <row r="8">
      <c r="A8" s="17" t="n"/>
      <c r="B8" s="19" t="n"/>
      <c r="C8" s="22" t="n"/>
      <c r="D8" s="23" t="n"/>
      <c r="E8" s="19" t="n"/>
      <c r="F8" s="18" t="n"/>
    </row>
    <row r="9">
      <c r="A9" s="17" t="n"/>
      <c r="B9" s="19" t="n"/>
      <c r="C9" s="22" t="n"/>
      <c r="D9" s="23" t="n"/>
      <c r="E9" s="19" t="n"/>
      <c r="F9" s="18" t="n"/>
    </row>
    <row r="10">
      <c r="A10" s="17" t="n"/>
      <c r="B10" s="19" t="n"/>
      <c r="C10" s="22" t="n"/>
      <c r="D10" s="23" t="n"/>
      <c r="E10" s="19" t="n"/>
      <c r="F10" s="18" t="n"/>
    </row>
    <row r="11">
      <c r="A11" s="17" t="n"/>
      <c r="B11" s="19" t="n"/>
      <c r="C11" s="22" t="n"/>
      <c r="D11" s="23" t="n"/>
      <c r="E11" s="19" t="n"/>
      <c r="F11" s="18" t="n"/>
    </row>
    <row r="12">
      <c r="A12" s="17" t="n"/>
      <c r="B12" s="19" t="n"/>
      <c r="C12" s="22" t="n"/>
      <c r="D12" s="23" t="n"/>
      <c r="E12" s="19" t="n"/>
      <c r="F12" s="18" t="n"/>
    </row>
    <row r="13">
      <c r="A13" s="17" t="n"/>
      <c r="B13" s="19" t="n"/>
      <c r="C13" s="22" t="n"/>
      <c r="D13" s="23" t="n"/>
      <c r="E13" s="19" t="n"/>
      <c r="F13" s="18" t="n"/>
    </row>
    <row r="14">
      <c r="A14" s="17" t="n"/>
      <c r="B14" s="19" t="n"/>
      <c r="C14" s="22" t="n"/>
      <c r="D14" s="23" t="n"/>
      <c r="E14" s="19" t="n"/>
      <c r="F14" s="18" t="n"/>
    </row>
    <row r="15">
      <c r="A15" s="17" t="n"/>
      <c r="B15" s="19" t="n"/>
      <c r="C15" s="22" t="n"/>
      <c r="D15" s="23" t="n"/>
      <c r="E15" s="19" t="n"/>
      <c r="F15" s="18" t="n"/>
    </row>
    <row r="16">
      <c r="A16" s="17" t="n"/>
      <c r="B16" s="19" t="n"/>
      <c r="C16" s="22" t="n"/>
      <c r="D16" s="23" t="n"/>
      <c r="E16" s="19" t="n"/>
      <c r="F16" s="18" t="n"/>
    </row>
    <row r="17">
      <c r="A17" s="17" t="n"/>
      <c r="B17" s="19" t="n"/>
      <c r="C17" s="22" t="n"/>
      <c r="D17" s="23" t="n"/>
      <c r="E17" s="19" t="n"/>
      <c r="F17" s="18" t="n"/>
    </row>
    <row r="18">
      <c r="A18" s="17" t="n"/>
      <c r="B18" s="19" t="n"/>
      <c r="C18" s="22" t="n"/>
      <c r="D18" s="23" t="n"/>
      <c r="E18" s="19" t="n"/>
      <c r="F18" s="18" t="n"/>
    </row>
    <row r="19">
      <c r="A19" s="17" t="n"/>
      <c r="B19" s="19" t="n"/>
      <c r="C19" s="22" t="n"/>
      <c r="D19" s="23" t="n"/>
      <c r="E19" s="19" t="n"/>
      <c r="F19" s="18" t="n"/>
    </row>
    <row r="20">
      <c r="A20" s="17" t="n"/>
      <c r="B20" s="19" t="n"/>
      <c r="C20" s="22" t="n"/>
      <c r="D20" s="23" t="n"/>
      <c r="E20" s="19" t="n"/>
      <c r="F20" s="18" t="n"/>
    </row>
    <row r="21">
      <c r="A21" s="17" t="n"/>
      <c r="B21" s="19" t="n"/>
      <c r="C21" s="22" t="n"/>
      <c r="D21" s="23" t="n"/>
      <c r="E21" s="19" t="n"/>
      <c r="F21" s="18" t="n"/>
    </row>
    <row r="22">
      <c r="A22" s="17" t="n"/>
      <c r="B22" s="19" t="n"/>
      <c r="C22" s="22" t="n"/>
      <c r="D22" s="23" t="n"/>
      <c r="E22" s="19" t="n"/>
      <c r="F22" s="18" t="n"/>
    </row>
    <row r="23">
      <c r="A23" s="17" t="n"/>
      <c r="B23" s="19" t="n"/>
      <c r="C23" s="22" t="n"/>
      <c r="D23" s="23" t="n"/>
      <c r="E23" s="19" t="n"/>
      <c r="F23" s="18" t="n"/>
    </row>
    <row r="24">
      <c r="A24" s="17" t="n"/>
      <c r="B24" s="19" t="n"/>
      <c r="C24" s="22" t="n"/>
      <c r="D24" s="23" t="n"/>
      <c r="E24" s="19" t="n"/>
      <c r="F24" s="18" t="n"/>
    </row>
    <row r="25">
      <c r="A25" s="17" t="n"/>
      <c r="B25" s="19" t="n"/>
      <c r="C25" s="22" t="n"/>
      <c r="D25" s="23" t="n"/>
      <c r="E25" s="19" t="n"/>
      <c r="F25" s="18" t="n"/>
    </row>
    <row r="26">
      <c r="A26" s="17" t="n"/>
      <c r="B26" s="19" t="n"/>
      <c r="C26" s="22" t="n"/>
      <c r="D26" s="23" t="n"/>
      <c r="E26" s="19" t="n"/>
      <c r="F26" s="18" t="n"/>
    </row>
    <row r="27">
      <c r="A27" s="17" t="n"/>
      <c r="B27" s="19" t="n"/>
      <c r="C27" s="22" t="n"/>
      <c r="D27" s="23" t="n"/>
      <c r="E27" s="19" t="n"/>
      <c r="F27" s="18" t="n"/>
    </row>
    <row r="28">
      <c r="A28" s="17" t="n"/>
      <c r="B28" s="19" t="n"/>
      <c r="C28" s="22" t="n"/>
      <c r="D28" s="23" t="n"/>
      <c r="E28" s="19" t="n"/>
      <c r="F28" s="18" t="n"/>
    </row>
    <row r="29">
      <c r="A29" s="17" t="n"/>
      <c r="B29" s="19" t="n"/>
      <c r="C29" s="22" t="n"/>
      <c r="D29" s="23" t="n"/>
      <c r="E29" s="19" t="n"/>
      <c r="F29" s="18" t="n"/>
    </row>
    <row r="30">
      <c r="A30" s="17" t="n"/>
      <c r="B30" s="19" t="n"/>
      <c r="C30" s="22" t="n"/>
      <c r="D30" s="23" t="n"/>
      <c r="E30" s="19" t="n"/>
      <c r="F30" s="18" t="n"/>
    </row>
    <row r="31">
      <c r="A31" s="17" t="n"/>
      <c r="B31" s="19" t="n"/>
      <c r="C31" s="22" t="n"/>
      <c r="D31" s="23" t="n"/>
      <c r="E31" s="19" t="n"/>
      <c r="F31" s="18" t="n"/>
    </row>
    <row r="32">
      <c r="A32" s="17" t="n"/>
      <c r="B32" s="19" t="n"/>
      <c r="C32" s="22" t="n"/>
      <c r="D32" s="23" t="n"/>
      <c r="E32" s="19" t="n"/>
      <c r="F32" s="18" t="n"/>
    </row>
    <row r="33">
      <c r="A33" s="17" t="n"/>
      <c r="B33" s="19" t="n"/>
      <c r="C33" s="22" t="n"/>
      <c r="D33" s="23" t="n"/>
      <c r="E33" s="19" t="n"/>
      <c r="F33" s="18" t="n"/>
    </row>
    <row r="34">
      <c r="A34" s="17" t="n"/>
      <c r="B34" s="19" t="n"/>
      <c r="C34" s="22" t="n"/>
      <c r="D34" s="23" t="n"/>
      <c r="E34" s="19" t="n"/>
      <c r="F34" s="18" t="n"/>
    </row>
    <row r="35">
      <c r="A35" s="17" t="n"/>
      <c r="B35" s="19" t="n"/>
      <c r="C35" s="22" t="n"/>
      <c r="D35" s="23" t="n"/>
      <c r="E35" s="19" t="n"/>
      <c r="F35" s="18" t="n"/>
    </row>
    <row r="36">
      <c r="A36" s="17" t="n"/>
      <c r="B36" s="19" t="n"/>
      <c r="C36" s="22" t="n"/>
      <c r="D36" s="23" t="n"/>
      <c r="E36" s="19" t="n"/>
      <c r="F36" s="18" t="n"/>
    </row>
  </sheetData>
  <conditionalFormatting sqref="B2:B36">
    <cfRule type="cellIs" priority="1" operator="lessThan" dxfId="0">
      <formula>0</formula>
    </cfRule>
  </conditionalFormatting>
  <conditionalFormatting sqref="C2:C36">
    <cfRule type="dataBar" priority="2">
      <dataBar>
        <cfvo type="num" val="0"/>
        <cfvo type="num" val="1"/>
        <color rgb="005FB38F"/>
      </dataBar>
    </cfRule>
  </conditionalFormatting>
  <conditionalFormatting sqref="E2:E36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智能私人健身预算与训练进度追踪器</dc:title>
  <dcterms:created xsi:type="dcterms:W3CDTF">2026-10-24T11:11:56Z</dcterms:created>
  <dcterms:modified xsi:type="dcterms:W3CDTF">2026-10-24T11:11:56Z</dcterms:modified>
</cp:coreProperties>
</file>