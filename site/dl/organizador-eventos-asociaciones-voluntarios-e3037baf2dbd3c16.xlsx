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lanificacion" sheetId="3" state="visible" r:id="rId3"/>
    <sheet name="Gas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'Gastos'!$C$2:$C$4</f>
            </numRef>
          </cat>
          <val>
            <numRef>
              <f>'Gastos'!$F$2:$F$4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ificacion" displayName="T_Planificacion" ref="A1:E64" headerRowCount="1">
  <autoFilter ref="A1:E64"/>
  <tableColumns count="5">
    <tableColumn id="1" name="Fecha"/>
    <tableColumn id="2" name="Tarea"/>
    <tableColumn id="3" name="Responsable"/>
    <tableColumn id="4" name="Prioridad"/>
    <tableColumn id="5" name="Estado"/>
  </tableColumns>
  <tableStyleInfo name="TableStyleMedium7" showRowStripes="1"/>
</table>
</file>

<file path=xl/tables/table2.xml><?xml version="1.0" encoding="utf-8"?>
<table xmlns="http://schemas.openxmlformats.org/spreadsheetml/2006/main" id="2" name="T_Gastos" displayName="T_Gastos" ref="A1:F64" headerRowCount="1">
  <autoFilter ref="A1:F64"/>
  <tableColumns count="6">
    <tableColumn id="1" name="Fecha"/>
    <tableColumn id="2" name="Concepto"/>
    <tableColumn id="3" name="Categoría"/>
    <tableColumn id="4" name="Cantidad"/>
    <tableColumn id="5" name="Pagado"/>
    <tableColumn id="6" name="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lanificacion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Organizador de Eventos para Asociaciones y Voluntarios: Planificación y Control de Gastos</t>
        </is>
      </c>
    </row>
    <row r="3" ht="45" customHeight="1">
      <c r="C3" s="2" t="inlineStr">
        <is>
          <t>Herramienta profesional para planificar eventos con precisión y transparencia financiera. Ideal para equipos voluntarios que necesitan maximizar recursos.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Configura las fechas y objetivos del evento</t>
        </is>
      </c>
    </row>
    <row r="7" ht="18" customHeight="1">
      <c r="B7" s="4" t="inlineStr">
        <is>
          <t>2.</t>
        </is>
      </c>
      <c r="C7" s="5" t="inlineStr">
        <is>
          <t>Asigna tareas a los voluntarios</t>
        </is>
      </c>
    </row>
    <row r="8" ht="18" customHeight="1">
      <c r="B8" s="4" t="inlineStr">
        <is>
          <t>3.</t>
        </is>
      </c>
      <c r="C8" s="5" t="inlineStr">
        <is>
          <t>Registra los gastos según categorías</t>
        </is>
      </c>
    </row>
    <row r="9" ht="18" customHeight="1">
      <c r="B9" s="4" t="inlineStr">
        <is>
          <t>4.</t>
        </is>
      </c>
      <c r="C9" s="5" t="inlineStr">
        <is>
          <t>Controla el presupuesto en tiempo real</t>
        </is>
      </c>
    </row>
    <row r="10" ht="18" customHeight="1">
      <c r="B10" s="4" t="inlineStr">
        <is>
          <t>5.</t>
        </is>
      </c>
      <c r="C10" s="5" t="inlineStr">
        <is>
          <t>Genera informes para la junta directiva</t>
        </is>
      </c>
    </row>
    <row r="11" ht="18" customHeight="1">
      <c r="B11" s="4" t="inlineStr">
        <is>
          <t>6.</t>
        </is>
      </c>
      <c r="C11" s="5" t="inlineStr">
        <is>
          <t>Archiva los datos para futuros eventos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Planificacion</t>
        </is>
      </c>
    </row>
    <row r="18">
      <c r="C18" s="7" t="inlineStr">
        <is>
          <t>→ Gastos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Organizador de Eventos para Asociaciones y Voluntarios: Plan</t>
        </is>
      </c>
    </row>
    <row r="4">
      <c r="B4" s="10" t="inlineStr">
        <is>
          <t>Indicadores</t>
        </is>
      </c>
    </row>
    <row r="5" ht="24" customHeight="1">
      <c r="B5" s="11" t="inlineStr">
        <is>
          <t>Presupuesto total</t>
        </is>
      </c>
      <c r="C5" s="12">
        <f>SUM('Gastos'!F2:F300)</f>
        <v/>
      </c>
    </row>
    <row r="6" ht="24" customHeight="1">
      <c r="B6" s="11" t="inlineStr">
        <is>
          <t>Gastos realizados</t>
        </is>
      </c>
      <c r="C6" s="12">
        <f>SUMIF('Gastos'!C2:C300,'Sí','Gastos'!F2:F300)</f>
        <v/>
      </c>
    </row>
    <row r="7" ht="24" customHeight="1">
      <c r="B7" s="11" t="inlineStr">
        <is>
          <t>Tareas pendientes</t>
        </is>
      </c>
      <c r="C7" s="13">
        <f>COUNTIF('Planificacion'!E2:E300,'pendiente')</f>
        <v/>
      </c>
    </row>
    <row r="8" ht="24" customHeight="1">
      <c r="B8" s="11" t="inlineStr">
        <is>
          <t>Presupuesto restante</t>
        </is>
      </c>
      <c r="C8" s="12">
        <f>B1-B2</f>
        <v/>
      </c>
    </row>
    <row r="9" ht="24" customHeight="1">
      <c r="B9" s="11" t="inlineStr">
        <is>
          <t>Participantes registrados</t>
        </is>
      </c>
      <c r="C9" s="13">
        <f>COUNTA('Participantes'!A2:A300)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12" customWidth="1" min="4" max="4"/>
    <col width="12" customWidth="1" min="5" max="5"/>
  </cols>
  <sheetData>
    <row r="1" ht="32" customHeight="1">
      <c r="A1" s="14" t="inlineStr">
        <is>
          <t>Fecha</t>
        </is>
      </c>
      <c r="B1" s="14" t="inlineStr">
        <is>
          <t>Tarea</t>
        </is>
      </c>
      <c r="C1" s="14" t="inlineStr">
        <is>
          <t>Responsable</t>
        </is>
      </c>
      <c r="D1" s="14" t="inlineStr">
        <is>
          <t>Prioridad</t>
        </is>
      </c>
      <c r="E1" s="14" t="inlineStr">
        <is>
          <t>Estado</t>
        </is>
      </c>
    </row>
    <row r="2">
      <c r="A2" s="15" t="n">
        <v>46096</v>
      </c>
      <c r="B2" s="16" t="inlineStr">
        <is>
          <t>Reserva local</t>
        </is>
      </c>
      <c r="C2" s="16" t="inlineStr">
        <is>
          <t>Juan Pérez</t>
        </is>
      </c>
      <c r="D2" s="16" t="inlineStr">
        <is>
          <t>Alta</t>
        </is>
      </c>
      <c r="E2" s="16" t="inlineStr">
        <is>
          <t>pendiente</t>
        </is>
      </c>
    </row>
    <row r="3">
      <c r="A3" s="15" t="n">
        <v>46101</v>
      </c>
      <c r="B3" s="16" t="inlineStr">
        <is>
          <t>Compra materiales</t>
        </is>
      </c>
      <c r="C3" s="16" t="inlineStr">
        <is>
          <t>Ana López</t>
        </is>
      </c>
      <c r="D3" s="16" t="inlineStr">
        <is>
          <t>Media</t>
        </is>
      </c>
      <c r="E3" s="16" t="inlineStr">
        <is>
          <t>en curso</t>
        </is>
      </c>
    </row>
    <row r="4">
      <c r="A4" s="15" t="n">
        <v>46117</v>
      </c>
      <c r="B4" s="16" t="inlineStr">
        <is>
          <t>Publicidad</t>
        </is>
      </c>
      <c r="C4" s="16" t="inlineStr">
        <is>
          <t>Equipo Comunicación</t>
        </is>
      </c>
      <c r="D4" s="16" t="inlineStr">
        <is>
          <t>Baja</t>
        </is>
      </c>
      <c r="E4" s="16" t="inlineStr">
        <is>
          <t>pendiente</t>
        </is>
      </c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</sheetData>
  <dataValidations count="2">
    <dataValidation sqref="D2:D64" showDropDown="0" showInputMessage="0" showErrorMessage="0" allowBlank="1" type="list">
      <formula1>"Alta,Media,Baja"</formula1>
    </dataValidation>
    <dataValidation sqref="E2:E64" showDropDown="0" showInputMessage="0" showErrorMessage="0" allowBlank="1" type="list">
      <formula1>"pendiente,en curso,completado"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Concepto</t>
        </is>
      </c>
      <c r="C1" s="14" t="inlineStr">
        <is>
          <t>Categoría</t>
        </is>
      </c>
      <c r="D1" s="14" t="inlineStr">
        <is>
          <t>Cantidad</t>
        </is>
      </c>
      <c r="E1" s="14" t="inlineStr">
        <is>
          <t>Pagado</t>
        </is>
      </c>
      <c r="F1" s="14" t="inlineStr">
        <is>
          <t>Total</t>
        </is>
      </c>
    </row>
    <row r="2">
      <c r="A2" s="15" t="n">
        <v>46063</v>
      </c>
      <c r="B2" s="16" t="inlineStr">
        <is>
          <t>Carteles publicitarios</t>
        </is>
      </c>
      <c r="C2" s="16" t="inlineStr">
        <is>
          <t>Publicidad</t>
        </is>
      </c>
      <c r="D2" s="17" t="n">
        <v>50</v>
      </c>
      <c r="E2" s="18" t="n">
        <v>12.5</v>
      </c>
      <c r="F2" s="19">
        <f>D2*E2</f>
        <v/>
      </c>
    </row>
    <row r="3">
      <c r="A3" s="15" t="n">
        <v>46068</v>
      </c>
      <c r="B3" s="16" t="inlineStr">
        <is>
          <t>Alquiler de sonido</t>
        </is>
      </c>
      <c r="C3" s="16" t="inlineStr">
        <is>
          <t>Logística</t>
        </is>
      </c>
      <c r="D3" s="17" t="n">
        <v>1</v>
      </c>
      <c r="E3" s="18" t="n">
        <v>350</v>
      </c>
      <c r="F3" s="19">
        <f>D3*E3</f>
        <v/>
      </c>
    </row>
    <row r="4">
      <c r="A4" s="15" t="n">
        <v>46082</v>
      </c>
      <c r="B4" s="16" t="inlineStr">
        <is>
          <t>Material deportivo</t>
        </is>
      </c>
      <c r="C4" s="16" t="inlineStr">
        <is>
          <t>Materiales</t>
        </is>
      </c>
      <c r="D4" s="17" t="n">
        <v>20</v>
      </c>
      <c r="E4" s="18" t="n">
        <v>8.75</v>
      </c>
      <c r="F4" s="19">
        <f>D4*E4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2">
    <dataValidation sqref="C2:C64" showDropDown="0" showInputMessage="0" showErrorMessage="0" allowBlank="1" type="list">
      <formula1>"Publicidad,Logística,Materiales,Comida,Otros"</formula1>
    </dataValidation>
    <dataValidation sqref="E2:E64" showDropDown="0" showInputMessage="0" showErrorMessage="0" allowBlank="1" type="list">
      <formula1>"Sí,No"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Organizador de Eventos para Asociaciones y Voluntarios: Planificación y Control de Gastos</dc:title>
  <dcterms:created xsi:type="dcterms:W3CDTF">2026-09-30T19:32:29Z</dcterms:created>
  <dcterms:modified xsi:type="dcterms:W3CDTF">2026-09-30T19:32:29Z</dcterms:modified>
</cp:coreProperties>
</file>