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Rendez-vous et soins" sheetId="3" state="visible" r:id="rId3"/>
    <sheet name="Dépenses" sheetId="4" state="visible" r:id="rId4"/>
    <sheet name="Trait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'Dépenses'!D1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'Dépenses'!$B$2:$B$5</f>
            </numRef>
          </cat>
          <val>
            <numRef>
              <f>'Dépenses'!$D$2:$D$5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endez_vous_et_soins_2861" displayName="T_Rendez_vous_et_soins_2861" ref="A1:E106" headerRowCount="1">
  <autoFilter ref="A1:E106"/>
  <tableColumns count="5">
    <tableColumn id="1" name="Date"/>
    <tableColumn id="2" name="Type"/>
    <tableColumn id="3" name="Soin à effectuer"/>
    <tableColumn id="4" name="Préparé par"/>
    <tableColumn id="5" name="Statut"/>
  </tableColumns>
  <tableStyleInfo name="TableStyleMedium7" showRowStripes="1"/>
</table>
</file>

<file path=xl/tables/table2.xml><?xml version="1.0" encoding="utf-8"?>
<table xmlns="http://schemas.openxmlformats.org/spreadsheetml/2006/main" id="2" name="T_D_penses_3445" displayName="T_D_penses_3445" ref="A1:F105" headerRowCount="1">
  <autoFilter ref="A1:F105"/>
  <tableColumns count="6">
    <tableColumn id="1" name="Date"/>
    <tableColumn id="2" name="Catégorie"/>
    <tableColumn id="3" name="Description"/>
    <tableColumn id="4" name="Montant"/>
    <tableColumn id="5" name="Remboursable"/>
    <tableColumn id="6" name="Montant remboursé"/>
  </tableColumns>
  <tableStyleInfo name="TableStyleMedium7" showRowStripes="1"/>
</table>
</file>

<file path=xl/tables/table3.xml><?xml version="1.0" encoding="utf-8"?>
<table xmlns="http://schemas.openxmlformats.org/spreadsheetml/2006/main" id="3" name="T_Traitements_4334" displayName="T_Traitements_4334" ref="A1:E33" headerRowCount="1">
  <autoFilter ref="A1:E33"/>
  <tableColumns count="5">
    <tableColumn id="1" name="Médicament"/>
    <tableColumn id="2" name="Posologie"/>
    <tableColumn id="3" name="Heure"/>
    <tableColumn id="4" name="Détails"/>
    <tableColumn id="5" name="Dernière pris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Rendez-vous et soins'!A1" TargetMode="External" Id="rId2" /><Relationship Type="http://schemas.openxmlformats.org/officeDocument/2006/relationships/hyperlink" Target="#'D&#233;penses'!A1" TargetMode="External" Id="rId3" /><Relationship Type="http://schemas.openxmlformats.org/officeDocument/2006/relationships/hyperlink" Target="#'Traitement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Soins et Budget pour Aidants Familiaux</t>
        </is>
      </c>
    </row>
    <row r="3" ht="45" customHeight="1">
      <c r="C3" s="2" t="inlineStr">
        <is>
          <t>Optimisez l'organisation des soins et le suivi des dépenses pour vos proches dépendants. Un outil clé-en-main pour les aidants familiaux et petites structures d'aide à domicile.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les rendez-vous médicaux et soins à prodiguer</t>
        </is>
      </c>
    </row>
    <row r="7" ht="18" customHeight="1">
      <c r="B7" s="4" t="inlineStr">
        <is>
          <t>2.</t>
        </is>
      </c>
      <c r="C7" s="5" t="inlineStr">
        <is>
          <t>Enregistrez les dépenses (médicaments, matériel, etc.)</t>
        </is>
      </c>
    </row>
    <row r="8" ht="18" customHeight="1">
      <c r="B8" s="4" t="inlineStr">
        <is>
          <t>3.</t>
        </is>
      </c>
      <c r="C8" s="5" t="inlineStr">
        <is>
          <t>Suivez les prescriptions médicales avec rappels</t>
        </is>
      </c>
    </row>
    <row r="9" ht="18" customHeight="1">
      <c r="B9" s="4" t="inlineStr">
        <is>
          <t>4.</t>
        </is>
      </c>
      <c r="C9" s="5" t="inlineStr">
        <is>
          <t>Visualisez le budget consacré aux soins</t>
        </is>
      </c>
    </row>
    <row r="10" ht="18" customHeight="1">
      <c r="B10" s="4" t="inlineStr">
        <is>
          <t>5.</t>
        </is>
      </c>
      <c r="C10" s="5" t="inlineStr">
        <is>
          <t>Géneźreź des rapports pour le médecin ou l'administration</t>
        </is>
      </c>
    </row>
    <row r="11" ht="18" customHeight="1">
      <c r="B11" s="4" t="inlineStr">
        <is>
          <t>6.</t>
        </is>
      </c>
      <c r="C11" s="5" t="inlineStr">
        <is>
          <t>Exportez les données pour partager avec les autres aidants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Rendez-vous et soins</t>
        </is>
      </c>
    </row>
    <row r="18">
      <c r="C18" s="7" t="inlineStr">
        <is>
          <t>→ Dépenses</t>
        </is>
      </c>
    </row>
    <row r="19">
      <c r="C19" s="7" t="inlineStr">
        <is>
          <t>→ Traitements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Soins et Budget pour Aidants Familiaux</t>
        </is>
      </c>
    </row>
    <row r="4">
      <c r="B4" s="10" t="inlineStr">
        <is>
          <t>Indicateurs</t>
        </is>
      </c>
    </row>
    <row r="5" ht="24" customHeight="1">
      <c r="B5" s="11" t="inlineStr">
        <is>
          <t>Dépenses totales</t>
        </is>
      </c>
      <c r="C5" s="12">
        <f>SUM(Dépenses!D2:D300)</f>
        <v/>
      </c>
    </row>
    <row r="6" ht="24" customHeight="1">
      <c r="B6" s="11" t="inlineStr">
        <is>
          <t>Remboursements</t>
        </is>
      </c>
      <c r="C6" s="12">
        <f>SUM(Dépenses!F2:F300)</f>
        <v/>
      </c>
    </row>
    <row r="7" ht="24" customHeight="1">
      <c r="B7" s="11" t="inlineStr">
        <is>
          <t>Coût net</t>
        </is>
      </c>
      <c r="C7" s="12">
        <f>KPI1-KPI2</f>
        <v/>
      </c>
    </row>
    <row r="8" ht="24" customHeight="1">
      <c r="B8" s="11" t="inlineStr">
        <is>
          <t>Soins à venir</t>
        </is>
      </c>
      <c r="C8" s="13">
        <f>COUNTIF('Rendez-vous et soins'!A2:A300,"&gt;="&amp;TODAY())</f>
        <v/>
      </c>
    </row>
    <row r="9" ht="24" customHeight="1">
      <c r="B9" s="11" t="inlineStr">
        <is>
          <t>Médicaments actifs</t>
        </is>
      </c>
      <c r="C9" s="13">
        <f>COUNTA(Traitements!A2:A30)</f>
        <v/>
      </c>
    </row>
    <row r="10" ht="24" customHeight="1">
      <c r="B10" s="11" t="inlineStr">
        <is>
          <t>Soins effectués</t>
        </is>
      </c>
      <c r="C10" s="13">
        <f>COUNTIF('Rendez-vous et soins'!E2:E300,"Effectué")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8" customWidth="1" min="3" max="3"/>
    <col width="18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Type</t>
        </is>
      </c>
      <c r="C1" s="14" t="inlineStr">
        <is>
          <t>Soin à effectuer</t>
        </is>
      </c>
      <c r="D1" s="14" t="inlineStr">
        <is>
          <t>Préparé par</t>
        </is>
      </c>
      <c r="E1" s="14" t="inlineStr">
        <is>
          <t>Statut</t>
        </is>
      </c>
    </row>
    <row r="2">
      <c r="A2" s="15" t="n">
        <v>46068</v>
      </c>
      <c r="B2" s="16" t="inlineStr">
        <is>
          <t>Médical</t>
        </is>
      </c>
      <c r="C2" s="16" t="inlineStr">
        <is>
          <t>Consultation cardiologue</t>
        </is>
      </c>
      <c r="D2" s="16" t="inlineStr">
        <is>
          <t>Fille</t>
        </is>
      </c>
      <c r="E2" s="16" t="inlineStr">
        <is>
          <t>Confirmé</t>
        </is>
      </c>
    </row>
    <row r="3">
      <c r="A3" s="15" t="n">
        <v>46073</v>
      </c>
      <c r="B3" s="16" t="inlineStr">
        <is>
          <t>Soin</t>
        </is>
      </c>
      <c r="C3" s="16" t="inlineStr">
        <is>
          <t>Prise de tension</t>
        </is>
      </c>
      <c r="D3" s="16" t="inlineStr">
        <is>
          <t>Aide à domicile</t>
        </is>
      </c>
      <c r="E3" s="16" t="inlineStr"/>
    </row>
    <row r="4">
      <c r="A4" s="15" t="n">
        <v>46082</v>
      </c>
      <c r="B4" s="16" t="inlineStr">
        <is>
          <t>Médical</t>
        </is>
      </c>
      <c r="C4" s="16" t="inlineStr">
        <is>
          <t>Renouvellement ordonnance</t>
        </is>
      </c>
      <c r="D4" s="16" t="inlineStr">
        <is>
          <t>Fils</t>
        </is>
      </c>
      <c r="E4" s="16" t="inlineStr"/>
    </row>
    <row r="5">
      <c r="A5" s="15" t="n">
        <v>46081</v>
      </c>
      <c r="B5" s="16" t="inlineStr">
        <is>
          <t>Soin</t>
        </is>
      </c>
      <c r="C5" s="16" t="inlineStr">
        <is>
          <t>Toilette</t>
        </is>
      </c>
      <c r="D5" s="16" t="inlineStr">
        <is>
          <t>Aide à domicile</t>
        </is>
      </c>
      <c r="E5" s="16" t="inlineStr">
        <is>
          <t>Effectué</t>
        </is>
      </c>
    </row>
    <row r="6">
      <c r="A6" s="15" t="n">
        <v>46069</v>
      </c>
      <c r="B6" s="16" t="inlineStr">
        <is>
          <t>Administratif</t>
        </is>
      </c>
      <c r="C6" s="16" t="inlineStr">
        <is>
          <t>Dossier APA</t>
        </is>
      </c>
      <c r="D6" s="16" t="inlineStr">
        <is>
          <t>Conjoint</t>
        </is>
      </c>
      <c r="E6" s="16" t="inlineStr">
        <is>
          <t>En cours</t>
        </is>
      </c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  <row r="64">
      <c r="A64" s="15" t="n"/>
      <c r="B64" s="16" t="n"/>
      <c r="C64" s="16" t="n"/>
      <c r="D64" s="16" t="n"/>
      <c r="E64" s="16" t="n"/>
    </row>
    <row r="65">
      <c r="A65" s="15" t="n"/>
      <c r="B65" s="16" t="n"/>
      <c r="C65" s="16" t="n"/>
      <c r="D65" s="16" t="n"/>
      <c r="E65" s="16" t="n"/>
    </row>
    <row r="66">
      <c r="A66" s="15" t="n"/>
      <c r="B66" s="16" t="n"/>
      <c r="C66" s="16" t="n"/>
      <c r="D66" s="16" t="n"/>
      <c r="E66" s="16" t="n"/>
    </row>
    <row r="67">
      <c r="A67" s="15" t="n"/>
      <c r="B67" s="16" t="n"/>
      <c r="C67" s="16" t="n"/>
      <c r="D67" s="16" t="n"/>
      <c r="E67" s="16" t="n"/>
    </row>
    <row r="68">
      <c r="A68" s="15" t="n"/>
      <c r="B68" s="16" t="n"/>
      <c r="C68" s="16" t="n"/>
      <c r="D68" s="16" t="n"/>
      <c r="E68" s="16" t="n"/>
    </row>
    <row r="69">
      <c r="A69" s="15" t="n"/>
      <c r="B69" s="16" t="n"/>
      <c r="C69" s="16" t="n"/>
      <c r="D69" s="16" t="n"/>
      <c r="E69" s="16" t="n"/>
    </row>
    <row r="70">
      <c r="A70" s="15" t="n"/>
      <c r="B70" s="16" t="n"/>
      <c r="C70" s="16" t="n"/>
      <c r="D70" s="16" t="n"/>
      <c r="E70" s="16" t="n"/>
    </row>
    <row r="71">
      <c r="A71" s="15" t="n"/>
      <c r="B71" s="16" t="n"/>
      <c r="C71" s="16" t="n"/>
      <c r="D71" s="16" t="n"/>
      <c r="E71" s="16" t="n"/>
    </row>
    <row r="72">
      <c r="A72" s="15" t="n"/>
      <c r="B72" s="16" t="n"/>
      <c r="C72" s="16" t="n"/>
      <c r="D72" s="16" t="n"/>
      <c r="E72" s="16" t="n"/>
    </row>
    <row r="73">
      <c r="A73" s="15" t="n"/>
      <c r="B73" s="16" t="n"/>
      <c r="C73" s="16" t="n"/>
      <c r="D73" s="16" t="n"/>
      <c r="E73" s="16" t="n"/>
    </row>
    <row r="74">
      <c r="A74" s="15" t="n"/>
      <c r="B74" s="16" t="n"/>
      <c r="C74" s="16" t="n"/>
      <c r="D74" s="16" t="n"/>
      <c r="E74" s="16" t="n"/>
    </row>
    <row r="75">
      <c r="A75" s="15" t="n"/>
      <c r="B75" s="16" t="n"/>
      <c r="C75" s="16" t="n"/>
      <c r="D75" s="16" t="n"/>
      <c r="E75" s="16" t="n"/>
    </row>
    <row r="76">
      <c r="A76" s="15" t="n"/>
      <c r="B76" s="16" t="n"/>
      <c r="C76" s="16" t="n"/>
      <c r="D76" s="16" t="n"/>
      <c r="E76" s="16" t="n"/>
    </row>
    <row r="77">
      <c r="A77" s="15" t="n"/>
      <c r="B77" s="16" t="n"/>
      <c r="C77" s="16" t="n"/>
      <c r="D77" s="16" t="n"/>
      <c r="E77" s="16" t="n"/>
    </row>
    <row r="78">
      <c r="A78" s="15" t="n"/>
      <c r="B78" s="16" t="n"/>
      <c r="C78" s="16" t="n"/>
      <c r="D78" s="16" t="n"/>
      <c r="E78" s="16" t="n"/>
    </row>
    <row r="79">
      <c r="A79" s="15" t="n"/>
      <c r="B79" s="16" t="n"/>
      <c r="C79" s="16" t="n"/>
      <c r="D79" s="16" t="n"/>
      <c r="E79" s="16" t="n"/>
    </row>
    <row r="80">
      <c r="A80" s="15" t="n"/>
      <c r="B80" s="16" t="n"/>
      <c r="C80" s="16" t="n"/>
      <c r="D80" s="16" t="n"/>
      <c r="E80" s="16" t="n"/>
    </row>
    <row r="81">
      <c r="A81" s="15" t="n"/>
      <c r="B81" s="16" t="n"/>
      <c r="C81" s="16" t="n"/>
      <c r="D81" s="16" t="n"/>
      <c r="E81" s="16" t="n"/>
    </row>
    <row r="82">
      <c r="A82" s="15" t="n"/>
      <c r="B82" s="16" t="n"/>
      <c r="C82" s="16" t="n"/>
      <c r="D82" s="16" t="n"/>
      <c r="E82" s="16" t="n"/>
    </row>
    <row r="83">
      <c r="A83" s="15" t="n"/>
      <c r="B83" s="16" t="n"/>
      <c r="C83" s="16" t="n"/>
      <c r="D83" s="16" t="n"/>
      <c r="E83" s="16" t="n"/>
    </row>
    <row r="84">
      <c r="A84" s="15" t="n"/>
      <c r="B84" s="16" t="n"/>
      <c r="C84" s="16" t="n"/>
      <c r="D84" s="16" t="n"/>
      <c r="E84" s="16" t="n"/>
    </row>
    <row r="85">
      <c r="A85" s="15" t="n"/>
      <c r="B85" s="16" t="n"/>
      <c r="C85" s="16" t="n"/>
      <c r="D85" s="16" t="n"/>
      <c r="E85" s="16" t="n"/>
    </row>
    <row r="86">
      <c r="A86" s="15" t="n"/>
      <c r="B86" s="16" t="n"/>
      <c r="C86" s="16" t="n"/>
      <c r="D86" s="16" t="n"/>
      <c r="E86" s="16" t="n"/>
    </row>
    <row r="87">
      <c r="A87" s="15" t="n"/>
      <c r="B87" s="16" t="n"/>
      <c r="C87" s="16" t="n"/>
      <c r="D87" s="16" t="n"/>
      <c r="E87" s="16" t="n"/>
    </row>
    <row r="88">
      <c r="A88" s="15" t="n"/>
      <c r="B88" s="16" t="n"/>
      <c r="C88" s="16" t="n"/>
      <c r="D88" s="16" t="n"/>
      <c r="E88" s="16" t="n"/>
    </row>
    <row r="89">
      <c r="A89" s="15" t="n"/>
      <c r="B89" s="16" t="n"/>
      <c r="C89" s="16" t="n"/>
      <c r="D89" s="16" t="n"/>
      <c r="E89" s="16" t="n"/>
    </row>
    <row r="90">
      <c r="A90" s="15" t="n"/>
      <c r="B90" s="16" t="n"/>
      <c r="C90" s="16" t="n"/>
      <c r="D90" s="16" t="n"/>
      <c r="E90" s="16" t="n"/>
    </row>
    <row r="91">
      <c r="A91" s="15" t="n"/>
      <c r="B91" s="16" t="n"/>
      <c r="C91" s="16" t="n"/>
      <c r="D91" s="16" t="n"/>
      <c r="E91" s="16" t="n"/>
    </row>
    <row r="92">
      <c r="A92" s="15" t="n"/>
      <c r="B92" s="16" t="n"/>
      <c r="C92" s="16" t="n"/>
      <c r="D92" s="16" t="n"/>
      <c r="E92" s="16" t="n"/>
    </row>
    <row r="93">
      <c r="A93" s="15" t="n"/>
      <c r="B93" s="16" t="n"/>
      <c r="C93" s="16" t="n"/>
      <c r="D93" s="16" t="n"/>
      <c r="E93" s="16" t="n"/>
    </row>
    <row r="94">
      <c r="A94" s="15" t="n"/>
      <c r="B94" s="16" t="n"/>
      <c r="C94" s="16" t="n"/>
      <c r="D94" s="16" t="n"/>
      <c r="E94" s="16" t="n"/>
    </row>
    <row r="95">
      <c r="A95" s="15" t="n"/>
      <c r="B95" s="16" t="n"/>
      <c r="C95" s="16" t="n"/>
      <c r="D95" s="16" t="n"/>
      <c r="E95" s="16" t="n"/>
    </row>
    <row r="96">
      <c r="A96" s="15" t="n"/>
      <c r="B96" s="16" t="n"/>
      <c r="C96" s="16" t="n"/>
      <c r="D96" s="16" t="n"/>
      <c r="E96" s="16" t="n"/>
    </row>
    <row r="97">
      <c r="A97" s="15" t="n"/>
      <c r="B97" s="16" t="n"/>
      <c r="C97" s="16" t="n"/>
      <c r="D97" s="16" t="n"/>
      <c r="E97" s="16" t="n"/>
    </row>
    <row r="98">
      <c r="A98" s="15" t="n"/>
      <c r="B98" s="16" t="n"/>
      <c r="C98" s="16" t="n"/>
      <c r="D98" s="16" t="n"/>
      <c r="E98" s="16" t="n"/>
    </row>
    <row r="99">
      <c r="A99" s="15" t="n"/>
      <c r="B99" s="16" t="n"/>
      <c r="C99" s="16" t="n"/>
      <c r="D99" s="16" t="n"/>
      <c r="E99" s="16" t="n"/>
    </row>
    <row r="100">
      <c r="A100" s="15" t="n"/>
      <c r="B100" s="16" t="n"/>
      <c r="C100" s="16" t="n"/>
      <c r="D100" s="16" t="n"/>
      <c r="E100" s="16" t="n"/>
    </row>
    <row r="101">
      <c r="A101" s="15" t="n"/>
      <c r="B101" s="16" t="n"/>
      <c r="C101" s="16" t="n"/>
      <c r="D101" s="16" t="n"/>
      <c r="E101" s="16" t="n"/>
    </row>
    <row r="102">
      <c r="A102" s="15" t="n"/>
      <c r="B102" s="16" t="n"/>
      <c r="C102" s="16" t="n"/>
      <c r="D102" s="16" t="n"/>
      <c r="E102" s="16" t="n"/>
    </row>
    <row r="103">
      <c r="A103" s="15" t="n"/>
      <c r="B103" s="16" t="n"/>
      <c r="C103" s="16" t="n"/>
      <c r="D103" s="16" t="n"/>
      <c r="E103" s="16" t="n"/>
    </row>
    <row r="104">
      <c r="A104" s="15" t="n"/>
      <c r="B104" s="16" t="n"/>
      <c r="C104" s="16" t="n"/>
      <c r="D104" s="16" t="n"/>
      <c r="E104" s="16" t="n"/>
    </row>
    <row r="105">
      <c r="A105" s="15" t="n"/>
      <c r="B105" s="16" t="n"/>
      <c r="C105" s="16" t="n"/>
      <c r="D105" s="16" t="n"/>
      <c r="E105" s="16" t="n"/>
    </row>
    <row r="106">
      <c r="A106" s="15" t="n"/>
      <c r="B106" s="16" t="n"/>
      <c r="C106" s="16" t="n"/>
      <c r="D106" s="16" t="n"/>
      <c r="E106" s="16" t="n"/>
    </row>
  </sheetData>
  <dataValidations count="2">
    <dataValidation sqref="B2:B106" showDropDown="0" showInputMessage="0" showErrorMessage="0" allowBlank="1" type="list">
      <formula1>"Médical,Soin,Administratif,Autre"</formula1>
    </dataValidation>
    <dataValidation sqref="E2:E106" showDropDown="0" showInputMessage="0" showErrorMessage="0" allowBlank="1" type="list">
      <formula1>"A faire,Confirmé,En cours,Effectué,Annulé"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2" customWidth="1" min="4" max="4"/>
    <col width="15" customWidth="1" min="5" max="5"/>
    <col width="40" customWidth="1" min="6" max="6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Remboursable</t>
        </is>
      </c>
      <c r="F1" s="14" t="inlineStr">
        <is>
          <t>Montant remboursé</t>
        </is>
      </c>
    </row>
    <row r="2">
      <c r="A2" s="15" t="n">
        <v>46032</v>
      </c>
      <c r="B2" s="16" t="inlineStr">
        <is>
          <t>Médicaments</t>
        </is>
      </c>
      <c r="C2" s="16" t="inlineStr">
        <is>
          <t>Doliprane</t>
        </is>
      </c>
      <c r="D2" s="17" t="n">
        <v>5.2</v>
      </c>
      <c r="E2" s="16" t="inlineStr">
        <is>
          <t>Oui</t>
        </is>
      </c>
      <c r="F2" s="18">
        <f>IF(E2="Oui",ROUND(D2*0.75,2),IF(E2="Partiel",D2*0.5,0))</f>
        <v/>
      </c>
    </row>
    <row r="3">
      <c r="A3" s="15" t="n">
        <v>46037</v>
      </c>
      <c r="B3" s="16" t="inlineStr">
        <is>
          <t>Matériel</t>
        </is>
      </c>
      <c r="C3" s="16" t="inlineStr">
        <is>
          <t>Protège-matelas</t>
        </is>
      </c>
      <c r="D3" s="17" t="n">
        <v>89</v>
      </c>
      <c r="E3" s="16" t="inlineStr">
        <is>
          <t>Non</t>
        </is>
      </c>
      <c r="F3" s="18">
        <f>IF(E3="Oui",ROUND(D3*0.75,2),IF(E3="Partiel",D3*0.5,0))</f>
        <v/>
      </c>
    </row>
    <row r="4">
      <c r="A4" s="15" t="n">
        <v>46042</v>
      </c>
      <c r="B4" s="16" t="inlineStr">
        <is>
          <t>Transport</t>
        </is>
      </c>
      <c r="C4" s="16" t="inlineStr">
        <is>
          <t>Taxi consultation</t>
        </is>
      </c>
      <c r="D4" s="17" t="n">
        <v>35</v>
      </c>
      <c r="E4" s="16" t="inlineStr">
        <is>
          <t>Partiel</t>
        </is>
      </c>
      <c r="F4" s="18">
        <f>IF(E4="Oui",ROUND(D4*0.75,2),IF(E4="Partiel",D4*0.5,0))</f>
        <v/>
      </c>
    </row>
    <row r="5">
      <c r="A5" s="15" t="n">
        <v>46058</v>
      </c>
      <c r="B5" s="16" t="inlineStr">
        <is>
          <t>Médicaments</t>
        </is>
      </c>
      <c r="C5" s="16" t="inlineStr">
        <is>
          <t>Traitement BPCO</t>
        </is>
      </c>
      <c r="D5" s="17" t="n">
        <v>12.3</v>
      </c>
      <c r="E5" s="16" t="inlineStr">
        <is>
          <t>Oui</t>
        </is>
      </c>
      <c r="F5" s="18">
        <f>IF(E5="Oui",ROUND(D5*0.75,2),IF(E5="Partiel",D5*0.5,0))</f>
        <v/>
      </c>
    </row>
    <row r="6">
      <c r="A6" s="15" t="n"/>
      <c r="B6" s="16" t="n"/>
      <c r="C6" s="16" t="n"/>
      <c r="D6" s="17" t="n"/>
      <c r="E6" s="16" t="n"/>
      <c r="F6" s="18">
        <f>IF(A6="","",IF(E6="Oui",ROUND(D6*0.75,2),IF(E6="Partiel",D6*0.5,0)))</f>
        <v/>
      </c>
    </row>
    <row r="7">
      <c r="A7" s="15" t="n"/>
      <c r="B7" s="16" t="n"/>
      <c r="C7" s="16" t="n"/>
      <c r="D7" s="17" t="n"/>
      <c r="E7" s="16" t="n"/>
      <c r="F7" s="18">
        <f>IF(A7="","",IF(E7="Oui",ROUND(D7*0.75,2),IF(E7="Partiel",D7*0.5,0)))</f>
        <v/>
      </c>
    </row>
    <row r="8">
      <c r="A8" s="15" t="n"/>
      <c r="B8" s="16" t="n"/>
      <c r="C8" s="16" t="n"/>
      <c r="D8" s="17" t="n"/>
      <c r="E8" s="16" t="n"/>
      <c r="F8" s="18">
        <f>IF(A8="","",IF(E8="Oui",ROUND(D8*0.75,2),IF(E8="Partiel",D8*0.5,0)))</f>
        <v/>
      </c>
    </row>
    <row r="9">
      <c r="A9" s="15" t="n"/>
      <c r="B9" s="16" t="n"/>
      <c r="C9" s="16" t="n"/>
      <c r="D9" s="17" t="n"/>
      <c r="E9" s="16" t="n"/>
      <c r="F9" s="18">
        <f>IF(A9="","",IF(E9="Oui",ROUND(D9*0.75,2),IF(E9="Partiel",D9*0.5,0)))</f>
        <v/>
      </c>
    </row>
    <row r="10">
      <c r="A10" s="15" t="n"/>
      <c r="B10" s="16" t="n"/>
      <c r="C10" s="16" t="n"/>
      <c r="D10" s="17" t="n"/>
      <c r="E10" s="16" t="n"/>
      <c r="F10" s="18">
        <f>IF(A10="","",IF(E10="Oui",ROUND(D10*0.75,2),IF(E10="Partiel",D10*0.5,0)))</f>
        <v/>
      </c>
    </row>
    <row r="11">
      <c r="A11" s="15" t="n"/>
      <c r="B11" s="16" t="n"/>
      <c r="C11" s="16" t="n"/>
      <c r="D11" s="17" t="n"/>
      <c r="E11" s="16" t="n"/>
      <c r="F11" s="18">
        <f>IF(A11="","",IF(E11="Oui",ROUND(D11*0.75,2),IF(E11="Partiel",D11*0.5,0)))</f>
        <v/>
      </c>
    </row>
    <row r="12">
      <c r="A12" s="15" t="n"/>
      <c r="B12" s="16" t="n"/>
      <c r="C12" s="16" t="n"/>
      <c r="D12" s="17" t="n"/>
      <c r="E12" s="16" t="n"/>
      <c r="F12" s="18">
        <f>IF(A12="","",IF(E12="Oui",ROUND(D12*0.75,2),IF(E12="Partiel",D12*0.5,0)))</f>
        <v/>
      </c>
    </row>
    <row r="13">
      <c r="A13" s="15" t="n"/>
      <c r="B13" s="16" t="n"/>
      <c r="C13" s="16" t="n"/>
      <c r="D13" s="17" t="n"/>
      <c r="E13" s="16" t="n"/>
      <c r="F13" s="18">
        <f>IF(A13="","",IF(E13="Oui",ROUND(D13*0.75,2),IF(E13="Partiel",D13*0.5,0)))</f>
        <v/>
      </c>
    </row>
    <row r="14">
      <c r="A14" s="15" t="n"/>
      <c r="B14" s="16" t="n"/>
      <c r="C14" s="16" t="n"/>
      <c r="D14" s="17" t="n"/>
      <c r="E14" s="16" t="n"/>
      <c r="F14" s="18">
        <f>IF(A14="","",IF(E14="Oui",ROUND(D14*0.75,2),IF(E14="Partiel",D14*0.5,0)))</f>
        <v/>
      </c>
    </row>
    <row r="15">
      <c r="A15" s="15" t="n"/>
      <c r="B15" s="16" t="n"/>
      <c r="C15" s="16" t="n"/>
      <c r="D15" s="17" t="n"/>
      <c r="E15" s="16" t="n"/>
      <c r="F15" s="18">
        <f>IF(A15="","",IF(E15="Oui",ROUND(D15*0.75,2),IF(E15="Partiel",D15*0.5,0)))</f>
        <v/>
      </c>
    </row>
    <row r="16">
      <c r="A16" s="15" t="n"/>
      <c r="B16" s="16" t="n"/>
      <c r="C16" s="16" t="n"/>
      <c r="D16" s="17" t="n"/>
      <c r="E16" s="16" t="n"/>
      <c r="F16" s="18">
        <f>IF(A16="","",IF(E16="Oui",ROUND(D16*0.75,2),IF(E16="Partiel",D16*0.5,0)))</f>
        <v/>
      </c>
    </row>
    <row r="17">
      <c r="A17" s="15" t="n"/>
      <c r="B17" s="16" t="n"/>
      <c r="C17" s="16" t="n"/>
      <c r="D17" s="17" t="n"/>
      <c r="E17" s="16" t="n"/>
      <c r="F17" s="18">
        <f>IF(A17="","",IF(E17="Oui",ROUND(D17*0.75,2),IF(E17="Partiel",D17*0.5,0)))</f>
        <v/>
      </c>
    </row>
    <row r="18">
      <c r="A18" s="15" t="n"/>
      <c r="B18" s="16" t="n"/>
      <c r="C18" s="16" t="n"/>
      <c r="D18" s="17" t="n"/>
      <c r="E18" s="16" t="n"/>
      <c r="F18" s="18">
        <f>IF(A18="","",IF(E18="Oui",ROUND(D18*0.75,2),IF(E18="Partiel",D18*0.5,0)))</f>
        <v/>
      </c>
    </row>
    <row r="19">
      <c r="A19" s="15" t="n"/>
      <c r="B19" s="16" t="n"/>
      <c r="C19" s="16" t="n"/>
      <c r="D19" s="17" t="n"/>
      <c r="E19" s="16" t="n"/>
      <c r="F19" s="18">
        <f>IF(A19="","",IF(E19="Oui",ROUND(D19*0.75,2),IF(E19="Partiel",D19*0.5,0)))</f>
        <v/>
      </c>
    </row>
    <row r="20">
      <c r="A20" s="15" t="n"/>
      <c r="B20" s="16" t="n"/>
      <c r="C20" s="16" t="n"/>
      <c r="D20" s="17" t="n"/>
      <c r="E20" s="16" t="n"/>
      <c r="F20" s="18">
        <f>IF(A20="","",IF(E20="Oui",ROUND(D20*0.75,2),IF(E20="Partiel",D20*0.5,0)))</f>
        <v/>
      </c>
    </row>
    <row r="21">
      <c r="A21" s="15" t="n"/>
      <c r="B21" s="16" t="n"/>
      <c r="C21" s="16" t="n"/>
      <c r="D21" s="17" t="n"/>
      <c r="E21" s="16" t="n"/>
      <c r="F21" s="18">
        <f>IF(A21="","",IF(E21="Oui",ROUND(D21*0.75,2),IF(E21="Partiel",D21*0.5,0)))</f>
        <v/>
      </c>
    </row>
    <row r="22">
      <c r="A22" s="15" t="n"/>
      <c r="B22" s="16" t="n"/>
      <c r="C22" s="16" t="n"/>
      <c r="D22" s="17" t="n"/>
      <c r="E22" s="16" t="n"/>
      <c r="F22" s="18">
        <f>IF(A22="","",IF(E22="Oui",ROUND(D22*0.75,2),IF(E22="Partiel",D22*0.5,0)))</f>
        <v/>
      </c>
    </row>
    <row r="23">
      <c r="A23" s="15" t="n"/>
      <c r="B23" s="16" t="n"/>
      <c r="C23" s="16" t="n"/>
      <c r="D23" s="17" t="n"/>
      <c r="E23" s="16" t="n"/>
      <c r="F23" s="18">
        <f>IF(A23="","",IF(E23="Oui",ROUND(D23*0.75,2),IF(E23="Partiel",D23*0.5,0)))</f>
        <v/>
      </c>
    </row>
    <row r="24">
      <c r="A24" s="15" t="n"/>
      <c r="B24" s="16" t="n"/>
      <c r="C24" s="16" t="n"/>
      <c r="D24" s="17" t="n"/>
      <c r="E24" s="16" t="n"/>
      <c r="F24" s="18">
        <f>IF(A24="","",IF(E24="Oui",ROUND(D24*0.75,2),IF(E24="Partiel",D24*0.5,0)))</f>
        <v/>
      </c>
    </row>
    <row r="25">
      <c r="A25" s="15" t="n"/>
      <c r="B25" s="16" t="n"/>
      <c r="C25" s="16" t="n"/>
      <c r="D25" s="17" t="n"/>
      <c r="E25" s="16" t="n"/>
      <c r="F25" s="18">
        <f>IF(A25="","",IF(E25="Oui",ROUND(D25*0.75,2),IF(E25="Partiel",D25*0.5,0)))</f>
        <v/>
      </c>
    </row>
    <row r="26">
      <c r="A26" s="15" t="n"/>
      <c r="B26" s="16" t="n"/>
      <c r="C26" s="16" t="n"/>
      <c r="D26" s="17" t="n"/>
      <c r="E26" s="16" t="n"/>
      <c r="F26" s="18">
        <f>IF(A26="","",IF(E26="Oui",ROUND(D26*0.75,2),IF(E26="Partiel",D26*0.5,0)))</f>
        <v/>
      </c>
    </row>
    <row r="27">
      <c r="A27" s="15" t="n"/>
      <c r="B27" s="16" t="n"/>
      <c r="C27" s="16" t="n"/>
      <c r="D27" s="17" t="n"/>
      <c r="E27" s="16" t="n"/>
      <c r="F27" s="18">
        <f>IF(A27="","",IF(E27="Oui",ROUND(D27*0.75,2),IF(E27="Partiel",D27*0.5,0)))</f>
        <v/>
      </c>
    </row>
    <row r="28">
      <c r="A28" s="15" t="n"/>
      <c r="B28" s="16" t="n"/>
      <c r="C28" s="16" t="n"/>
      <c r="D28" s="17" t="n"/>
      <c r="E28" s="16" t="n"/>
      <c r="F28" s="18">
        <f>IF(A28="","",IF(E28="Oui",ROUND(D28*0.75,2),IF(E28="Partiel",D28*0.5,0)))</f>
        <v/>
      </c>
    </row>
    <row r="29">
      <c r="A29" s="15" t="n"/>
      <c r="B29" s="16" t="n"/>
      <c r="C29" s="16" t="n"/>
      <c r="D29" s="17" t="n"/>
      <c r="E29" s="16" t="n"/>
      <c r="F29" s="18">
        <f>IF(A29="","",IF(E29="Oui",ROUND(D29*0.75,2),IF(E29="Partiel",D29*0.5,0)))</f>
        <v/>
      </c>
    </row>
    <row r="30">
      <c r="A30" s="15" t="n"/>
      <c r="B30" s="16" t="n"/>
      <c r="C30" s="16" t="n"/>
      <c r="D30" s="17" t="n"/>
      <c r="E30" s="16" t="n"/>
      <c r="F30" s="18">
        <f>IF(A30="","",IF(E30="Oui",ROUND(D30*0.75,2),IF(E30="Partiel",D30*0.5,0)))</f>
        <v/>
      </c>
    </row>
    <row r="31">
      <c r="A31" s="15" t="n"/>
      <c r="B31" s="16" t="n"/>
      <c r="C31" s="16" t="n"/>
      <c r="D31" s="17" t="n"/>
      <c r="E31" s="16" t="n"/>
      <c r="F31" s="18">
        <f>IF(A31="","",IF(E31="Oui",ROUND(D31*0.75,2),IF(E31="Partiel",D31*0.5,0)))</f>
        <v/>
      </c>
    </row>
    <row r="32">
      <c r="A32" s="15" t="n"/>
      <c r="B32" s="16" t="n"/>
      <c r="C32" s="16" t="n"/>
      <c r="D32" s="17" t="n"/>
      <c r="E32" s="16" t="n"/>
      <c r="F32" s="18">
        <f>IF(A32="","",IF(E32="Oui",ROUND(D32*0.75,2),IF(E32="Partiel",D32*0.5,0)))</f>
        <v/>
      </c>
    </row>
    <row r="33">
      <c r="A33" s="15" t="n"/>
      <c r="B33" s="16" t="n"/>
      <c r="C33" s="16" t="n"/>
      <c r="D33" s="17" t="n"/>
      <c r="E33" s="16" t="n"/>
      <c r="F33" s="18">
        <f>IF(A33="","",IF(E33="Oui",ROUND(D33*0.75,2),IF(E33="Partiel",D33*0.5,0)))</f>
        <v/>
      </c>
    </row>
    <row r="34">
      <c r="A34" s="15" t="n"/>
      <c r="B34" s="16" t="n"/>
      <c r="C34" s="16" t="n"/>
      <c r="D34" s="17" t="n"/>
      <c r="E34" s="16" t="n"/>
      <c r="F34" s="18">
        <f>IF(A34="","",IF(E34="Oui",ROUND(D34*0.75,2),IF(E34="Partiel",D34*0.5,0)))</f>
        <v/>
      </c>
    </row>
    <row r="35">
      <c r="A35" s="15" t="n"/>
      <c r="B35" s="16" t="n"/>
      <c r="C35" s="16" t="n"/>
      <c r="D35" s="17" t="n"/>
      <c r="E35" s="16" t="n"/>
      <c r="F35" s="18">
        <f>IF(A35="","",IF(E35="Oui",ROUND(D35*0.75,2),IF(E35="Partiel",D35*0.5,0)))</f>
        <v/>
      </c>
    </row>
    <row r="36">
      <c r="A36" s="15" t="n"/>
      <c r="B36" s="16" t="n"/>
      <c r="C36" s="16" t="n"/>
      <c r="D36" s="17" t="n"/>
      <c r="E36" s="16" t="n"/>
      <c r="F36" s="18">
        <f>IF(A36="","",IF(E36="Oui",ROUND(D36*0.75,2),IF(E36="Partiel",D36*0.5,0)))</f>
        <v/>
      </c>
    </row>
    <row r="37">
      <c r="A37" s="15" t="n"/>
      <c r="B37" s="16" t="n"/>
      <c r="C37" s="16" t="n"/>
      <c r="D37" s="17" t="n"/>
      <c r="E37" s="16" t="n"/>
      <c r="F37" s="18">
        <f>IF(A37="","",IF(E37="Oui",ROUND(D37*0.75,2),IF(E37="Partiel",D37*0.5,0)))</f>
        <v/>
      </c>
    </row>
    <row r="38">
      <c r="A38" s="15" t="n"/>
      <c r="B38" s="16" t="n"/>
      <c r="C38" s="16" t="n"/>
      <c r="D38" s="17" t="n"/>
      <c r="E38" s="16" t="n"/>
      <c r="F38" s="18">
        <f>IF(A38="","",IF(E38="Oui",ROUND(D38*0.75,2),IF(E38="Partiel",D38*0.5,0)))</f>
        <v/>
      </c>
    </row>
    <row r="39">
      <c r="A39" s="15" t="n"/>
      <c r="B39" s="16" t="n"/>
      <c r="C39" s="16" t="n"/>
      <c r="D39" s="17" t="n"/>
      <c r="E39" s="16" t="n"/>
      <c r="F39" s="18">
        <f>IF(A39="","",IF(E39="Oui",ROUND(D39*0.75,2),IF(E39="Partiel",D39*0.5,0)))</f>
        <v/>
      </c>
    </row>
    <row r="40">
      <c r="A40" s="15" t="n"/>
      <c r="B40" s="16" t="n"/>
      <c r="C40" s="16" t="n"/>
      <c r="D40" s="17" t="n"/>
      <c r="E40" s="16" t="n"/>
      <c r="F40" s="18">
        <f>IF(A40="","",IF(E40="Oui",ROUND(D40*0.75,2),IF(E40="Partiel",D40*0.5,0)))</f>
        <v/>
      </c>
    </row>
    <row r="41">
      <c r="A41" s="15" t="n"/>
      <c r="B41" s="16" t="n"/>
      <c r="C41" s="16" t="n"/>
      <c r="D41" s="17" t="n"/>
      <c r="E41" s="16" t="n"/>
      <c r="F41" s="18">
        <f>IF(A41="","",IF(E41="Oui",ROUND(D41*0.75,2),IF(E41="Partiel",D41*0.5,0)))</f>
        <v/>
      </c>
    </row>
    <row r="42">
      <c r="A42" s="15" t="n"/>
      <c r="B42" s="16" t="n"/>
      <c r="C42" s="16" t="n"/>
      <c r="D42" s="17" t="n"/>
      <c r="E42" s="16" t="n"/>
      <c r="F42" s="18">
        <f>IF(A42="","",IF(E42="Oui",ROUND(D42*0.75,2),IF(E42="Partiel",D42*0.5,0)))</f>
        <v/>
      </c>
    </row>
    <row r="43">
      <c r="A43" s="15" t="n"/>
      <c r="B43" s="16" t="n"/>
      <c r="C43" s="16" t="n"/>
      <c r="D43" s="17" t="n"/>
      <c r="E43" s="16" t="n"/>
      <c r="F43" s="18">
        <f>IF(A43="","",IF(E43="Oui",ROUND(D43*0.75,2),IF(E43="Partiel",D43*0.5,0)))</f>
        <v/>
      </c>
    </row>
    <row r="44">
      <c r="A44" s="15" t="n"/>
      <c r="B44" s="16" t="n"/>
      <c r="C44" s="16" t="n"/>
      <c r="D44" s="17" t="n"/>
      <c r="E44" s="16" t="n"/>
      <c r="F44" s="18">
        <f>IF(A44="","",IF(E44="Oui",ROUND(D44*0.75,2),IF(E44="Partiel",D44*0.5,0)))</f>
        <v/>
      </c>
    </row>
    <row r="45">
      <c r="A45" s="15" t="n"/>
      <c r="B45" s="16" t="n"/>
      <c r="C45" s="16" t="n"/>
      <c r="D45" s="17" t="n"/>
      <c r="E45" s="16" t="n"/>
      <c r="F45" s="18">
        <f>IF(A45="","",IF(E45="Oui",ROUND(D45*0.75,2),IF(E45="Partiel",D45*0.5,0)))</f>
        <v/>
      </c>
    </row>
    <row r="46">
      <c r="A46" s="15" t="n"/>
      <c r="B46" s="16" t="n"/>
      <c r="C46" s="16" t="n"/>
      <c r="D46" s="17" t="n"/>
      <c r="E46" s="16" t="n"/>
      <c r="F46" s="18">
        <f>IF(A46="","",IF(E46="Oui",ROUND(D46*0.75,2),IF(E46="Partiel",D46*0.5,0)))</f>
        <v/>
      </c>
    </row>
    <row r="47">
      <c r="A47" s="15" t="n"/>
      <c r="B47" s="16" t="n"/>
      <c r="C47" s="16" t="n"/>
      <c r="D47" s="17" t="n"/>
      <c r="E47" s="16" t="n"/>
      <c r="F47" s="18">
        <f>IF(A47="","",IF(E47="Oui",ROUND(D47*0.75,2),IF(E47="Partiel",D47*0.5,0)))</f>
        <v/>
      </c>
    </row>
    <row r="48">
      <c r="A48" s="15" t="n"/>
      <c r="B48" s="16" t="n"/>
      <c r="C48" s="16" t="n"/>
      <c r="D48" s="17" t="n"/>
      <c r="E48" s="16" t="n"/>
      <c r="F48" s="18">
        <f>IF(A48="","",IF(E48="Oui",ROUND(D48*0.75,2),IF(E48="Partiel",D48*0.5,0)))</f>
        <v/>
      </c>
    </row>
    <row r="49">
      <c r="A49" s="15" t="n"/>
      <c r="B49" s="16" t="n"/>
      <c r="C49" s="16" t="n"/>
      <c r="D49" s="17" t="n"/>
      <c r="E49" s="16" t="n"/>
      <c r="F49" s="18">
        <f>IF(A49="","",IF(E49="Oui",ROUND(D49*0.75,2),IF(E49="Partiel",D49*0.5,0)))</f>
        <v/>
      </c>
    </row>
    <row r="50">
      <c r="A50" s="15" t="n"/>
      <c r="B50" s="16" t="n"/>
      <c r="C50" s="16" t="n"/>
      <c r="D50" s="17" t="n"/>
      <c r="E50" s="16" t="n"/>
      <c r="F50" s="18">
        <f>IF(A50="","",IF(E50="Oui",ROUND(D50*0.75,2),IF(E50="Partiel",D50*0.5,0)))</f>
        <v/>
      </c>
    </row>
    <row r="51">
      <c r="A51" s="15" t="n"/>
      <c r="B51" s="16" t="n"/>
      <c r="C51" s="16" t="n"/>
      <c r="D51" s="17" t="n"/>
      <c r="E51" s="16" t="n"/>
      <c r="F51" s="18">
        <f>IF(A51="","",IF(E51="Oui",ROUND(D51*0.75,2),IF(E51="Partiel",D51*0.5,0)))</f>
        <v/>
      </c>
    </row>
    <row r="52">
      <c r="A52" s="15" t="n"/>
      <c r="B52" s="16" t="n"/>
      <c r="C52" s="16" t="n"/>
      <c r="D52" s="17" t="n"/>
      <c r="E52" s="16" t="n"/>
      <c r="F52" s="18">
        <f>IF(A52="","",IF(E52="Oui",ROUND(D52*0.75,2),IF(E52="Partiel",D52*0.5,0)))</f>
        <v/>
      </c>
    </row>
    <row r="53">
      <c r="A53" s="15" t="n"/>
      <c r="B53" s="16" t="n"/>
      <c r="C53" s="16" t="n"/>
      <c r="D53" s="17" t="n"/>
      <c r="E53" s="16" t="n"/>
      <c r="F53" s="18">
        <f>IF(A53="","",IF(E53="Oui",ROUND(D53*0.75,2),IF(E53="Partiel",D53*0.5,0)))</f>
        <v/>
      </c>
    </row>
    <row r="54">
      <c r="A54" s="15" t="n"/>
      <c r="B54" s="16" t="n"/>
      <c r="C54" s="16" t="n"/>
      <c r="D54" s="17" t="n"/>
      <c r="E54" s="16" t="n"/>
      <c r="F54" s="18">
        <f>IF(A54="","",IF(E54="Oui",ROUND(D54*0.75,2),IF(E54="Partiel",D54*0.5,0)))</f>
        <v/>
      </c>
    </row>
    <row r="55">
      <c r="A55" s="15" t="n"/>
      <c r="B55" s="16" t="n"/>
      <c r="C55" s="16" t="n"/>
      <c r="D55" s="17" t="n"/>
      <c r="E55" s="16" t="n"/>
      <c r="F55" s="18">
        <f>IF(A55="","",IF(E55="Oui",ROUND(D55*0.75,2),IF(E55="Partiel",D55*0.5,0)))</f>
        <v/>
      </c>
    </row>
    <row r="56">
      <c r="A56" s="15" t="n"/>
      <c r="B56" s="16" t="n"/>
      <c r="C56" s="16" t="n"/>
      <c r="D56" s="17" t="n"/>
      <c r="E56" s="16" t="n"/>
      <c r="F56" s="18">
        <f>IF(A56="","",IF(E56="Oui",ROUND(D56*0.75,2),IF(E56="Partiel",D56*0.5,0)))</f>
        <v/>
      </c>
    </row>
    <row r="57">
      <c r="A57" s="15" t="n"/>
      <c r="B57" s="16" t="n"/>
      <c r="C57" s="16" t="n"/>
      <c r="D57" s="17" t="n"/>
      <c r="E57" s="16" t="n"/>
      <c r="F57" s="18">
        <f>IF(A57="","",IF(E57="Oui",ROUND(D57*0.75,2),IF(E57="Partiel",D57*0.5,0)))</f>
        <v/>
      </c>
    </row>
    <row r="58">
      <c r="A58" s="15" t="n"/>
      <c r="B58" s="16" t="n"/>
      <c r="C58" s="16" t="n"/>
      <c r="D58" s="17" t="n"/>
      <c r="E58" s="16" t="n"/>
      <c r="F58" s="18">
        <f>IF(A58="","",IF(E58="Oui",ROUND(D58*0.75,2),IF(E58="Partiel",D58*0.5,0)))</f>
        <v/>
      </c>
    </row>
    <row r="59">
      <c r="A59" s="15" t="n"/>
      <c r="B59" s="16" t="n"/>
      <c r="C59" s="16" t="n"/>
      <c r="D59" s="17" t="n"/>
      <c r="E59" s="16" t="n"/>
      <c r="F59" s="18">
        <f>IF(A59="","",IF(E59="Oui",ROUND(D59*0.75,2),IF(E59="Partiel",D59*0.5,0)))</f>
        <v/>
      </c>
    </row>
    <row r="60">
      <c r="A60" s="15" t="n"/>
      <c r="B60" s="16" t="n"/>
      <c r="C60" s="16" t="n"/>
      <c r="D60" s="17" t="n"/>
      <c r="E60" s="16" t="n"/>
      <c r="F60" s="18">
        <f>IF(A60="","",IF(E60="Oui",ROUND(D60*0.75,2),IF(E60="Partiel",D60*0.5,0)))</f>
        <v/>
      </c>
    </row>
    <row r="61">
      <c r="A61" s="15" t="n"/>
      <c r="B61" s="16" t="n"/>
      <c r="C61" s="16" t="n"/>
      <c r="D61" s="17" t="n"/>
      <c r="E61" s="16" t="n"/>
      <c r="F61" s="18">
        <f>IF(A61="","",IF(E61="Oui",ROUND(D61*0.75,2),IF(E61="Partiel",D61*0.5,0)))</f>
        <v/>
      </c>
    </row>
    <row r="62">
      <c r="A62" s="15" t="n"/>
      <c r="B62" s="16" t="n"/>
      <c r="C62" s="16" t="n"/>
      <c r="D62" s="17" t="n"/>
      <c r="E62" s="16" t="n"/>
      <c r="F62" s="18">
        <f>IF(A62="","",IF(E62="Oui",ROUND(D62*0.75,2),IF(E62="Partiel",D62*0.5,0)))</f>
        <v/>
      </c>
    </row>
    <row r="63">
      <c r="A63" s="15" t="n"/>
      <c r="B63" s="16" t="n"/>
      <c r="C63" s="16" t="n"/>
      <c r="D63" s="17" t="n"/>
      <c r="E63" s="16" t="n"/>
      <c r="F63" s="18">
        <f>IF(A63="","",IF(E63="Oui",ROUND(D63*0.75,2),IF(E63="Partiel",D63*0.5,0)))</f>
        <v/>
      </c>
    </row>
    <row r="64">
      <c r="A64" s="15" t="n"/>
      <c r="B64" s="16" t="n"/>
      <c r="C64" s="16" t="n"/>
      <c r="D64" s="17" t="n"/>
      <c r="E64" s="16" t="n"/>
      <c r="F64" s="18">
        <f>IF(A64="","",IF(E64="Oui",ROUND(D64*0.75,2),IF(E64="Partiel",D64*0.5,0)))</f>
        <v/>
      </c>
    </row>
    <row r="65">
      <c r="A65" s="15" t="n"/>
      <c r="B65" s="16" t="n"/>
      <c r="C65" s="16" t="n"/>
      <c r="D65" s="17" t="n"/>
      <c r="E65" s="16" t="n"/>
      <c r="F65" s="18">
        <f>IF(A65="","",IF(E65="Oui",ROUND(D65*0.75,2),IF(E65="Partiel",D65*0.5,0)))</f>
        <v/>
      </c>
    </row>
    <row r="66">
      <c r="A66" s="15" t="n"/>
      <c r="B66" s="16" t="n"/>
      <c r="C66" s="16" t="n"/>
      <c r="D66" s="17" t="n"/>
      <c r="E66" s="16" t="n"/>
      <c r="F66" s="18">
        <f>IF(A66="","",IF(E66="Oui",ROUND(D66*0.75,2),IF(E66="Partiel",D66*0.5,0)))</f>
        <v/>
      </c>
    </row>
    <row r="67">
      <c r="A67" s="15" t="n"/>
      <c r="B67" s="16" t="n"/>
      <c r="C67" s="16" t="n"/>
      <c r="D67" s="17" t="n"/>
      <c r="E67" s="16" t="n"/>
      <c r="F67" s="18">
        <f>IF(A67="","",IF(E67="Oui",ROUND(D67*0.75,2),IF(E67="Partiel",D67*0.5,0)))</f>
        <v/>
      </c>
    </row>
    <row r="68">
      <c r="A68" s="15" t="n"/>
      <c r="B68" s="16" t="n"/>
      <c r="C68" s="16" t="n"/>
      <c r="D68" s="17" t="n"/>
      <c r="E68" s="16" t="n"/>
      <c r="F68" s="18">
        <f>IF(A68="","",IF(E68="Oui",ROUND(D68*0.75,2),IF(E68="Partiel",D68*0.5,0)))</f>
        <v/>
      </c>
    </row>
    <row r="69">
      <c r="A69" s="15" t="n"/>
      <c r="B69" s="16" t="n"/>
      <c r="C69" s="16" t="n"/>
      <c r="D69" s="17" t="n"/>
      <c r="E69" s="16" t="n"/>
      <c r="F69" s="18">
        <f>IF(A69="","",IF(E69="Oui",ROUND(D69*0.75,2),IF(E69="Partiel",D69*0.5,0)))</f>
        <v/>
      </c>
    </row>
    <row r="70">
      <c r="A70" s="15" t="n"/>
      <c r="B70" s="16" t="n"/>
      <c r="C70" s="16" t="n"/>
      <c r="D70" s="17" t="n"/>
      <c r="E70" s="16" t="n"/>
      <c r="F70" s="18">
        <f>IF(A70="","",IF(E70="Oui",ROUND(D70*0.75,2),IF(E70="Partiel",D70*0.5,0)))</f>
        <v/>
      </c>
    </row>
    <row r="71">
      <c r="A71" s="15" t="n"/>
      <c r="B71" s="16" t="n"/>
      <c r="C71" s="16" t="n"/>
      <c r="D71" s="17" t="n"/>
      <c r="E71" s="16" t="n"/>
      <c r="F71" s="18">
        <f>IF(A71="","",IF(E71="Oui",ROUND(D71*0.75,2),IF(E71="Partiel",D71*0.5,0)))</f>
        <v/>
      </c>
    </row>
    <row r="72">
      <c r="A72" s="15" t="n"/>
      <c r="B72" s="16" t="n"/>
      <c r="C72" s="16" t="n"/>
      <c r="D72" s="17" t="n"/>
      <c r="E72" s="16" t="n"/>
      <c r="F72" s="18">
        <f>IF(A72="","",IF(E72="Oui",ROUND(D72*0.75,2),IF(E72="Partiel",D72*0.5,0)))</f>
        <v/>
      </c>
    </row>
    <row r="73">
      <c r="A73" s="15" t="n"/>
      <c r="B73" s="16" t="n"/>
      <c r="C73" s="16" t="n"/>
      <c r="D73" s="17" t="n"/>
      <c r="E73" s="16" t="n"/>
      <c r="F73" s="18">
        <f>IF(A73="","",IF(E73="Oui",ROUND(D73*0.75,2),IF(E73="Partiel",D73*0.5,0)))</f>
        <v/>
      </c>
    </row>
    <row r="74">
      <c r="A74" s="15" t="n"/>
      <c r="B74" s="16" t="n"/>
      <c r="C74" s="16" t="n"/>
      <c r="D74" s="17" t="n"/>
      <c r="E74" s="16" t="n"/>
      <c r="F74" s="18">
        <f>IF(A74="","",IF(E74="Oui",ROUND(D74*0.75,2),IF(E74="Partiel",D74*0.5,0)))</f>
        <v/>
      </c>
    </row>
    <row r="75">
      <c r="A75" s="15" t="n"/>
      <c r="B75" s="16" t="n"/>
      <c r="C75" s="16" t="n"/>
      <c r="D75" s="17" t="n"/>
      <c r="E75" s="16" t="n"/>
      <c r="F75" s="18">
        <f>IF(A75="","",IF(E75="Oui",ROUND(D75*0.75,2),IF(E75="Partiel",D75*0.5,0)))</f>
        <v/>
      </c>
    </row>
    <row r="76">
      <c r="A76" s="15" t="n"/>
      <c r="B76" s="16" t="n"/>
      <c r="C76" s="16" t="n"/>
      <c r="D76" s="17" t="n"/>
      <c r="E76" s="16" t="n"/>
      <c r="F76" s="18">
        <f>IF(A76="","",IF(E76="Oui",ROUND(D76*0.75,2),IF(E76="Partiel",D76*0.5,0)))</f>
        <v/>
      </c>
    </row>
    <row r="77">
      <c r="A77" s="15" t="n"/>
      <c r="B77" s="16" t="n"/>
      <c r="C77" s="16" t="n"/>
      <c r="D77" s="17" t="n"/>
      <c r="E77" s="16" t="n"/>
      <c r="F77" s="18">
        <f>IF(A77="","",IF(E77="Oui",ROUND(D77*0.75,2),IF(E77="Partiel",D77*0.5,0)))</f>
        <v/>
      </c>
    </row>
    <row r="78">
      <c r="A78" s="15" t="n"/>
      <c r="B78" s="16" t="n"/>
      <c r="C78" s="16" t="n"/>
      <c r="D78" s="17" t="n"/>
      <c r="E78" s="16" t="n"/>
      <c r="F78" s="18">
        <f>IF(A78="","",IF(E78="Oui",ROUND(D78*0.75,2),IF(E78="Partiel",D78*0.5,0)))</f>
        <v/>
      </c>
    </row>
    <row r="79">
      <c r="A79" s="15" t="n"/>
      <c r="B79" s="16" t="n"/>
      <c r="C79" s="16" t="n"/>
      <c r="D79" s="17" t="n"/>
      <c r="E79" s="16" t="n"/>
      <c r="F79" s="18">
        <f>IF(A79="","",IF(E79="Oui",ROUND(D79*0.75,2),IF(E79="Partiel",D79*0.5,0)))</f>
        <v/>
      </c>
    </row>
    <row r="80">
      <c r="A80" s="15" t="n"/>
      <c r="B80" s="16" t="n"/>
      <c r="C80" s="16" t="n"/>
      <c r="D80" s="17" t="n"/>
      <c r="E80" s="16" t="n"/>
      <c r="F80" s="18">
        <f>IF(A80="","",IF(E80="Oui",ROUND(D80*0.75,2),IF(E80="Partiel",D80*0.5,0)))</f>
        <v/>
      </c>
    </row>
    <row r="81">
      <c r="A81" s="15" t="n"/>
      <c r="B81" s="16" t="n"/>
      <c r="C81" s="16" t="n"/>
      <c r="D81" s="17" t="n"/>
      <c r="E81" s="16" t="n"/>
      <c r="F81" s="18">
        <f>IF(A81="","",IF(E81="Oui",ROUND(D81*0.75,2),IF(E81="Partiel",D81*0.5,0)))</f>
        <v/>
      </c>
    </row>
    <row r="82">
      <c r="A82" s="15" t="n"/>
      <c r="B82" s="16" t="n"/>
      <c r="C82" s="16" t="n"/>
      <c r="D82" s="17" t="n"/>
      <c r="E82" s="16" t="n"/>
      <c r="F82" s="18">
        <f>IF(A82="","",IF(E82="Oui",ROUND(D82*0.75,2),IF(E82="Partiel",D82*0.5,0)))</f>
        <v/>
      </c>
    </row>
    <row r="83">
      <c r="A83" s="15" t="n"/>
      <c r="B83" s="16" t="n"/>
      <c r="C83" s="16" t="n"/>
      <c r="D83" s="17" t="n"/>
      <c r="E83" s="16" t="n"/>
      <c r="F83" s="18">
        <f>IF(A83="","",IF(E83="Oui",ROUND(D83*0.75,2),IF(E83="Partiel",D83*0.5,0)))</f>
        <v/>
      </c>
    </row>
    <row r="84">
      <c r="A84" s="15" t="n"/>
      <c r="B84" s="16" t="n"/>
      <c r="C84" s="16" t="n"/>
      <c r="D84" s="17" t="n"/>
      <c r="E84" s="16" t="n"/>
      <c r="F84" s="18">
        <f>IF(A84="","",IF(E84="Oui",ROUND(D84*0.75,2),IF(E84="Partiel",D84*0.5,0)))</f>
        <v/>
      </c>
    </row>
    <row r="85">
      <c r="A85" s="15" t="n"/>
      <c r="B85" s="16" t="n"/>
      <c r="C85" s="16" t="n"/>
      <c r="D85" s="17" t="n"/>
      <c r="E85" s="16" t="n"/>
      <c r="F85" s="18">
        <f>IF(A85="","",IF(E85="Oui",ROUND(D85*0.75,2),IF(E85="Partiel",D85*0.5,0)))</f>
        <v/>
      </c>
    </row>
    <row r="86">
      <c r="A86" s="15" t="n"/>
      <c r="B86" s="16" t="n"/>
      <c r="C86" s="16" t="n"/>
      <c r="D86" s="17" t="n"/>
      <c r="E86" s="16" t="n"/>
      <c r="F86" s="18">
        <f>IF(A86="","",IF(E86="Oui",ROUND(D86*0.75,2),IF(E86="Partiel",D86*0.5,0)))</f>
        <v/>
      </c>
    </row>
    <row r="87">
      <c r="A87" s="15" t="n"/>
      <c r="B87" s="16" t="n"/>
      <c r="C87" s="16" t="n"/>
      <c r="D87" s="17" t="n"/>
      <c r="E87" s="16" t="n"/>
      <c r="F87" s="18">
        <f>IF(A87="","",IF(E87="Oui",ROUND(D87*0.75,2),IF(E87="Partiel",D87*0.5,0)))</f>
        <v/>
      </c>
    </row>
    <row r="88">
      <c r="A88" s="15" t="n"/>
      <c r="B88" s="16" t="n"/>
      <c r="C88" s="16" t="n"/>
      <c r="D88" s="17" t="n"/>
      <c r="E88" s="16" t="n"/>
      <c r="F88" s="18">
        <f>IF(A88="","",IF(E88="Oui",ROUND(D88*0.75,2),IF(E88="Partiel",D88*0.5,0)))</f>
        <v/>
      </c>
    </row>
    <row r="89">
      <c r="A89" s="15" t="n"/>
      <c r="B89" s="16" t="n"/>
      <c r="C89" s="16" t="n"/>
      <c r="D89" s="17" t="n"/>
      <c r="E89" s="16" t="n"/>
      <c r="F89" s="18">
        <f>IF(A89="","",IF(E89="Oui",ROUND(D89*0.75,2),IF(E89="Partiel",D89*0.5,0)))</f>
        <v/>
      </c>
    </row>
    <row r="90">
      <c r="A90" s="15" t="n"/>
      <c r="B90" s="16" t="n"/>
      <c r="C90" s="16" t="n"/>
      <c r="D90" s="17" t="n"/>
      <c r="E90" s="16" t="n"/>
      <c r="F90" s="18">
        <f>IF(A90="","",IF(E90="Oui",ROUND(D90*0.75,2),IF(E90="Partiel",D90*0.5,0)))</f>
        <v/>
      </c>
    </row>
    <row r="91">
      <c r="A91" s="15" t="n"/>
      <c r="B91" s="16" t="n"/>
      <c r="C91" s="16" t="n"/>
      <c r="D91" s="17" t="n"/>
      <c r="E91" s="16" t="n"/>
      <c r="F91" s="18">
        <f>IF(A91="","",IF(E91="Oui",ROUND(D91*0.75,2),IF(E91="Partiel",D91*0.5,0)))</f>
        <v/>
      </c>
    </row>
    <row r="92">
      <c r="A92" s="15" t="n"/>
      <c r="B92" s="16" t="n"/>
      <c r="C92" s="16" t="n"/>
      <c r="D92" s="17" t="n"/>
      <c r="E92" s="16" t="n"/>
      <c r="F92" s="18">
        <f>IF(A92="","",IF(E92="Oui",ROUND(D92*0.75,2),IF(E92="Partiel",D92*0.5,0)))</f>
        <v/>
      </c>
    </row>
    <row r="93">
      <c r="A93" s="15" t="n"/>
      <c r="B93" s="16" t="n"/>
      <c r="C93" s="16" t="n"/>
      <c r="D93" s="17" t="n"/>
      <c r="E93" s="16" t="n"/>
      <c r="F93" s="18">
        <f>IF(A93="","",IF(E93="Oui",ROUND(D93*0.75,2),IF(E93="Partiel",D93*0.5,0)))</f>
        <v/>
      </c>
    </row>
    <row r="94">
      <c r="A94" s="15" t="n"/>
      <c r="B94" s="16" t="n"/>
      <c r="C94" s="16" t="n"/>
      <c r="D94" s="17" t="n"/>
      <c r="E94" s="16" t="n"/>
      <c r="F94" s="18">
        <f>IF(A94="","",IF(E94="Oui",ROUND(D94*0.75,2),IF(E94="Partiel",D94*0.5,0)))</f>
        <v/>
      </c>
    </row>
    <row r="95">
      <c r="A95" s="15" t="n"/>
      <c r="B95" s="16" t="n"/>
      <c r="C95" s="16" t="n"/>
      <c r="D95" s="17" t="n"/>
      <c r="E95" s="16" t="n"/>
      <c r="F95" s="18">
        <f>IF(A95="","",IF(E95="Oui",ROUND(D95*0.75,2),IF(E95="Partiel",D95*0.5,0)))</f>
        <v/>
      </c>
    </row>
    <row r="96">
      <c r="A96" s="15" t="n"/>
      <c r="B96" s="16" t="n"/>
      <c r="C96" s="16" t="n"/>
      <c r="D96" s="17" t="n"/>
      <c r="E96" s="16" t="n"/>
      <c r="F96" s="18">
        <f>IF(A96="","",IF(E96="Oui",ROUND(D96*0.75,2),IF(E96="Partiel",D96*0.5,0)))</f>
        <v/>
      </c>
    </row>
    <row r="97">
      <c r="A97" s="15" t="n"/>
      <c r="B97" s="16" t="n"/>
      <c r="C97" s="16" t="n"/>
      <c r="D97" s="17" t="n"/>
      <c r="E97" s="16" t="n"/>
      <c r="F97" s="18">
        <f>IF(A97="","",IF(E97="Oui",ROUND(D97*0.75,2),IF(E97="Partiel",D97*0.5,0)))</f>
        <v/>
      </c>
    </row>
    <row r="98">
      <c r="A98" s="15" t="n"/>
      <c r="B98" s="16" t="n"/>
      <c r="C98" s="16" t="n"/>
      <c r="D98" s="17" t="n"/>
      <c r="E98" s="16" t="n"/>
      <c r="F98" s="18">
        <f>IF(A98="","",IF(E98="Oui",ROUND(D98*0.75,2),IF(E98="Partiel",D98*0.5,0)))</f>
        <v/>
      </c>
    </row>
    <row r="99">
      <c r="A99" s="15" t="n"/>
      <c r="B99" s="16" t="n"/>
      <c r="C99" s="16" t="n"/>
      <c r="D99" s="17" t="n"/>
      <c r="E99" s="16" t="n"/>
      <c r="F99" s="18">
        <f>IF(A99="","",IF(E99="Oui",ROUND(D99*0.75,2),IF(E99="Partiel",D99*0.5,0)))</f>
        <v/>
      </c>
    </row>
    <row r="100">
      <c r="A100" s="15" t="n"/>
      <c r="B100" s="16" t="n"/>
      <c r="C100" s="16" t="n"/>
      <c r="D100" s="17" t="n"/>
      <c r="E100" s="16" t="n"/>
      <c r="F100" s="18">
        <f>IF(A100="","",IF(E100="Oui",ROUND(D100*0.75,2),IF(E100="Partiel",D100*0.5,0)))</f>
        <v/>
      </c>
    </row>
    <row r="101">
      <c r="A101" s="15" t="n"/>
      <c r="B101" s="16" t="n"/>
      <c r="C101" s="16" t="n"/>
      <c r="D101" s="17" t="n"/>
      <c r="E101" s="16" t="n"/>
      <c r="F101" s="18">
        <f>IF(A101="","",IF(E101="Oui",ROUND(D101*0.75,2),IF(E101="Partiel",D101*0.5,0)))</f>
        <v/>
      </c>
    </row>
    <row r="102">
      <c r="A102" s="15" t="n"/>
      <c r="B102" s="16" t="n"/>
      <c r="C102" s="16" t="n"/>
      <c r="D102" s="17" t="n"/>
      <c r="E102" s="16" t="n"/>
      <c r="F102" s="18">
        <f>IF(A102="","",IF(E102="Oui",ROUND(D102*0.75,2),IF(E102="Partiel",D102*0.5,0)))</f>
        <v/>
      </c>
    </row>
    <row r="103">
      <c r="A103" s="15" t="n"/>
      <c r="B103" s="16" t="n"/>
      <c r="C103" s="16" t="n"/>
      <c r="D103" s="17" t="n"/>
      <c r="E103" s="16" t="n"/>
      <c r="F103" s="18">
        <f>IF(A103="","",IF(E103="Oui",ROUND(D103*0.75,2),IF(E103="Partiel",D103*0.5,0)))</f>
        <v/>
      </c>
    </row>
    <row r="104">
      <c r="A104" s="15" t="n"/>
      <c r="B104" s="16" t="n"/>
      <c r="C104" s="16" t="n"/>
      <c r="D104" s="17" t="n"/>
      <c r="E104" s="16" t="n"/>
      <c r="F104" s="18">
        <f>IF(A104="","",IF(E104="Oui",ROUND(D104*0.75,2),IF(E104="Partiel",D104*0.5,0)))</f>
        <v/>
      </c>
    </row>
    <row r="105">
      <c r="A105" s="15" t="n"/>
      <c r="B105" s="16" t="n"/>
      <c r="C105" s="16" t="n"/>
      <c r="D105" s="17" t="n"/>
      <c r="E105" s="16" t="n"/>
      <c r="F105" s="18">
        <f>IF(A105="","",IF(E105="Oui",ROUND(D105*0.75,2),IF(E105="Partiel",D105*0.5,0)))</f>
        <v/>
      </c>
    </row>
  </sheetData>
  <conditionalFormatting sqref="D2:D105">
    <cfRule type="cellIs" priority="1" operator="lessThan" dxfId="0">
      <formula>0</formula>
    </cfRule>
  </conditionalFormatting>
  <conditionalFormatting sqref="F2:F105">
    <cfRule type="cellIs" priority="2" operator="lessThan" dxfId="0">
      <formula>0</formula>
    </cfRule>
  </conditionalFormatting>
  <dataValidations count="2">
    <dataValidation sqref="B2:B105" showDropDown="0" showInputMessage="0" showErrorMessage="0" allowBlank="1" type="list">
      <formula1>"Médicaments,Matériel,Transport,Soins,Autre"</formula1>
    </dataValidation>
    <dataValidation sqref="E2:E105" showDropDown="0" showInputMessage="0" showErrorMessage="0" allowBlank="1" type="list">
      <formula1>"Oui,Non,Partiel"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6" customWidth="1" min="4" max="4"/>
    <col width="17" customWidth="1" min="5" max="5"/>
  </cols>
  <sheetData>
    <row r="1" ht="32" customHeight="1">
      <c r="A1" s="14" t="inlineStr">
        <is>
          <t>Médicament</t>
        </is>
      </c>
      <c r="B1" s="14" t="inlineStr">
        <is>
          <t>Posologie</t>
        </is>
      </c>
      <c r="C1" s="14" t="inlineStr">
        <is>
          <t>Heure</t>
        </is>
      </c>
      <c r="D1" s="14" t="inlineStr">
        <is>
          <t>Détails</t>
        </is>
      </c>
      <c r="E1" s="14" t="inlineStr">
        <is>
          <t>Dernière prise</t>
        </is>
      </c>
    </row>
    <row r="2">
      <c r="A2" s="16" t="inlineStr">
        <is>
          <t>Doliprane</t>
        </is>
      </c>
      <c r="B2" s="16" t="inlineStr">
        <is>
          <t>1 comprimé</t>
        </is>
      </c>
      <c r="C2" s="16" t="inlineStr">
        <is>
          <t>8h et 20h</t>
        </is>
      </c>
      <c r="D2" s="16" t="inlineStr">
        <is>
          <t>Si douleur</t>
        </is>
      </c>
      <c r="E2" s="15" t="n">
        <v>46067</v>
      </c>
    </row>
    <row r="3">
      <c r="A3" s="16" t="inlineStr">
        <is>
          <t>Tensiomètre</t>
        </is>
      </c>
      <c r="B3" s="16" t="inlineStr">
        <is>
          <t>2 mesures/jour</t>
        </is>
      </c>
      <c r="C3" s="16" t="inlineStr">
        <is>
          <t>Matin et soir</t>
        </is>
      </c>
      <c r="D3" s="16" t="inlineStr">
        <is>
          <t>Noter valeurs</t>
        </is>
      </c>
      <c r="E3" s="15" t="n">
        <v>46068</v>
      </c>
    </row>
    <row r="4">
      <c r="A4" s="16" t="n"/>
      <c r="B4" s="16" t="n"/>
      <c r="C4" s="16" t="n"/>
      <c r="D4" s="16" t="n"/>
      <c r="E4" s="15" t="n"/>
    </row>
    <row r="5">
      <c r="A5" s="16" t="n"/>
      <c r="B5" s="16" t="n"/>
      <c r="C5" s="16" t="n"/>
      <c r="D5" s="16" t="n"/>
      <c r="E5" s="15" t="n"/>
    </row>
    <row r="6">
      <c r="A6" s="16" t="n"/>
      <c r="B6" s="16" t="n"/>
      <c r="C6" s="16" t="n"/>
      <c r="D6" s="16" t="n"/>
      <c r="E6" s="15" t="n"/>
    </row>
    <row r="7">
      <c r="A7" s="16" t="n"/>
      <c r="B7" s="16" t="n"/>
      <c r="C7" s="16" t="n"/>
      <c r="D7" s="16" t="n"/>
      <c r="E7" s="15" t="n"/>
    </row>
    <row r="8">
      <c r="A8" s="16" t="n"/>
      <c r="B8" s="16" t="n"/>
      <c r="C8" s="16" t="n"/>
      <c r="D8" s="16" t="n"/>
      <c r="E8" s="15" t="n"/>
    </row>
    <row r="9">
      <c r="A9" s="16" t="n"/>
      <c r="B9" s="16" t="n"/>
      <c r="C9" s="16" t="n"/>
      <c r="D9" s="16" t="n"/>
      <c r="E9" s="15" t="n"/>
    </row>
    <row r="10">
      <c r="A10" s="16" t="n"/>
      <c r="B10" s="16" t="n"/>
      <c r="C10" s="16" t="n"/>
      <c r="D10" s="16" t="n"/>
      <c r="E10" s="15" t="n"/>
    </row>
    <row r="11">
      <c r="A11" s="16" t="n"/>
      <c r="B11" s="16" t="n"/>
      <c r="C11" s="16" t="n"/>
      <c r="D11" s="16" t="n"/>
      <c r="E11" s="15" t="n"/>
    </row>
    <row r="12">
      <c r="A12" s="16" t="n"/>
      <c r="B12" s="16" t="n"/>
      <c r="C12" s="16" t="n"/>
      <c r="D12" s="16" t="n"/>
      <c r="E12" s="15" t="n"/>
    </row>
    <row r="13">
      <c r="A13" s="16" t="n"/>
      <c r="B13" s="16" t="n"/>
      <c r="C13" s="16" t="n"/>
      <c r="D13" s="16" t="n"/>
      <c r="E13" s="15" t="n"/>
    </row>
    <row r="14">
      <c r="A14" s="16" t="n"/>
      <c r="B14" s="16" t="n"/>
      <c r="C14" s="16" t="n"/>
      <c r="D14" s="16" t="n"/>
      <c r="E14" s="15" t="n"/>
    </row>
    <row r="15">
      <c r="A15" s="16" t="n"/>
      <c r="B15" s="16" t="n"/>
      <c r="C15" s="16" t="n"/>
      <c r="D15" s="16" t="n"/>
      <c r="E15" s="15" t="n"/>
    </row>
    <row r="16">
      <c r="A16" s="16" t="n"/>
      <c r="B16" s="16" t="n"/>
      <c r="C16" s="16" t="n"/>
      <c r="D16" s="16" t="n"/>
      <c r="E16" s="15" t="n"/>
    </row>
    <row r="17">
      <c r="A17" s="16" t="n"/>
      <c r="B17" s="16" t="n"/>
      <c r="C17" s="16" t="n"/>
      <c r="D17" s="16" t="n"/>
      <c r="E17" s="15" t="n"/>
    </row>
    <row r="18">
      <c r="A18" s="16" t="n"/>
      <c r="B18" s="16" t="n"/>
      <c r="C18" s="16" t="n"/>
      <c r="D18" s="16" t="n"/>
      <c r="E18" s="15" t="n"/>
    </row>
    <row r="19">
      <c r="A19" s="16" t="n"/>
      <c r="B19" s="16" t="n"/>
      <c r="C19" s="16" t="n"/>
      <c r="D19" s="16" t="n"/>
      <c r="E19" s="15" t="n"/>
    </row>
    <row r="20">
      <c r="A20" s="16" t="n"/>
      <c r="B20" s="16" t="n"/>
      <c r="C20" s="16" t="n"/>
      <c r="D20" s="16" t="n"/>
      <c r="E20" s="15" t="n"/>
    </row>
    <row r="21">
      <c r="A21" s="16" t="n"/>
      <c r="B21" s="16" t="n"/>
      <c r="C21" s="16" t="n"/>
      <c r="D21" s="16" t="n"/>
      <c r="E21" s="15" t="n"/>
    </row>
    <row r="22">
      <c r="A22" s="16" t="n"/>
      <c r="B22" s="16" t="n"/>
      <c r="C22" s="16" t="n"/>
      <c r="D22" s="16" t="n"/>
      <c r="E22" s="15" t="n"/>
    </row>
    <row r="23">
      <c r="A23" s="16" t="n"/>
      <c r="B23" s="16" t="n"/>
      <c r="C23" s="16" t="n"/>
      <c r="D23" s="16" t="n"/>
      <c r="E23" s="15" t="n"/>
    </row>
    <row r="24">
      <c r="A24" s="16" t="n"/>
      <c r="B24" s="16" t="n"/>
      <c r="C24" s="16" t="n"/>
      <c r="D24" s="16" t="n"/>
      <c r="E24" s="15" t="n"/>
    </row>
    <row r="25">
      <c r="A25" s="16" t="n"/>
      <c r="B25" s="16" t="n"/>
      <c r="C25" s="16" t="n"/>
      <c r="D25" s="16" t="n"/>
      <c r="E25" s="15" t="n"/>
    </row>
    <row r="26">
      <c r="A26" s="16" t="n"/>
      <c r="B26" s="16" t="n"/>
      <c r="C26" s="16" t="n"/>
      <c r="D26" s="16" t="n"/>
      <c r="E26" s="15" t="n"/>
    </row>
    <row r="27">
      <c r="A27" s="16" t="n"/>
      <c r="B27" s="16" t="n"/>
      <c r="C27" s="16" t="n"/>
      <c r="D27" s="16" t="n"/>
      <c r="E27" s="15" t="n"/>
    </row>
    <row r="28">
      <c r="A28" s="16" t="n"/>
      <c r="B28" s="16" t="n"/>
      <c r="C28" s="16" t="n"/>
      <c r="D28" s="16" t="n"/>
      <c r="E28" s="15" t="n"/>
    </row>
    <row r="29">
      <c r="A29" s="16" t="n"/>
      <c r="B29" s="16" t="n"/>
      <c r="C29" s="16" t="n"/>
      <c r="D29" s="16" t="n"/>
      <c r="E29" s="15" t="n"/>
    </row>
    <row r="30">
      <c r="A30" s="16" t="n"/>
      <c r="B30" s="16" t="n"/>
      <c r="C30" s="16" t="n"/>
      <c r="D30" s="16" t="n"/>
      <c r="E30" s="15" t="n"/>
    </row>
    <row r="31">
      <c r="A31" s="16" t="n"/>
      <c r="B31" s="16" t="n"/>
      <c r="C31" s="16" t="n"/>
      <c r="D31" s="16" t="n"/>
      <c r="E31" s="15" t="n"/>
    </row>
    <row r="32">
      <c r="A32" s="16" t="n"/>
      <c r="B32" s="16" t="n"/>
      <c r="C32" s="16" t="n"/>
      <c r="D32" s="16" t="n"/>
      <c r="E32" s="15" t="n"/>
    </row>
    <row r="33">
      <c r="A33" s="16" t="n"/>
      <c r="B33" s="16" t="n"/>
      <c r="C33" s="16" t="n"/>
      <c r="D33" s="16" t="n"/>
      <c r="E33" s="15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Soins et Budget pour Aidants Familiaux</dc:title>
  <dcterms:created xsi:type="dcterms:W3CDTF">2026-10-15T04:49:27Z</dcterms:created>
  <dcterms:modified xsi:type="dcterms:W3CDTF">2026-10-15T04:49:27Z</dcterms:modified>
</cp:coreProperties>
</file>