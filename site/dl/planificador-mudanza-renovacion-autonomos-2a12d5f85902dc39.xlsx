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'Presupuesto'!$C$2:$C$4</f>
            </numRef>
          </cat>
          <val>
            <numRef>
              <f>'Presupuesto'!$F$2:$F$4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869" displayName="T_Presupuesto_2869" ref="A1:F84" headerRowCount="1">
  <autoFilter ref="A1:F84"/>
  <tableColumns count="6">
    <tableColumn id="1" name="Fecha"/>
    <tableColumn id="2" name="Concepto"/>
    <tableColumn id="3" name="Tipo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Calendario_3887" displayName="T_Calendario_3887" ref="A1:D43" headerRowCount="1">
  <autoFilter ref="A1:D43"/>
  <tableColumns count="4">
    <tableColumn id="1" name="Fecha"/>
    <tableColumn id="2" name="Tarea"/>
    <tableColumn id="3" name="Responsable"/>
    <tableColumn id="4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Calendari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Mudanza Profesional para Autónomos: Control de Presupuesto y Tiempo</t>
        </is>
      </c>
    </row>
    <row r="3" ht="45" customHeight="1">
      <c r="C3" s="2" t="inlineStr">
        <is>
          <t>Organiza tu mudanza como un profesional: calcula costes, planifica plazos y controla gastos con esta herramienta todo-en-uno.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todos los gastos en la hoja 'Presupuesto'</t>
        </is>
      </c>
    </row>
    <row r="7" ht="18" customHeight="1">
      <c r="B7" s="4" t="inlineStr">
        <is>
          <t>2.</t>
        </is>
      </c>
      <c r="C7" s="5" t="inlineStr">
        <is>
          <t>Planifica las fechas clave en 'Calendario'</t>
        </is>
      </c>
    </row>
    <row r="8" ht="18" customHeight="1">
      <c r="B8" s="4" t="inlineStr">
        <is>
          <t>3.</t>
        </is>
      </c>
      <c r="C8" s="5" t="inlineStr">
        <is>
          <t>Asigna tareas y responsables</t>
        </is>
      </c>
    </row>
    <row r="9" ht="18" customHeight="1">
      <c r="B9" s="4" t="inlineStr">
        <is>
          <t>4.</t>
        </is>
      </c>
      <c r="C9" s="5" t="inlineStr">
        <is>
          <t>Controla el avance semanal</t>
        </is>
      </c>
    </row>
    <row r="10" ht="18" customHeight="1">
      <c r="B10" s="4" t="inlineStr">
        <is>
          <t>5.</t>
        </is>
      </c>
      <c r="C10" s="5" t="inlineStr">
        <is>
          <t>Ajusta según necesidad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Presupuesto</t>
        </is>
      </c>
    </row>
    <row r="17">
      <c r="C17" s="7" t="inlineStr">
        <is>
          <t>→ Calendario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de Mudanza Profesional para Autónomos: Control 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presupuesto</t>
        </is>
      </c>
      <c r="C5" s="12">
        <f>SUM('Presupuesto'!F2:F300)</f>
        <v/>
      </c>
    </row>
    <row r="6" ht="24" customHeight="1">
      <c r="B6" s="11" t="inlineStr">
        <is>
          <t>Tareas completadas</t>
        </is>
      </c>
      <c r="C6" s="13">
        <f>COUNTIF('Calendario'!D2:D300,"Completado")</f>
        <v/>
      </c>
    </row>
    <row r="7" ht="24" customHeight="1">
      <c r="B7" s="11" t="inlineStr">
        <is>
          <t>% avance</t>
        </is>
      </c>
      <c r="C7" s="14">
        <f>COUNTIF('Calendario'!D2:D300,"Completado")/COUNTA('Calendario'!D2:D300)</f>
        <v/>
      </c>
    </row>
    <row r="8" ht="24" customHeight="1">
      <c r="B8" s="11" t="inlineStr">
        <is>
          <t>Mayor gasto</t>
        </is>
      </c>
      <c r="C8" s="12">
        <f>MAX('Presupuesto'!F2:F300)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Tipo</t>
        </is>
      </c>
      <c r="D1" s="15" t="inlineStr">
        <is>
          <t>Cantidad</t>
        </is>
      </c>
      <c r="E1" s="15" t="inlineStr">
        <is>
          <t>Precio Unitario</t>
        </is>
      </c>
      <c r="F1" s="15" t="inlineStr">
        <is>
          <t>Total</t>
        </is>
      </c>
    </row>
    <row r="2">
      <c r="A2" s="16" t="n">
        <v>46091</v>
      </c>
      <c r="B2" s="17" t="inlineStr">
        <is>
          <t>Cajas embalaje</t>
        </is>
      </c>
      <c r="C2" s="17" t="inlineStr">
        <is>
          <t>Material</t>
        </is>
      </c>
      <c r="D2" s="18" t="n">
        <v>20</v>
      </c>
      <c r="E2" s="19" t="n">
        <v>1.5</v>
      </c>
      <c r="F2" s="20">
        <f>D2*E2</f>
        <v/>
      </c>
    </row>
    <row r="3">
      <c r="A3" s="16" t="n">
        <v>46093</v>
      </c>
      <c r="B3" s="17" t="inlineStr">
        <is>
          <t>Transporte</t>
        </is>
      </c>
      <c r="C3" s="17" t="inlineStr">
        <is>
          <t>Servicio</t>
        </is>
      </c>
      <c r="D3" s="18" t="n">
        <v>1</v>
      </c>
      <c r="E3" s="19" t="n">
        <v>350</v>
      </c>
      <c r="F3" s="20">
        <f>D3*E3</f>
        <v/>
      </c>
    </row>
    <row r="4">
      <c r="A4" s="16" t="n">
        <v>46096</v>
      </c>
      <c r="B4" s="17" t="inlineStr">
        <is>
          <t>Montaje muebles</t>
        </is>
      </c>
      <c r="C4" s="17" t="inlineStr">
        <is>
          <t>Mano de obra</t>
        </is>
      </c>
      <c r="D4" s="18" t="n">
        <v>8</v>
      </c>
      <c r="E4" s="19" t="n">
        <v>25</v>
      </c>
      <c r="F4" s="20">
        <f>D4*E4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  <row r="70">
      <c r="A70" s="16" t="n"/>
      <c r="B70" s="17" t="n"/>
      <c r="C70" s="17" t="n"/>
      <c r="D70" s="18" t="n"/>
      <c r="E70" s="19" t="n"/>
      <c r="F70" s="20">
        <f>IF(A70="","",D70*E70)</f>
        <v/>
      </c>
    </row>
    <row r="71">
      <c r="A71" s="16" t="n"/>
      <c r="B71" s="17" t="n"/>
      <c r="C71" s="17" t="n"/>
      <c r="D71" s="18" t="n"/>
      <c r="E71" s="19" t="n"/>
      <c r="F71" s="20">
        <f>IF(A71="","",D71*E71)</f>
        <v/>
      </c>
    </row>
    <row r="72">
      <c r="A72" s="16" t="n"/>
      <c r="B72" s="17" t="n"/>
      <c r="C72" s="17" t="n"/>
      <c r="D72" s="18" t="n"/>
      <c r="E72" s="19" t="n"/>
      <c r="F72" s="20">
        <f>IF(A72="","",D72*E72)</f>
        <v/>
      </c>
    </row>
    <row r="73">
      <c r="A73" s="16" t="n"/>
      <c r="B73" s="17" t="n"/>
      <c r="C73" s="17" t="n"/>
      <c r="D73" s="18" t="n"/>
      <c r="E73" s="19" t="n"/>
      <c r="F73" s="20">
        <f>IF(A73="","",D73*E73)</f>
        <v/>
      </c>
    </row>
    <row r="74">
      <c r="A74" s="16" t="n"/>
      <c r="B74" s="17" t="n"/>
      <c r="C74" s="17" t="n"/>
      <c r="D74" s="18" t="n"/>
      <c r="E74" s="19" t="n"/>
      <c r="F74" s="20">
        <f>IF(A74="","",D74*E74)</f>
        <v/>
      </c>
    </row>
    <row r="75">
      <c r="A75" s="16" t="n"/>
      <c r="B75" s="17" t="n"/>
      <c r="C75" s="17" t="n"/>
      <c r="D75" s="18" t="n"/>
      <c r="E75" s="19" t="n"/>
      <c r="F75" s="20">
        <f>IF(A75="","",D75*E75)</f>
        <v/>
      </c>
    </row>
    <row r="76">
      <c r="A76" s="16" t="n"/>
      <c r="B76" s="17" t="n"/>
      <c r="C76" s="17" t="n"/>
      <c r="D76" s="18" t="n"/>
      <c r="E76" s="19" t="n"/>
      <c r="F76" s="20">
        <f>IF(A76="","",D76*E76)</f>
        <v/>
      </c>
    </row>
    <row r="77">
      <c r="A77" s="16" t="n"/>
      <c r="B77" s="17" t="n"/>
      <c r="C77" s="17" t="n"/>
      <c r="D77" s="18" t="n"/>
      <c r="E77" s="19" t="n"/>
      <c r="F77" s="20">
        <f>IF(A77="","",D77*E77)</f>
        <v/>
      </c>
    </row>
    <row r="78">
      <c r="A78" s="16" t="n"/>
      <c r="B78" s="17" t="n"/>
      <c r="C78" s="17" t="n"/>
      <c r="D78" s="18" t="n"/>
      <c r="E78" s="19" t="n"/>
      <c r="F78" s="20">
        <f>IF(A78="","",D78*E78)</f>
        <v/>
      </c>
    </row>
    <row r="79">
      <c r="A79" s="16" t="n"/>
      <c r="B79" s="17" t="n"/>
      <c r="C79" s="17" t="n"/>
      <c r="D79" s="18" t="n"/>
      <c r="E79" s="19" t="n"/>
      <c r="F79" s="20">
        <f>IF(A79="","",D79*E79)</f>
        <v/>
      </c>
    </row>
    <row r="80">
      <c r="A80" s="16" t="n"/>
      <c r="B80" s="17" t="n"/>
      <c r="C80" s="17" t="n"/>
      <c r="D80" s="18" t="n"/>
      <c r="E80" s="19" t="n"/>
      <c r="F80" s="20">
        <f>IF(A80="","",D80*E80)</f>
        <v/>
      </c>
    </row>
    <row r="81">
      <c r="A81" s="16" t="n"/>
      <c r="B81" s="17" t="n"/>
      <c r="C81" s="17" t="n"/>
      <c r="D81" s="18" t="n"/>
      <c r="E81" s="19" t="n"/>
      <c r="F81" s="20">
        <f>IF(A81="","",D81*E81)</f>
        <v/>
      </c>
    </row>
    <row r="82">
      <c r="A82" s="16" t="n"/>
      <c r="B82" s="17" t="n"/>
      <c r="C82" s="17" t="n"/>
      <c r="D82" s="18" t="n"/>
      <c r="E82" s="19" t="n"/>
      <c r="F82" s="20">
        <f>IF(A82="","",D82*E82)</f>
        <v/>
      </c>
    </row>
    <row r="83">
      <c r="A83" s="16" t="n"/>
      <c r="B83" s="17" t="n"/>
      <c r="C83" s="17" t="n"/>
      <c r="D83" s="18" t="n"/>
      <c r="E83" s="19" t="n"/>
      <c r="F83" s="20">
        <f>IF(A83="","",D83*E83)</f>
        <v/>
      </c>
    </row>
    <row r="84">
      <c r="A84" s="16" t="n"/>
      <c r="B84" s="17" t="n"/>
      <c r="C84" s="17" t="n"/>
      <c r="D84" s="18" t="n"/>
      <c r="E84" s="19" t="n"/>
      <c r="F84" s="20">
        <f>IF(A84="","",D84*E84)</f>
        <v/>
      </c>
    </row>
  </sheetData>
  <conditionalFormatting sqref="D2:D84">
    <cfRule type="cellIs" priority="1" operator="lessThan" dxfId="0">
      <formula>0</formula>
    </cfRule>
  </conditionalFormatting>
  <conditionalFormatting sqref="E2:E84">
    <cfRule type="cellIs" priority="2" operator="lessThan" dxfId="0">
      <formula>0</formula>
    </cfRule>
  </conditionalFormatting>
  <conditionalFormatting sqref="F2:F84">
    <cfRule type="cellIs" priority="3" operator="lessThan" dxfId="0">
      <formula>0</formula>
    </cfRule>
  </conditionalFormatting>
  <dataValidations count="1">
    <dataValidation sqref="C2:C84" showDropDown="0" showInputMessage="0" showErrorMessage="0" allowBlank="1" type="list">
      <formula1>"Material,Servicio,Mano de obra,Otros"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3" customWidth="1" min="4" max="4"/>
  </cols>
  <sheetData>
    <row r="1" ht="32" customHeight="1">
      <c r="A1" s="15" t="inlineStr">
        <is>
          <t>Fecha</t>
        </is>
      </c>
      <c r="B1" s="15" t="inlineStr">
        <is>
          <t>Tarea</t>
        </is>
      </c>
      <c r="C1" s="15" t="inlineStr">
        <is>
          <t>Responsable</t>
        </is>
      </c>
      <c r="D1" s="15" t="inlineStr">
        <is>
          <t>Estado</t>
        </is>
      </c>
    </row>
    <row r="2">
      <c r="A2" s="16" t="n">
        <v>46113</v>
      </c>
      <c r="B2" s="17" t="inlineStr">
        <is>
          <t>Contratar transportista</t>
        </is>
      </c>
      <c r="C2" s="17" t="inlineStr">
        <is>
          <t>Propio</t>
        </is>
      </c>
      <c r="D2" s="17" t="inlineStr">
        <is>
          <t>Pendiente</t>
        </is>
      </c>
    </row>
    <row r="3">
      <c r="A3" s="16" t="n">
        <v>46117</v>
      </c>
      <c r="B3" s="17" t="inlineStr">
        <is>
          <t>Empaquetar oficina</t>
        </is>
      </c>
      <c r="C3" s="17" t="inlineStr">
        <is>
          <t>Equipo</t>
        </is>
      </c>
      <c r="D3" s="17" t="inlineStr">
        <is>
          <t>En proceso</t>
        </is>
      </c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  <row r="12">
      <c r="A12" s="16" t="n"/>
      <c r="B12" s="17" t="n"/>
      <c r="C12" s="17" t="n"/>
      <c r="D12" s="17" t="n"/>
    </row>
    <row r="13">
      <c r="A13" s="16" t="n"/>
      <c r="B13" s="17" t="n"/>
      <c r="C13" s="17" t="n"/>
      <c r="D13" s="17" t="n"/>
    </row>
    <row r="14">
      <c r="A14" s="16" t="n"/>
      <c r="B14" s="17" t="n"/>
      <c r="C14" s="17" t="n"/>
      <c r="D14" s="17" t="n"/>
    </row>
    <row r="15">
      <c r="A15" s="16" t="n"/>
      <c r="B15" s="17" t="n"/>
      <c r="C15" s="17" t="n"/>
      <c r="D15" s="17" t="n"/>
    </row>
    <row r="16">
      <c r="A16" s="16" t="n"/>
      <c r="B16" s="17" t="n"/>
      <c r="C16" s="17" t="n"/>
      <c r="D16" s="17" t="n"/>
    </row>
    <row r="17">
      <c r="A17" s="16" t="n"/>
      <c r="B17" s="17" t="n"/>
      <c r="C17" s="17" t="n"/>
      <c r="D17" s="17" t="n"/>
    </row>
    <row r="18">
      <c r="A18" s="16" t="n"/>
      <c r="B18" s="17" t="n"/>
      <c r="C18" s="17" t="n"/>
      <c r="D18" s="17" t="n"/>
    </row>
    <row r="19">
      <c r="A19" s="16" t="n"/>
      <c r="B19" s="17" t="n"/>
      <c r="C19" s="17" t="n"/>
      <c r="D19" s="17" t="n"/>
    </row>
    <row r="20">
      <c r="A20" s="16" t="n"/>
      <c r="B20" s="17" t="n"/>
      <c r="C20" s="17" t="n"/>
      <c r="D20" s="17" t="n"/>
    </row>
    <row r="21">
      <c r="A21" s="16" t="n"/>
      <c r="B21" s="17" t="n"/>
      <c r="C21" s="17" t="n"/>
      <c r="D21" s="17" t="n"/>
    </row>
    <row r="22">
      <c r="A22" s="16" t="n"/>
      <c r="B22" s="17" t="n"/>
      <c r="C22" s="17" t="n"/>
      <c r="D22" s="17" t="n"/>
    </row>
    <row r="23">
      <c r="A23" s="16" t="n"/>
      <c r="B23" s="17" t="n"/>
      <c r="C23" s="17" t="n"/>
      <c r="D23" s="17" t="n"/>
    </row>
    <row r="24">
      <c r="A24" s="16" t="n"/>
      <c r="B24" s="17" t="n"/>
      <c r="C24" s="17" t="n"/>
      <c r="D24" s="17" t="n"/>
    </row>
    <row r="25">
      <c r="A25" s="16" t="n"/>
      <c r="B25" s="17" t="n"/>
      <c r="C25" s="17" t="n"/>
      <c r="D25" s="17" t="n"/>
    </row>
    <row r="26">
      <c r="A26" s="16" t="n"/>
      <c r="B26" s="17" t="n"/>
      <c r="C26" s="17" t="n"/>
      <c r="D26" s="17" t="n"/>
    </row>
    <row r="27">
      <c r="A27" s="16" t="n"/>
      <c r="B27" s="17" t="n"/>
      <c r="C27" s="17" t="n"/>
      <c r="D27" s="17" t="n"/>
    </row>
    <row r="28">
      <c r="A28" s="16" t="n"/>
      <c r="B28" s="17" t="n"/>
      <c r="C28" s="17" t="n"/>
      <c r="D28" s="17" t="n"/>
    </row>
    <row r="29">
      <c r="A29" s="16" t="n"/>
      <c r="B29" s="17" t="n"/>
      <c r="C29" s="17" t="n"/>
      <c r="D29" s="17" t="n"/>
    </row>
    <row r="30">
      <c r="A30" s="16" t="n"/>
      <c r="B30" s="17" t="n"/>
      <c r="C30" s="17" t="n"/>
      <c r="D30" s="17" t="n"/>
    </row>
    <row r="31">
      <c r="A31" s="16" t="n"/>
      <c r="B31" s="17" t="n"/>
      <c r="C31" s="17" t="n"/>
      <c r="D31" s="17" t="n"/>
    </row>
    <row r="32">
      <c r="A32" s="16" t="n"/>
      <c r="B32" s="17" t="n"/>
      <c r="C32" s="17" t="n"/>
      <c r="D32" s="17" t="n"/>
    </row>
    <row r="33">
      <c r="A33" s="16" t="n"/>
      <c r="B33" s="17" t="n"/>
      <c r="C33" s="17" t="n"/>
      <c r="D33" s="17" t="n"/>
    </row>
    <row r="34">
      <c r="A34" s="16" t="n"/>
      <c r="B34" s="17" t="n"/>
      <c r="C34" s="17" t="n"/>
      <c r="D34" s="17" t="n"/>
    </row>
    <row r="35">
      <c r="A35" s="16" t="n"/>
      <c r="B35" s="17" t="n"/>
      <c r="C35" s="17" t="n"/>
      <c r="D35" s="17" t="n"/>
    </row>
    <row r="36">
      <c r="A36" s="16" t="n"/>
      <c r="B36" s="17" t="n"/>
      <c r="C36" s="17" t="n"/>
      <c r="D36" s="17" t="n"/>
    </row>
    <row r="37">
      <c r="A37" s="16" t="n"/>
      <c r="B37" s="17" t="n"/>
      <c r="C37" s="17" t="n"/>
      <c r="D37" s="17" t="n"/>
    </row>
    <row r="38">
      <c r="A38" s="16" t="n"/>
      <c r="B38" s="17" t="n"/>
      <c r="C38" s="17" t="n"/>
      <c r="D38" s="17" t="n"/>
    </row>
    <row r="39">
      <c r="A39" s="16" t="n"/>
      <c r="B39" s="17" t="n"/>
      <c r="C39" s="17" t="n"/>
      <c r="D39" s="17" t="n"/>
    </row>
    <row r="40">
      <c r="A40" s="16" t="n"/>
      <c r="B40" s="17" t="n"/>
      <c r="C40" s="17" t="n"/>
      <c r="D40" s="17" t="n"/>
    </row>
    <row r="41">
      <c r="A41" s="16" t="n"/>
      <c r="B41" s="17" t="n"/>
      <c r="C41" s="17" t="n"/>
      <c r="D41" s="17" t="n"/>
    </row>
    <row r="42">
      <c r="A42" s="16" t="n"/>
      <c r="B42" s="17" t="n"/>
      <c r="C42" s="17" t="n"/>
      <c r="D42" s="17" t="n"/>
    </row>
    <row r="43">
      <c r="A43" s="16" t="n"/>
      <c r="B43" s="17" t="n"/>
      <c r="C43" s="17" t="n"/>
      <c r="D43" s="17" t="n"/>
    </row>
  </sheetData>
  <dataValidations count="1">
    <dataValidation sqref="D2:D43" showDropDown="0" showInputMessage="0" showErrorMessage="0" allowBlank="1" type="list">
      <formula1>"Pendiente,En proceso,Completado,Aplazado"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Mudanza Profesional para Autónomos: Control de Presupuesto y Tiempo</dc:title>
  <dcterms:created xsi:type="dcterms:W3CDTF">2026-10-27T01:31:42Z</dcterms:created>
  <dcterms:modified xsi:type="dcterms:W3CDTF">2026-10-27T01:31:42Z</dcterms:modified>
</cp:coreProperties>
</file>