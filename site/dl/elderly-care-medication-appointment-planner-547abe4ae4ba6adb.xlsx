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Appointment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Medication Distribution by Frequency</a:t>
            </a:r>
          </a:p>
        </rich>
      </tx>
    </title>
    <plotArea>
      <pieChart>
        <varyColors val="1"/>
        <ser>
          <idx val="0"/>
          <order val="0"/>
          <tx>
            <strRef>
              <f>'Medications'!F1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'Medications'!$D$2:$D$5</f>
            </numRef>
          </cat>
          <val>
            <numRef>
              <f>'Medications'!$F$2:$F$5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263" displayName="T_Medications_2263" ref="A1:F105" headerRowCount="1">
  <autoFilter ref="A1:F105"/>
  <tableColumns count="6">
    <tableColumn id="1" name="Date"/>
    <tableColumn id="2" name="Medication"/>
    <tableColumn id="3" name="Dosage"/>
    <tableColumn id="4" name="Frequency"/>
    <tableColumn id="5" name="Time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Appointments_3578" displayName="T_Appointments_3578" ref="A1:F54" headerRowCount="1">
  <autoFilter ref="A1:F54"/>
  <tableColumns count="6">
    <tableColumn id="1" name="Date"/>
    <tableColumn id="2" name="Time"/>
    <tableColumn id="3" name="Provider"/>
    <tableColumn id="4" name="Purpose"/>
    <tableColumn id="5" name="Status"/>
    <tableColumn id="6" name="Notes"/>
  </tableColumns>
  <tableStyleInfo name="TableStyleMedium7" showRowStripes="1"/>
</table>
</file>

<file path=xl/tables/table3.xml><?xml version="1.0" encoding="utf-8"?>
<table xmlns="http://schemas.openxmlformats.org/spreadsheetml/2006/main" id="3" name="T_Dashboard_2_4144" displayName="T_Dashboard_2_4144" ref="A1:C35" headerRowCount="1">
  <autoFilter ref="A1:C35"/>
  <tableColumns count="3">
    <tableColumn id="1" name="Metric"/>
    <tableColumn id="2" name="Value"/>
    <tableColumn id="3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Appointment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Elderly Care Medication &amp; Appointment Planner for Families</t>
        </is>
      </c>
    </row>
    <row r="3" ht="45" customHeight="1">
      <c r="C3" s="2" t="inlineStr">
        <is>
          <t>Comprehensive Excel template to track medications, doctor appointments, and care activities for elderly family members. Save time and reduce stress with automated reminders and overviews.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basic patient information in the 'Profile' sheet</t>
        </is>
      </c>
    </row>
    <row r="7" ht="18" customHeight="1">
      <c r="B7" s="4" t="inlineStr">
        <is>
          <t>2.</t>
        </is>
      </c>
      <c r="C7" s="5" t="inlineStr">
        <is>
          <t>Add all daily medications with dosages and times</t>
        </is>
      </c>
    </row>
    <row r="8" ht="18" customHeight="1">
      <c r="B8" s="4" t="inlineStr">
        <is>
          <t>3.</t>
        </is>
      </c>
      <c r="C8" s="5" t="inlineStr">
        <is>
          <t>Schedule upcoming doctor appointments with automatic reminders</t>
        </is>
      </c>
    </row>
    <row r="9" ht="18" customHeight="1">
      <c r="B9" s="4" t="inlineStr">
        <is>
          <t>4.</t>
        </is>
      </c>
      <c r="C9" s="5" t="inlineStr">
        <is>
          <t>Log care activities and observations</t>
        </is>
      </c>
    </row>
    <row r="10" ht="18" customHeight="1">
      <c r="B10" s="4" t="inlineStr">
        <is>
          <t>5.</t>
        </is>
      </c>
      <c r="C10" s="5" t="inlineStr">
        <is>
          <t>Check the dashboard for overdue tasks and medication summaries</t>
        </is>
      </c>
    </row>
    <row r="11" ht="18" customHeight="1">
      <c r="B11" s="4" t="inlineStr">
        <is>
          <t>6.</t>
        </is>
      </c>
      <c r="C11" s="5" t="inlineStr">
        <is>
          <t>Print reports to share with doctors or family members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Medications</t>
        </is>
      </c>
    </row>
    <row r="18">
      <c r="C18" s="7" t="inlineStr">
        <is>
          <t>→ Appointments</t>
        </is>
      </c>
    </row>
    <row r="19">
      <c r="C19" s="7" t="inlineStr">
        <is>
          <t>→ Dashboard-2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Elderly Care Medication &amp; Appointment Planner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Active Medications Count</t>
        </is>
      </c>
      <c r="C5" s="12">
        <f>COUNTIF(Medications!F2:F300,"Active")</f>
        <v/>
      </c>
    </row>
    <row r="6" ht="24" customHeight="1">
      <c r="B6" s="11" t="inlineStr">
        <is>
          <t>Upcoming Appointments</t>
        </is>
      </c>
      <c r="C6" s="12">
        <f>COUNTIFS(Appointments!A2:A300,"&gt;="&amp;TODAY(),Appointments!E2:E300,"&lt;&gt;Cancelled")</f>
        <v/>
      </c>
    </row>
    <row r="7" ht="24" customHeight="1">
      <c r="B7" s="11" t="inlineStr">
        <is>
          <t>Next Appointment Date</t>
        </is>
      </c>
      <c r="C7" s="13">
        <f>MIN(IF(Appointments!A2:A300&gt;=TODAY(),Appointments!A2:A300))</f>
        <v/>
      </c>
    </row>
    <row r="8" ht="24" customHeight="1">
      <c r="B8" s="11" t="inlineStr">
        <is>
          <t>Days Since Last Checkup</t>
        </is>
      </c>
      <c r="C8" s="12">
        <f>TODAY()-MAX(Appointments!A2:A300)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4" customWidth="1" min="4" max="4"/>
    <col width="20" customWidth="1" min="5" max="5"/>
    <col width="40" customWidth="1" min="6" max="6"/>
  </cols>
  <sheetData>
    <row r="1" ht="32" customHeight="1">
      <c r="A1" s="14" t="inlineStr">
        <is>
          <t>Date</t>
        </is>
      </c>
      <c r="B1" s="14" t="inlineStr">
        <is>
          <t>Medication</t>
        </is>
      </c>
      <c r="C1" s="14" t="inlineStr">
        <is>
          <t>Dosage</t>
        </is>
      </c>
      <c r="D1" s="14" t="inlineStr">
        <is>
          <t>Frequency</t>
        </is>
      </c>
      <c r="E1" s="14" t="inlineStr">
        <is>
          <t>Time</t>
        </is>
      </c>
      <c r="F1" s="14" t="inlineStr">
        <is>
          <t>Status</t>
        </is>
      </c>
    </row>
    <row r="2">
      <c r="A2" s="15" t="n">
        <v>46068</v>
      </c>
      <c r="B2" s="16" t="inlineStr">
        <is>
          <t>Lisinopril</t>
        </is>
      </c>
      <c r="C2" s="16" t="inlineStr">
        <is>
          <t>10mg</t>
        </is>
      </c>
      <c r="D2" s="16" t="inlineStr">
        <is>
          <t>Daily</t>
        </is>
      </c>
      <c r="E2" s="16" t="inlineStr">
        <is>
          <t>Morning</t>
        </is>
      </c>
      <c r="F2" s="17">
        <f>IF(ISBLANK(F2),"Pending","Completed")</f>
        <v/>
      </c>
    </row>
    <row r="3">
      <c r="A3" s="15" t="n">
        <v>46068</v>
      </c>
      <c r="B3" s="16" t="inlineStr">
        <is>
          <t>Metformin</t>
        </is>
      </c>
      <c r="C3" s="16" t="inlineStr">
        <is>
          <t>500mg</t>
        </is>
      </c>
      <c r="D3" s="16" t="inlineStr">
        <is>
          <t>Twice Daily</t>
        </is>
      </c>
      <c r="E3" s="16" t="inlineStr">
        <is>
          <t>Morning &amp; Evening</t>
        </is>
      </c>
      <c r="F3" s="17">
        <f>IF(ISBLANK(F3),"Pending","Completed")</f>
        <v/>
      </c>
    </row>
    <row r="4">
      <c r="A4" s="15" t="n">
        <v>46082</v>
      </c>
      <c r="B4" s="16" t="inlineStr">
        <is>
          <t>Vitamin D</t>
        </is>
      </c>
      <c r="C4" s="16" t="inlineStr">
        <is>
          <t>1000 IU</t>
        </is>
      </c>
      <c r="D4" s="16" t="inlineStr">
        <is>
          <t>Weekly</t>
        </is>
      </c>
      <c r="E4" s="16" t="inlineStr">
        <is>
          <t>Sunday</t>
        </is>
      </c>
      <c r="F4" s="17">
        <f>IF(ISBLANK(F4),"Pending","Completed")</f>
        <v/>
      </c>
    </row>
    <row r="5">
      <c r="A5" s="15" t="n">
        <v>46073</v>
      </c>
      <c r="B5" s="16" t="inlineStr">
        <is>
          <t>Blood Pressure Check</t>
        </is>
      </c>
      <c r="C5" s="16" t="inlineStr">
        <is>
          <t>-</t>
        </is>
      </c>
      <c r="D5" s="16" t="inlineStr">
        <is>
          <t>Monthly</t>
        </is>
      </c>
      <c r="E5" s="16" t="inlineStr">
        <is>
          <t>-</t>
        </is>
      </c>
      <c r="F5" s="17">
        <f>IF(ISBLANK(F5),"Pending","Completed")</f>
        <v/>
      </c>
    </row>
    <row r="6">
      <c r="A6" s="15" t="n"/>
      <c r="B6" s="16" t="n"/>
      <c r="C6" s="16" t="n"/>
      <c r="D6" s="16" t="n"/>
      <c r="E6" s="16" t="n"/>
      <c r="F6" s="17">
        <f>IF(A6="","",IF(ISBLANK(F6),"Pending","Completed"))</f>
        <v/>
      </c>
    </row>
    <row r="7">
      <c r="A7" s="15" t="n"/>
      <c r="B7" s="16" t="n"/>
      <c r="C7" s="16" t="n"/>
      <c r="D7" s="16" t="n"/>
      <c r="E7" s="16" t="n"/>
      <c r="F7" s="17">
        <f>IF(A7="","",IF(ISBLANK(F7),"Pending","Completed"))</f>
        <v/>
      </c>
    </row>
    <row r="8">
      <c r="A8" s="15" t="n"/>
      <c r="B8" s="16" t="n"/>
      <c r="C8" s="16" t="n"/>
      <c r="D8" s="16" t="n"/>
      <c r="E8" s="16" t="n"/>
      <c r="F8" s="17">
        <f>IF(A8="","",IF(ISBLANK(F8),"Pending","Completed"))</f>
        <v/>
      </c>
    </row>
    <row r="9">
      <c r="A9" s="15" t="n"/>
      <c r="B9" s="16" t="n"/>
      <c r="C9" s="16" t="n"/>
      <c r="D9" s="16" t="n"/>
      <c r="E9" s="16" t="n"/>
      <c r="F9" s="17">
        <f>IF(A9="","",IF(ISBLANK(F9),"Pending","Completed"))</f>
        <v/>
      </c>
    </row>
    <row r="10">
      <c r="A10" s="15" t="n"/>
      <c r="B10" s="16" t="n"/>
      <c r="C10" s="16" t="n"/>
      <c r="D10" s="16" t="n"/>
      <c r="E10" s="16" t="n"/>
      <c r="F10" s="17">
        <f>IF(A10="","",IF(ISBLANK(F10),"Pending","Completed"))</f>
        <v/>
      </c>
    </row>
    <row r="11">
      <c r="A11" s="15" t="n"/>
      <c r="B11" s="16" t="n"/>
      <c r="C11" s="16" t="n"/>
      <c r="D11" s="16" t="n"/>
      <c r="E11" s="16" t="n"/>
      <c r="F11" s="17">
        <f>IF(A11="","",IF(ISBLANK(F11),"Pending","Completed"))</f>
        <v/>
      </c>
    </row>
    <row r="12">
      <c r="A12" s="15" t="n"/>
      <c r="B12" s="16" t="n"/>
      <c r="C12" s="16" t="n"/>
      <c r="D12" s="16" t="n"/>
      <c r="E12" s="16" t="n"/>
      <c r="F12" s="17">
        <f>IF(A12="","",IF(ISBLANK(F12),"Pending","Completed"))</f>
        <v/>
      </c>
    </row>
    <row r="13">
      <c r="A13" s="15" t="n"/>
      <c r="B13" s="16" t="n"/>
      <c r="C13" s="16" t="n"/>
      <c r="D13" s="16" t="n"/>
      <c r="E13" s="16" t="n"/>
      <c r="F13" s="17">
        <f>IF(A13="","",IF(ISBLANK(F13),"Pending","Completed"))</f>
        <v/>
      </c>
    </row>
    <row r="14">
      <c r="A14" s="15" t="n"/>
      <c r="B14" s="16" t="n"/>
      <c r="C14" s="16" t="n"/>
      <c r="D14" s="16" t="n"/>
      <c r="E14" s="16" t="n"/>
      <c r="F14" s="17">
        <f>IF(A14="","",IF(ISBLANK(F14),"Pending","Completed"))</f>
        <v/>
      </c>
    </row>
    <row r="15">
      <c r="A15" s="15" t="n"/>
      <c r="B15" s="16" t="n"/>
      <c r="C15" s="16" t="n"/>
      <c r="D15" s="16" t="n"/>
      <c r="E15" s="16" t="n"/>
      <c r="F15" s="17">
        <f>IF(A15="","",IF(ISBLANK(F15),"Pending","Completed"))</f>
        <v/>
      </c>
    </row>
    <row r="16">
      <c r="A16" s="15" t="n"/>
      <c r="B16" s="16" t="n"/>
      <c r="C16" s="16" t="n"/>
      <c r="D16" s="16" t="n"/>
      <c r="E16" s="16" t="n"/>
      <c r="F16" s="17">
        <f>IF(A16="","",IF(ISBLANK(F16),"Pending","Completed"))</f>
        <v/>
      </c>
    </row>
    <row r="17">
      <c r="A17" s="15" t="n"/>
      <c r="B17" s="16" t="n"/>
      <c r="C17" s="16" t="n"/>
      <c r="D17" s="16" t="n"/>
      <c r="E17" s="16" t="n"/>
      <c r="F17" s="17">
        <f>IF(A17="","",IF(ISBLANK(F17),"Pending","Completed"))</f>
        <v/>
      </c>
    </row>
    <row r="18">
      <c r="A18" s="15" t="n"/>
      <c r="B18" s="16" t="n"/>
      <c r="C18" s="16" t="n"/>
      <c r="D18" s="16" t="n"/>
      <c r="E18" s="16" t="n"/>
      <c r="F18" s="17">
        <f>IF(A18="","",IF(ISBLANK(F18),"Pending","Completed"))</f>
        <v/>
      </c>
    </row>
    <row r="19">
      <c r="A19" s="15" t="n"/>
      <c r="B19" s="16" t="n"/>
      <c r="C19" s="16" t="n"/>
      <c r="D19" s="16" t="n"/>
      <c r="E19" s="16" t="n"/>
      <c r="F19" s="17">
        <f>IF(A19="","",IF(ISBLANK(F19),"Pending","Completed"))</f>
        <v/>
      </c>
    </row>
    <row r="20">
      <c r="A20" s="15" t="n"/>
      <c r="B20" s="16" t="n"/>
      <c r="C20" s="16" t="n"/>
      <c r="D20" s="16" t="n"/>
      <c r="E20" s="16" t="n"/>
      <c r="F20" s="17">
        <f>IF(A20="","",IF(ISBLANK(F20),"Pending","Completed"))</f>
        <v/>
      </c>
    </row>
    <row r="21">
      <c r="A21" s="15" t="n"/>
      <c r="B21" s="16" t="n"/>
      <c r="C21" s="16" t="n"/>
      <c r="D21" s="16" t="n"/>
      <c r="E21" s="16" t="n"/>
      <c r="F21" s="17">
        <f>IF(A21="","",IF(ISBLANK(F21),"Pending","Completed"))</f>
        <v/>
      </c>
    </row>
    <row r="22">
      <c r="A22" s="15" t="n"/>
      <c r="B22" s="16" t="n"/>
      <c r="C22" s="16" t="n"/>
      <c r="D22" s="16" t="n"/>
      <c r="E22" s="16" t="n"/>
      <c r="F22" s="17">
        <f>IF(A22="","",IF(ISBLANK(F22),"Pending","Completed"))</f>
        <v/>
      </c>
    </row>
    <row r="23">
      <c r="A23" s="15" t="n"/>
      <c r="B23" s="16" t="n"/>
      <c r="C23" s="16" t="n"/>
      <c r="D23" s="16" t="n"/>
      <c r="E23" s="16" t="n"/>
      <c r="F23" s="17">
        <f>IF(A23="","",IF(ISBLANK(F23),"Pending","Completed"))</f>
        <v/>
      </c>
    </row>
    <row r="24">
      <c r="A24" s="15" t="n"/>
      <c r="B24" s="16" t="n"/>
      <c r="C24" s="16" t="n"/>
      <c r="D24" s="16" t="n"/>
      <c r="E24" s="16" t="n"/>
      <c r="F24" s="17">
        <f>IF(A24="","",IF(ISBLANK(F24),"Pending","Completed"))</f>
        <v/>
      </c>
    </row>
    <row r="25">
      <c r="A25" s="15" t="n"/>
      <c r="B25" s="16" t="n"/>
      <c r="C25" s="16" t="n"/>
      <c r="D25" s="16" t="n"/>
      <c r="E25" s="16" t="n"/>
      <c r="F25" s="17">
        <f>IF(A25="","",IF(ISBLANK(F25),"Pending","Completed"))</f>
        <v/>
      </c>
    </row>
    <row r="26">
      <c r="A26" s="15" t="n"/>
      <c r="B26" s="16" t="n"/>
      <c r="C26" s="16" t="n"/>
      <c r="D26" s="16" t="n"/>
      <c r="E26" s="16" t="n"/>
      <c r="F26" s="17">
        <f>IF(A26="","",IF(ISBLANK(F26),"Pending","Completed"))</f>
        <v/>
      </c>
    </row>
    <row r="27">
      <c r="A27" s="15" t="n"/>
      <c r="B27" s="16" t="n"/>
      <c r="C27" s="16" t="n"/>
      <c r="D27" s="16" t="n"/>
      <c r="E27" s="16" t="n"/>
      <c r="F27" s="17">
        <f>IF(A27="","",IF(ISBLANK(F27),"Pending","Completed"))</f>
        <v/>
      </c>
    </row>
    <row r="28">
      <c r="A28" s="15" t="n"/>
      <c r="B28" s="16" t="n"/>
      <c r="C28" s="16" t="n"/>
      <c r="D28" s="16" t="n"/>
      <c r="E28" s="16" t="n"/>
      <c r="F28" s="17">
        <f>IF(A28="","",IF(ISBLANK(F28),"Pending","Completed"))</f>
        <v/>
      </c>
    </row>
    <row r="29">
      <c r="A29" s="15" t="n"/>
      <c r="B29" s="16" t="n"/>
      <c r="C29" s="16" t="n"/>
      <c r="D29" s="16" t="n"/>
      <c r="E29" s="16" t="n"/>
      <c r="F29" s="17">
        <f>IF(A29="","",IF(ISBLANK(F29),"Pending","Completed"))</f>
        <v/>
      </c>
    </row>
    <row r="30">
      <c r="A30" s="15" t="n"/>
      <c r="B30" s="16" t="n"/>
      <c r="C30" s="16" t="n"/>
      <c r="D30" s="16" t="n"/>
      <c r="E30" s="16" t="n"/>
      <c r="F30" s="17">
        <f>IF(A30="","",IF(ISBLANK(F30),"Pending","Completed"))</f>
        <v/>
      </c>
    </row>
    <row r="31">
      <c r="A31" s="15" t="n"/>
      <c r="B31" s="16" t="n"/>
      <c r="C31" s="16" t="n"/>
      <c r="D31" s="16" t="n"/>
      <c r="E31" s="16" t="n"/>
      <c r="F31" s="17">
        <f>IF(A31="","",IF(ISBLANK(F31),"Pending","Completed"))</f>
        <v/>
      </c>
    </row>
    <row r="32">
      <c r="A32" s="15" t="n"/>
      <c r="B32" s="16" t="n"/>
      <c r="C32" s="16" t="n"/>
      <c r="D32" s="16" t="n"/>
      <c r="E32" s="16" t="n"/>
      <c r="F32" s="17">
        <f>IF(A32="","",IF(ISBLANK(F32),"Pending","Completed"))</f>
        <v/>
      </c>
    </row>
    <row r="33">
      <c r="A33" s="15" t="n"/>
      <c r="B33" s="16" t="n"/>
      <c r="C33" s="16" t="n"/>
      <c r="D33" s="16" t="n"/>
      <c r="E33" s="16" t="n"/>
      <c r="F33" s="17">
        <f>IF(A33="","",IF(ISBLANK(F33),"Pending","Completed"))</f>
        <v/>
      </c>
    </row>
    <row r="34">
      <c r="A34" s="15" t="n"/>
      <c r="B34" s="16" t="n"/>
      <c r="C34" s="16" t="n"/>
      <c r="D34" s="16" t="n"/>
      <c r="E34" s="16" t="n"/>
      <c r="F34" s="17">
        <f>IF(A34="","",IF(ISBLANK(F34),"Pending","Completed"))</f>
        <v/>
      </c>
    </row>
    <row r="35">
      <c r="A35" s="15" t="n"/>
      <c r="B35" s="16" t="n"/>
      <c r="C35" s="16" t="n"/>
      <c r="D35" s="16" t="n"/>
      <c r="E35" s="16" t="n"/>
      <c r="F35" s="17">
        <f>IF(A35="","",IF(ISBLANK(F35),"Pending","Completed"))</f>
        <v/>
      </c>
    </row>
    <row r="36">
      <c r="A36" s="15" t="n"/>
      <c r="B36" s="16" t="n"/>
      <c r="C36" s="16" t="n"/>
      <c r="D36" s="16" t="n"/>
      <c r="E36" s="16" t="n"/>
      <c r="F36" s="17">
        <f>IF(A36="","",IF(ISBLANK(F36),"Pending","Completed"))</f>
        <v/>
      </c>
    </row>
    <row r="37">
      <c r="A37" s="15" t="n"/>
      <c r="B37" s="16" t="n"/>
      <c r="C37" s="16" t="n"/>
      <c r="D37" s="16" t="n"/>
      <c r="E37" s="16" t="n"/>
      <c r="F37" s="17">
        <f>IF(A37="","",IF(ISBLANK(F37),"Pending","Completed"))</f>
        <v/>
      </c>
    </row>
    <row r="38">
      <c r="A38" s="15" t="n"/>
      <c r="B38" s="16" t="n"/>
      <c r="C38" s="16" t="n"/>
      <c r="D38" s="16" t="n"/>
      <c r="E38" s="16" t="n"/>
      <c r="F38" s="17">
        <f>IF(A38="","",IF(ISBLANK(F38),"Pending","Completed"))</f>
        <v/>
      </c>
    </row>
    <row r="39">
      <c r="A39" s="15" t="n"/>
      <c r="B39" s="16" t="n"/>
      <c r="C39" s="16" t="n"/>
      <c r="D39" s="16" t="n"/>
      <c r="E39" s="16" t="n"/>
      <c r="F39" s="17">
        <f>IF(A39="","",IF(ISBLANK(F39),"Pending","Completed"))</f>
        <v/>
      </c>
    </row>
    <row r="40">
      <c r="A40" s="15" t="n"/>
      <c r="B40" s="16" t="n"/>
      <c r="C40" s="16" t="n"/>
      <c r="D40" s="16" t="n"/>
      <c r="E40" s="16" t="n"/>
      <c r="F40" s="17">
        <f>IF(A40="","",IF(ISBLANK(F40),"Pending","Completed"))</f>
        <v/>
      </c>
    </row>
    <row r="41">
      <c r="A41" s="15" t="n"/>
      <c r="B41" s="16" t="n"/>
      <c r="C41" s="16" t="n"/>
      <c r="D41" s="16" t="n"/>
      <c r="E41" s="16" t="n"/>
      <c r="F41" s="17">
        <f>IF(A41="","",IF(ISBLANK(F41),"Pending","Completed"))</f>
        <v/>
      </c>
    </row>
    <row r="42">
      <c r="A42" s="15" t="n"/>
      <c r="B42" s="16" t="n"/>
      <c r="C42" s="16" t="n"/>
      <c r="D42" s="16" t="n"/>
      <c r="E42" s="16" t="n"/>
      <c r="F42" s="17">
        <f>IF(A42="","",IF(ISBLANK(F42),"Pending","Completed"))</f>
        <v/>
      </c>
    </row>
    <row r="43">
      <c r="A43" s="15" t="n"/>
      <c r="B43" s="16" t="n"/>
      <c r="C43" s="16" t="n"/>
      <c r="D43" s="16" t="n"/>
      <c r="E43" s="16" t="n"/>
      <c r="F43" s="17">
        <f>IF(A43="","",IF(ISBLANK(F43),"Pending","Completed"))</f>
        <v/>
      </c>
    </row>
    <row r="44">
      <c r="A44" s="15" t="n"/>
      <c r="B44" s="16" t="n"/>
      <c r="C44" s="16" t="n"/>
      <c r="D44" s="16" t="n"/>
      <c r="E44" s="16" t="n"/>
      <c r="F44" s="17">
        <f>IF(A44="","",IF(ISBLANK(F44),"Pending","Completed"))</f>
        <v/>
      </c>
    </row>
    <row r="45">
      <c r="A45" s="15" t="n"/>
      <c r="B45" s="16" t="n"/>
      <c r="C45" s="16" t="n"/>
      <c r="D45" s="16" t="n"/>
      <c r="E45" s="16" t="n"/>
      <c r="F45" s="17">
        <f>IF(A45="","",IF(ISBLANK(F45),"Pending","Completed"))</f>
        <v/>
      </c>
    </row>
    <row r="46">
      <c r="A46" s="15" t="n"/>
      <c r="B46" s="16" t="n"/>
      <c r="C46" s="16" t="n"/>
      <c r="D46" s="16" t="n"/>
      <c r="E46" s="16" t="n"/>
      <c r="F46" s="17">
        <f>IF(A46="","",IF(ISBLANK(F46),"Pending","Completed"))</f>
        <v/>
      </c>
    </row>
    <row r="47">
      <c r="A47" s="15" t="n"/>
      <c r="B47" s="16" t="n"/>
      <c r="C47" s="16" t="n"/>
      <c r="D47" s="16" t="n"/>
      <c r="E47" s="16" t="n"/>
      <c r="F47" s="17">
        <f>IF(A47="","",IF(ISBLANK(F47),"Pending","Completed"))</f>
        <v/>
      </c>
    </row>
    <row r="48">
      <c r="A48" s="15" t="n"/>
      <c r="B48" s="16" t="n"/>
      <c r="C48" s="16" t="n"/>
      <c r="D48" s="16" t="n"/>
      <c r="E48" s="16" t="n"/>
      <c r="F48" s="17">
        <f>IF(A48="","",IF(ISBLANK(F48),"Pending","Completed"))</f>
        <v/>
      </c>
    </row>
    <row r="49">
      <c r="A49" s="15" t="n"/>
      <c r="B49" s="16" t="n"/>
      <c r="C49" s="16" t="n"/>
      <c r="D49" s="16" t="n"/>
      <c r="E49" s="16" t="n"/>
      <c r="F49" s="17">
        <f>IF(A49="","",IF(ISBLANK(F49),"Pending","Completed"))</f>
        <v/>
      </c>
    </row>
    <row r="50">
      <c r="A50" s="15" t="n"/>
      <c r="B50" s="16" t="n"/>
      <c r="C50" s="16" t="n"/>
      <c r="D50" s="16" t="n"/>
      <c r="E50" s="16" t="n"/>
      <c r="F50" s="17">
        <f>IF(A50="","",IF(ISBLANK(F50),"Pending","Completed"))</f>
        <v/>
      </c>
    </row>
    <row r="51">
      <c r="A51" s="15" t="n"/>
      <c r="B51" s="16" t="n"/>
      <c r="C51" s="16" t="n"/>
      <c r="D51" s="16" t="n"/>
      <c r="E51" s="16" t="n"/>
      <c r="F51" s="17">
        <f>IF(A51="","",IF(ISBLANK(F51),"Pending","Completed"))</f>
        <v/>
      </c>
    </row>
    <row r="52">
      <c r="A52" s="15" t="n"/>
      <c r="B52" s="16" t="n"/>
      <c r="C52" s="16" t="n"/>
      <c r="D52" s="16" t="n"/>
      <c r="E52" s="16" t="n"/>
      <c r="F52" s="17">
        <f>IF(A52="","",IF(ISBLANK(F52),"Pending","Completed"))</f>
        <v/>
      </c>
    </row>
    <row r="53">
      <c r="A53" s="15" t="n"/>
      <c r="B53" s="16" t="n"/>
      <c r="C53" s="16" t="n"/>
      <c r="D53" s="16" t="n"/>
      <c r="E53" s="16" t="n"/>
      <c r="F53" s="17">
        <f>IF(A53="","",IF(ISBLANK(F53),"Pending","Completed"))</f>
        <v/>
      </c>
    </row>
    <row r="54">
      <c r="A54" s="15" t="n"/>
      <c r="B54" s="16" t="n"/>
      <c r="C54" s="16" t="n"/>
      <c r="D54" s="16" t="n"/>
      <c r="E54" s="16" t="n"/>
      <c r="F54" s="17">
        <f>IF(A54="","",IF(ISBLANK(F54),"Pending","Completed"))</f>
        <v/>
      </c>
    </row>
    <row r="55">
      <c r="A55" s="15" t="n"/>
      <c r="B55" s="16" t="n"/>
      <c r="C55" s="16" t="n"/>
      <c r="D55" s="16" t="n"/>
      <c r="E55" s="16" t="n"/>
      <c r="F55" s="17">
        <f>IF(A55="","",IF(ISBLANK(F55),"Pending","Completed"))</f>
        <v/>
      </c>
    </row>
    <row r="56">
      <c r="A56" s="15" t="n"/>
      <c r="B56" s="16" t="n"/>
      <c r="C56" s="16" t="n"/>
      <c r="D56" s="16" t="n"/>
      <c r="E56" s="16" t="n"/>
      <c r="F56" s="17">
        <f>IF(A56="","",IF(ISBLANK(F56),"Pending","Completed"))</f>
        <v/>
      </c>
    </row>
    <row r="57">
      <c r="A57" s="15" t="n"/>
      <c r="B57" s="16" t="n"/>
      <c r="C57" s="16" t="n"/>
      <c r="D57" s="16" t="n"/>
      <c r="E57" s="16" t="n"/>
      <c r="F57" s="17">
        <f>IF(A57="","",IF(ISBLANK(F57),"Pending","Completed"))</f>
        <v/>
      </c>
    </row>
    <row r="58">
      <c r="A58" s="15" t="n"/>
      <c r="B58" s="16" t="n"/>
      <c r="C58" s="16" t="n"/>
      <c r="D58" s="16" t="n"/>
      <c r="E58" s="16" t="n"/>
      <c r="F58" s="17">
        <f>IF(A58="","",IF(ISBLANK(F58),"Pending","Completed"))</f>
        <v/>
      </c>
    </row>
    <row r="59">
      <c r="A59" s="15" t="n"/>
      <c r="B59" s="16" t="n"/>
      <c r="C59" s="16" t="n"/>
      <c r="D59" s="16" t="n"/>
      <c r="E59" s="16" t="n"/>
      <c r="F59" s="17">
        <f>IF(A59="","",IF(ISBLANK(F59),"Pending","Completed"))</f>
        <v/>
      </c>
    </row>
    <row r="60">
      <c r="A60" s="15" t="n"/>
      <c r="B60" s="16" t="n"/>
      <c r="C60" s="16" t="n"/>
      <c r="D60" s="16" t="n"/>
      <c r="E60" s="16" t="n"/>
      <c r="F60" s="17">
        <f>IF(A60="","",IF(ISBLANK(F60),"Pending","Completed"))</f>
        <v/>
      </c>
    </row>
    <row r="61">
      <c r="A61" s="15" t="n"/>
      <c r="B61" s="16" t="n"/>
      <c r="C61" s="16" t="n"/>
      <c r="D61" s="16" t="n"/>
      <c r="E61" s="16" t="n"/>
      <c r="F61" s="17">
        <f>IF(A61="","",IF(ISBLANK(F61),"Pending","Completed"))</f>
        <v/>
      </c>
    </row>
    <row r="62">
      <c r="A62" s="15" t="n"/>
      <c r="B62" s="16" t="n"/>
      <c r="C62" s="16" t="n"/>
      <c r="D62" s="16" t="n"/>
      <c r="E62" s="16" t="n"/>
      <c r="F62" s="17">
        <f>IF(A62="","",IF(ISBLANK(F62),"Pending","Completed"))</f>
        <v/>
      </c>
    </row>
    <row r="63">
      <c r="A63" s="15" t="n"/>
      <c r="B63" s="16" t="n"/>
      <c r="C63" s="16" t="n"/>
      <c r="D63" s="16" t="n"/>
      <c r="E63" s="16" t="n"/>
      <c r="F63" s="17">
        <f>IF(A63="","",IF(ISBLANK(F63),"Pending","Completed"))</f>
        <v/>
      </c>
    </row>
    <row r="64">
      <c r="A64" s="15" t="n"/>
      <c r="B64" s="16" t="n"/>
      <c r="C64" s="16" t="n"/>
      <c r="D64" s="16" t="n"/>
      <c r="E64" s="16" t="n"/>
      <c r="F64" s="17">
        <f>IF(A64="","",IF(ISBLANK(F64),"Pending","Completed"))</f>
        <v/>
      </c>
    </row>
    <row r="65">
      <c r="A65" s="15" t="n"/>
      <c r="B65" s="16" t="n"/>
      <c r="C65" s="16" t="n"/>
      <c r="D65" s="16" t="n"/>
      <c r="E65" s="16" t="n"/>
      <c r="F65" s="17">
        <f>IF(A65="","",IF(ISBLANK(F65),"Pending","Completed"))</f>
        <v/>
      </c>
    </row>
    <row r="66">
      <c r="A66" s="15" t="n"/>
      <c r="B66" s="16" t="n"/>
      <c r="C66" s="16" t="n"/>
      <c r="D66" s="16" t="n"/>
      <c r="E66" s="16" t="n"/>
      <c r="F66" s="17">
        <f>IF(A66="","",IF(ISBLANK(F66),"Pending","Completed"))</f>
        <v/>
      </c>
    </row>
    <row r="67">
      <c r="A67" s="15" t="n"/>
      <c r="B67" s="16" t="n"/>
      <c r="C67" s="16" t="n"/>
      <c r="D67" s="16" t="n"/>
      <c r="E67" s="16" t="n"/>
      <c r="F67" s="17">
        <f>IF(A67="","",IF(ISBLANK(F67),"Pending","Completed"))</f>
        <v/>
      </c>
    </row>
    <row r="68">
      <c r="A68" s="15" t="n"/>
      <c r="B68" s="16" t="n"/>
      <c r="C68" s="16" t="n"/>
      <c r="D68" s="16" t="n"/>
      <c r="E68" s="16" t="n"/>
      <c r="F68" s="17">
        <f>IF(A68="","",IF(ISBLANK(F68),"Pending","Completed"))</f>
        <v/>
      </c>
    </row>
    <row r="69">
      <c r="A69" s="15" t="n"/>
      <c r="B69" s="16" t="n"/>
      <c r="C69" s="16" t="n"/>
      <c r="D69" s="16" t="n"/>
      <c r="E69" s="16" t="n"/>
      <c r="F69" s="17">
        <f>IF(A69="","",IF(ISBLANK(F69),"Pending","Completed"))</f>
        <v/>
      </c>
    </row>
    <row r="70">
      <c r="A70" s="15" t="n"/>
      <c r="B70" s="16" t="n"/>
      <c r="C70" s="16" t="n"/>
      <c r="D70" s="16" t="n"/>
      <c r="E70" s="16" t="n"/>
      <c r="F70" s="17">
        <f>IF(A70="","",IF(ISBLANK(F70),"Pending","Completed"))</f>
        <v/>
      </c>
    </row>
    <row r="71">
      <c r="A71" s="15" t="n"/>
      <c r="B71" s="16" t="n"/>
      <c r="C71" s="16" t="n"/>
      <c r="D71" s="16" t="n"/>
      <c r="E71" s="16" t="n"/>
      <c r="F71" s="17">
        <f>IF(A71="","",IF(ISBLANK(F71),"Pending","Completed"))</f>
        <v/>
      </c>
    </row>
    <row r="72">
      <c r="A72" s="15" t="n"/>
      <c r="B72" s="16" t="n"/>
      <c r="C72" s="16" t="n"/>
      <c r="D72" s="16" t="n"/>
      <c r="E72" s="16" t="n"/>
      <c r="F72" s="17">
        <f>IF(A72="","",IF(ISBLANK(F72),"Pending","Completed"))</f>
        <v/>
      </c>
    </row>
    <row r="73">
      <c r="A73" s="15" t="n"/>
      <c r="B73" s="16" t="n"/>
      <c r="C73" s="16" t="n"/>
      <c r="D73" s="16" t="n"/>
      <c r="E73" s="16" t="n"/>
      <c r="F73" s="17">
        <f>IF(A73="","",IF(ISBLANK(F73),"Pending","Completed"))</f>
        <v/>
      </c>
    </row>
    <row r="74">
      <c r="A74" s="15" t="n"/>
      <c r="B74" s="16" t="n"/>
      <c r="C74" s="16" t="n"/>
      <c r="D74" s="16" t="n"/>
      <c r="E74" s="16" t="n"/>
      <c r="F74" s="17">
        <f>IF(A74="","",IF(ISBLANK(F74),"Pending","Completed"))</f>
        <v/>
      </c>
    </row>
    <row r="75">
      <c r="A75" s="15" t="n"/>
      <c r="B75" s="16" t="n"/>
      <c r="C75" s="16" t="n"/>
      <c r="D75" s="16" t="n"/>
      <c r="E75" s="16" t="n"/>
      <c r="F75" s="17">
        <f>IF(A75="","",IF(ISBLANK(F75),"Pending","Completed"))</f>
        <v/>
      </c>
    </row>
    <row r="76">
      <c r="A76" s="15" t="n"/>
      <c r="B76" s="16" t="n"/>
      <c r="C76" s="16" t="n"/>
      <c r="D76" s="16" t="n"/>
      <c r="E76" s="16" t="n"/>
      <c r="F76" s="17">
        <f>IF(A76="","",IF(ISBLANK(F76),"Pending","Completed"))</f>
        <v/>
      </c>
    </row>
    <row r="77">
      <c r="A77" s="15" t="n"/>
      <c r="B77" s="16" t="n"/>
      <c r="C77" s="16" t="n"/>
      <c r="D77" s="16" t="n"/>
      <c r="E77" s="16" t="n"/>
      <c r="F77" s="17">
        <f>IF(A77="","",IF(ISBLANK(F77),"Pending","Completed"))</f>
        <v/>
      </c>
    </row>
    <row r="78">
      <c r="A78" s="15" t="n"/>
      <c r="B78" s="16" t="n"/>
      <c r="C78" s="16" t="n"/>
      <c r="D78" s="16" t="n"/>
      <c r="E78" s="16" t="n"/>
      <c r="F78" s="17">
        <f>IF(A78="","",IF(ISBLANK(F78),"Pending","Completed"))</f>
        <v/>
      </c>
    </row>
    <row r="79">
      <c r="A79" s="15" t="n"/>
      <c r="B79" s="16" t="n"/>
      <c r="C79" s="16" t="n"/>
      <c r="D79" s="16" t="n"/>
      <c r="E79" s="16" t="n"/>
      <c r="F79" s="17">
        <f>IF(A79="","",IF(ISBLANK(F79),"Pending","Completed"))</f>
        <v/>
      </c>
    </row>
    <row r="80">
      <c r="A80" s="15" t="n"/>
      <c r="B80" s="16" t="n"/>
      <c r="C80" s="16" t="n"/>
      <c r="D80" s="16" t="n"/>
      <c r="E80" s="16" t="n"/>
      <c r="F80" s="17">
        <f>IF(A80="","",IF(ISBLANK(F80),"Pending","Completed"))</f>
        <v/>
      </c>
    </row>
    <row r="81">
      <c r="A81" s="15" t="n"/>
      <c r="B81" s="16" t="n"/>
      <c r="C81" s="16" t="n"/>
      <c r="D81" s="16" t="n"/>
      <c r="E81" s="16" t="n"/>
      <c r="F81" s="17">
        <f>IF(A81="","",IF(ISBLANK(F81),"Pending","Completed"))</f>
        <v/>
      </c>
    </row>
    <row r="82">
      <c r="A82" s="15" t="n"/>
      <c r="B82" s="16" t="n"/>
      <c r="C82" s="16" t="n"/>
      <c r="D82" s="16" t="n"/>
      <c r="E82" s="16" t="n"/>
      <c r="F82" s="17">
        <f>IF(A82="","",IF(ISBLANK(F82),"Pending","Completed"))</f>
        <v/>
      </c>
    </row>
    <row r="83">
      <c r="A83" s="15" t="n"/>
      <c r="B83" s="16" t="n"/>
      <c r="C83" s="16" t="n"/>
      <c r="D83" s="16" t="n"/>
      <c r="E83" s="16" t="n"/>
      <c r="F83" s="17">
        <f>IF(A83="","",IF(ISBLANK(F83),"Pending","Completed"))</f>
        <v/>
      </c>
    </row>
    <row r="84">
      <c r="A84" s="15" t="n"/>
      <c r="B84" s="16" t="n"/>
      <c r="C84" s="16" t="n"/>
      <c r="D84" s="16" t="n"/>
      <c r="E84" s="16" t="n"/>
      <c r="F84" s="17">
        <f>IF(A84="","",IF(ISBLANK(F84),"Pending","Completed"))</f>
        <v/>
      </c>
    </row>
    <row r="85">
      <c r="A85" s="15" t="n"/>
      <c r="B85" s="16" t="n"/>
      <c r="C85" s="16" t="n"/>
      <c r="D85" s="16" t="n"/>
      <c r="E85" s="16" t="n"/>
      <c r="F85" s="17">
        <f>IF(A85="","",IF(ISBLANK(F85),"Pending","Completed"))</f>
        <v/>
      </c>
    </row>
    <row r="86">
      <c r="A86" s="15" t="n"/>
      <c r="B86" s="16" t="n"/>
      <c r="C86" s="16" t="n"/>
      <c r="D86" s="16" t="n"/>
      <c r="E86" s="16" t="n"/>
      <c r="F86" s="17">
        <f>IF(A86="","",IF(ISBLANK(F86),"Pending","Completed"))</f>
        <v/>
      </c>
    </row>
    <row r="87">
      <c r="A87" s="15" t="n"/>
      <c r="B87" s="16" t="n"/>
      <c r="C87" s="16" t="n"/>
      <c r="D87" s="16" t="n"/>
      <c r="E87" s="16" t="n"/>
      <c r="F87" s="17">
        <f>IF(A87="","",IF(ISBLANK(F87),"Pending","Completed"))</f>
        <v/>
      </c>
    </row>
    <row r="88">
      <c r="A88" s="15" t="n"/>
      <c r="B88" s="16" t="n"/>
      <c r="C88" s="16" t="n"/>
      <c r="D88" s="16" t="n"/>
      <c r="E88" s="16" t="n"/>
      <c r="F88" s="17">
        <f>IF(A88="","",IF(ISBLANK(F88),"Pending","Completed"))</f>
        <v/>
      </c>
    </row>
    <row r="89">
      <c r="A89" s="15" t="n"/>
      <c r="B89" s="16" t="n"/>
      <c r="C89" s="16" t="n"/>
      <c r="D89" s="16" t="n"/>
      <c r="E89" s="16" t="n"/>
      <c r="F89" s="17">
        <f>IF(A89="","",IF(ISBLANK(F89),"Pending","Completed"))</f>
        <v/>
      </c>
    </row>
    <row r="90">
      <c r="A90" s="15" t="n"/>
      <c r="B90" s="16" t="n"/>
      <c r="C90" s="16" t="n"/>
      <c r="D90" s="16" t="n"/>
      <c r="E90" s="16" t="n"/>
      <c r="F90" s="17">
        <f>IF(A90="","",IF(ISBLANK(F90),"Pending","Completed"))</f>
        <v/>
      </c>
    </row>
    <row r="91">
      <c r="A91" s="15" t="n"/>
      <c r="B91" s="16" t="n"/>
      <c r="C91" s="16" t="n"/>
      <c r="D91" s="16" t="n"/>
      <c r="E91" s="16" t="n"/>
      <c r="F91" s="17">
        <f>IF(A91="","",IF(ISBLANK(F91),"Pending","Completed"))</f>
        <v/>
      </c>
    </row>
    <row r="92">
      <c r="A92" s="15" t="n"/>
      <c r="B92" s="16" t="n"/>
      <c r="C92" s="16" t="n"/>
      <c r="D92" s="16" t="n"/>
      <c r="E92" s="16" t="n"/>
      <c r="F92" s="17">
        <f>IF(A92="","",IF(ISBLANK(F92),"Pending","Completed"))</f>
        <v/>
      </c>
    </row>
    <row r="93">
      <c r="A93" s="15" t="n"/>
      <c r="B93" s="16" t="n"/>
      <c r="C93" s="16" t="n"/>
      <c r="D93" s="16" t="n"/>
      <c r="E93" s="16" t="n"/>
      <c r="F93" s="17">
        <f>IF(A93="","",IF(ISBLANK(F93),"Pending","Completed"))</f>
        <v/>
      </c>
    </row>
    <row r="94">
      <c r="A94" s="15" t="n"/>
      <c r="B94" s="16" t="n"/>
      <c r="C94" s="16" t="n"/>
      <c r="D94" s="16" t="n"/>
      <c r="E94" s="16" t="n"/>
      <c r="F94" s="17">
        <f>IF(A94="","",IF(ISBLANK(F94),"Pending","Completed"))</f>
        <v/>
      </c>
    </row>
    <row r="95">
      <c r="A95" s="15" t="n"/>
      <c r="B95" s="16" t="n"/>
      <c r="C95" s="16" t="n"/>
      <c r="D95" s="16" t="n"/>
      <c r="E95" s="16" t="n"/>
      <c r="F95" s="17">
        <f>IF(A95="","",IF(ISBLANK(F95),"Pending","Completed"))</f>
        <v/>
      </c>
    </row>
    <row r="96">
      <c r="A96" s="15" t="n"/>
      <c r="B96" s="16" t="n"/>
      <c r="C96" s="16" t="n"/>
      <c r="D96" s="16" t="n"/>
      <c r="E96" s="16" t="n"/>
      <c r="F96" s="17">
        <f>IF(A96="","",IF(ISBLANK(F96),"Pending","Completed"))</f>
        <v/>
      </c>
    </row>
    <row r="97">
      <c r="A97" s="15" t="n"/>
      <c r="B97" s="16" t="n"/>
      <c r="C97" s="16" t="n"/>
      <c r="D97" s="16" t="n"/>
      <c r="E97" s="16" t="n"/>
      <c r="F97" s="17">
        <f>IF(A97="","",IF(ISBLANK(F97),"Pending","Completed"))</f>
        <v/>
      </c>
    </row>
    <row r="98">
      <c r="A98" s="15" t="n"/>
      <c r="B98" s="16" t="n"/>
      <c r="C98" s="16" t="n"/>
      <c r="D98" s="16" t="n"/>
      <c r="E98" s="16" t="n"/>
      <c r="F98" s="17">
        <f>IF(A98="","",IF(ISBLANK(F98),"Pending","Completed"))</f>
        <v/>
      </c>
    </row>
    <row r="99">
      <c r="A99" s="15" t="n"/>
      <c r="B99" s="16" t="n"/>
      <c r="C99" s="16" t="n"/>
      <c r="D99" s="16" t="n"/>
      <c r="E99" s="16" t="n"/>
      <c r="F99" s="17">
        <f>IF(A99="","",IF(ISBLANK(F99),"Pending","Completed"))</f>
        <v/>
      </c>
    </row>
    <row r="100">
      <c r="A100" s="15" t="n"/>
      <c r="B100" s="16" t="n"/>
      <c r="C100" s="16" t="n"/>
      <c r="D100" s="16" t="n"/>
      <c r="E100" s="16" t="n"/>
      <c r="F100" s="17">
        <f>IF(A100="","",IF(ISBLANK(F100),"Pending","Completed"))</f>
        <v/>
      </c>
    </row>
    <row r="101">
      <c r="A101" s="15" t="n"/>
      <c r="B101" s="16" t="n"/>
      <c r="C101" s="16" t="n"/>
      <c r="D101" s="16" t="n"/>
      <c r="E101" s="16" t="n"/>
      <c r="F101" s="17">
        <f>IF(A101="","",IF(ISBLANK(F101),"Pending","Completed"))</f>
        <v/>
      </c>
    </row>
    <row r="102">
      <c r="A102" s="15" t="n"/>
      <c r="B102" s="16" t="n"/>
      <c r="C102" s="16" t="n"/>
      <c r="D102" s="16" t="n"/>
      <c r="E102" s="16" t="n"/>
      <c r="F102" s="17">
        <f>IF(A102="","",IF(ISBLANK(F102),"Pending","Completed"))</f>
        <v/>
      </c>
    </row>
    <row r="103">
      <c r="A103" s="15" t="n"/>
      <c r="B103" s="16" t="n"/>
      <c r="C103" s="16" t="n"/>
      <c r="D103" s="16" t="n"/>
      <c r="E103" s="16" t="n"/>
      <c r="F103" s="17">
        <f>IF(A103="","",IF(ISBLANK(F103),"Pending","Completed"))</f>
        <v/>
      </c>
    </row>
    <row r="104">
      <c r="A104" s="15" t="n"/>
      <c r="B104" s="16" t="n"/>
      <c r="C104" s="16" t="n"/>
      <c r="D104" s="16" t="n"/>
      <c r="E104" s="16" t="n"/>
      <c r="F104" s="17">
        <f>IF(A104="","",IF(ISBLANK(F104),"Pending","Completed"))</f>
        <v/>
      </c>
    </row>
    <row r="105">
      <c r="A105" s="15" t="n"/>
      <c r="B105" s="16" t="n"/>
      <c r="C105" s="16" t="n"/>
      <c r="D105" s="16" t="n"/>
      <c r="E105" s="16" t="n"/>
      <c r="F105" s="17">
        <f>IF(A105="","",IF(ISBLANK(F105),"Pending","Completed"))</f>
        <v/>
      </c>
    </row>
  </sheetData>
  <dataValidations count="2">
    <dataValidation sqref="D2:D105" showDropDown="0" showInputMessage="0" showErrorMessage="0" allowBlank="1" type="list">
      <formula1>"Daily,Twice Daily,Weekly,Monthly,As Needed"</formula1>
    </dataValidation>
    <dataValidation sqref="F2:F105" showDropDown="0" showInputMessage="0" showErrorMessage="0" allowBlank="1" type="list">
      <formula1>"Active,Completed,Pending,Cancelled"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8" customWidth="1" min="4" max="4"/>
    <col width="40" customWidth="1" min="5" max="5"/>
    <col width="34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Provider</t>
        </is>
      </c>
      <c r="D1" s="14" t="inlineStr">
        <is>
          <t>Purpose</t>
        </is>
      </c>
      <c r="E1" s="14" t="inlineStr">
        <is>
          <t>Status</t>
        </is>
      </c>
      <c r="F1" s="14" t="inlineStr">
        <is>
          <t>Notes</t>
        </is>
      </c>
    </row>
    <row r="2">
      <c r="A2" s="15" t="n">
        <v>46071</v>
      </c>
      <c r="B2" s="16" t="inlineStr">
        <is>
          <t>09:30</t>
        </is>
      </c>
      <c r="C2" s="16" t="inlineStr">
        <is>
          <t>Dr. Schmidt</t>
        </is>
      </c>
      <c r="D2" s="16" t="inlineStr">
        <is>
          <t>Routine Checkup</t>
        </is>
      </c>
      <c r="E2" s="17">
        <f>IF(D2&lt;TODAY(),"Completed",IF(ISBLANK(E2),"Pending",E2))</f>
        <v/>
      </c>
      <c r="F2" s="16" t="inlineStr">
        <is>
          <t>Bring recent blood test results</t>
        </is>
      </c>
    </row>
    <row r="3">
      <c r="A3" s="15" t="n">
        <v>46086</v>
      </c>
      <c r="B3" s="16" t="inlineStr">
        <is>
          <t>14:00</t>
        </is>
      </c>
      <c r="C3" s="16" t="inlineStr">
        <is>
          <t>Physical Therapist</t>
        </is>
      </c>
      <c r="D3" s="16" t="inlineStr">
        <is>
          <t>Post-Op Rehab</t>
        </is>
      </c>
      <c r="E3" s="17">
        <f>IF(D3&lt;TODAY(),"Completed",IF(ISBLANK(E3),"Pending",E3))</f>
        <v/>
      </c>
      <c r="F3" s="16" t="inlineStr">
        <is>
          <t>Transportation arranged</t>
        </is>
      </c>
    </row>
    <row r="4">
      <c r="A4" s="15" t="n">
        <v>46124</v>
      </c>
      <c r="B4" s="16" t="inlineStr">
        <is>
          <t>10:15</t>
        </is>
      </c>
      <c r="C4" s="16" t="inlineStr">
        <is>
          <t>Cardiologist</t>
        </is>
      </c>
      <c r="D4" s="16" t="inlineStr">
        <is>
          <t>Follow-Up</t>
        </is>
      </c>
      <c r="E4" s="17">
        <f>IF(D4&lt;TODAY(),"Completed",IF(ISBLANK(E4),"Pending",E4))</f>
        <v/>
      </c>
      <c r="F4" s="16" t="inlineStr">
        <is>
          <t>Needs confirmation</t>
        </is>
      </c>
    </row>
    <row r="5">
      <c r="A5" s="15" t="n"/>
      <c r="B5" s="16" t="n"/>
      <c r="C5" s="16" t="n"/>
      <c r="D5" s="16" t="n"/>
      <c r="E5" s="17">
        <f>IF(A5="","",IF(D5&lt;TODAY(),"Completed",IF(ISBLANK(E5),"Pending",E5)))</f>
        <v/>
      </c>
      <c r="F5" s="16" t="n"/>
    </row>
    <row r="6">
      <c r="A6" s="15" t="n"/>
      <c r="B6" s="16" t="n"/>
      <c r="C6" s="16" t="n"/>
      <c r="D6" s="16" t="n"/>
      <c r="E6" s="17">
        <f>IF(A6="","",IF(D6&lt;TODAY(),"Completed",IF(ISBLANK(E6),"Pending",E6)))</f>
        <v/>
      </c>
      <c r="F6" s="16" t="n"/>
    </row>
    <row r="7">
      <c r="A7" s="15" t="n"/>
      <c r="B7" s="16" t="n"/>
      <c r="C7" s="16" t="n"/>
      <c r="D7" s="16" t="n"/>
      <c r="E7" s="17">
        <f>IF(A7="","",IF(D7&lt;TODAY(),"Completed",IF(ISBLANK(E7),"Pending",E7)))</f>
        <v/>
      </c>
      <c r="F7" s="16" t="n"/>
    </row>
    <row r="8">
      <c r="A8" s="15" t="n"/>
      <c r="B8" s="16" t="n"/>
      <c r="C8" s="16" t="n"/>
      <c r="D8" s="16" t="n"/>
      <c r="E8" s="17">
        <f>IF(A8="","",IF(D8&lt;TODAY(),"Completed",IF(ISBLANK(E8),"Pending",E8)))</f>
        <v/>
      </c>
      <c r="F8" s="16" t="n"/>
    </row>
    <row r="9">
      <c r="A9" s="15" t="n"/>
      <c r="B9" s="16" t="n"/>
      <c r="C9" s="16" t="n"/>
      <c r="D9" s="16" t="n"/>
      <c r="E9" s="17">
        <f>IF(A9="","",IF(D9&lt;TODAY(),"Completed",IF(ISBLANK(E9),"Pending",E9)))</f>
        <v/>
      </c>
      <c r="F9" s="16" t="n"/>
    </row>
    <row r="10">
      <c r="A10" s="15" t="n"/>
      <c r="B10" s="16" t="n"/>
      <c r="C10" s="16" t="n"/>
      <c r="D10" s="16" t="n"/>
      <c r="E10" s="17">
        <f>IF(A10="","",IF(D10&lt;TODAY(),"Completed",IF(ISBLANK(E10),"Pending",E10)))</f>
        <v/>
      </c>
      <c r="F10" s="16" t="n"/>
    </row>
    <row r="11">
      <c r="A11" s="15" t="n"/>
      <c r="B11" s="16" t="n"/>
      <c r="C11" s="16" t="n"/>
      <c r="D11" s="16" t="n"/>
      <c r="E11" s="17">
        <f>IF(A11="","",IF(D11&lt;TODAY(),"Completed",IF(ISBLANK(E11),"Pending",E11)))</f>
        <v/>
      </c>
      <c r="F11" s="16" t="n"/>
    </row>
    <row r="12">
      <c r="A12" s="15" t="n"/>
      <c r="B12" s="16" t="n"/>
      <c r="C12" s="16" t="n"/>
      <c r="D12" s="16" t="n"/>
      <c r="E12" s="17">
        <f>IF(A12="","",IF(D12&lt;TODAY(),"Completed",IF(ISBLANK(E12),"Pending",E12)))</f>
        <v/>
      </c>
      <c r="F12" s="16" t="n"/>
    </row>
    <row r="13">
      <c r="A13" s="15" t="n"/>
      <c r="B13" s="16" t="n"/>
      <c r="C13" s="16" t="n"/>
      <c r="D13" s="16" t="n"/>
      <c r="E13" s="17">
        <f>IF(A13="","",IF(D13&lt;TODAY(),"Completed",IF(ISBLANK(E13),"Pending",E13)))</f>
        <v/>
      </c>
      <c r="F13" s="16" t="n"/>
    </row>
    <row r="14">
      <c r="A14" s="15" t="n"/>
      <c r="B14" s="16" t="n"/>
      <c r="C14" s="16" t="n"/>
      <c r="D14" s="16" t="n"/>
      <c r="E14" s="17">
        <f>IF(A14="","",IF(D14&lt;TODAY(),"Completed",IF(ISBLANK(E14),"Pending",E14)))</f>
        <v/>
      </c>
      <c r="F14" s="16" t="n"/>
    </row>
    <row r="15">
      <c r="A15" s="15" t="n"/>
      <c r="B15" s="16" t="n"/>
      <c r="C15" s="16" t="n"/>
      <c r="D15" s="16" t="n"/>
      <c r="E15" s="17">
        <f>IF(A15="","",IF(D15&lt;TODAY(),"Completed",IF(ISBLANK(E15),"Pending",E15)))</f>
        <v/>
      </c>
      <c r="F15" s="16" t="n"/>
    </row>
    <row r="16">
      <c r="A16" s="15" t="n"/>
      <c r="B16" s="16" t="n"/>
      <c r="C16" s="16" t="n"/>
      <c r="D16" s="16" t="n"/>
      <c r="E16" s="17">
        <f>IF(A16="","",IF(D16&lt;TODAY(),"Completed",IF(ISBLANK(E16),"Pending",E16)))</f>
        <v/>
      </c>
      <c r="F16" s="16" t="n"/>
    </row>
    <row r="17">
      <c r="A17" s="15" t="n"/>
      <c r="B17" s="16" t="n"/>
      <c r="C17" s="16" t="n"/>
      <c r="D17" s="16" t="n"/>
      <c r="E17" s="17">
        <f>IF(A17="","",IF(D17&lt;TODAY(),"Completed",IF(ISBLANK(E17),"Pending",E17)))</f>
        <v/>
      </c>
      <c r="F17" s="16" t="n"/>
    </row>
    <row r="18">
      <c r="A18" s="15" t="n"/>
      <c r="B18" s="16" t="n"/>
      <c r="C18" s="16" t="n"/>
      <c r="D18" s="16" t="n"/>
      <c r="E18" s="17">
        <f>IF(A18="","",IF(D18&lt;TODAY(),"Completed",IF(ISBLANK(E18),"Pending",E18)))</f>
        <v/>
      </c>
      <c r="F18" s="16" t="n"/>
    </row>
    <row r="19">
      <c r="A19" s="15" t="n"/>
      <c r="B19" s="16" t="n"/>
      <c r="C19" s="16" t="n"/>
      <c r="D19" s="16" t="n"/>
      <c r="E19" s="17">
        <f>IF(A19="","",IF(D19&lt;TODAY(),"Completed",IF(ISBLANK(E19),"Pending",E19)))</f>
        <v/>
      </c>
      <c r="F19" s="16" t="n"/>
    </row>
    <row r="20">
      <c r="A20" s="15" t="n"/>
      <c r="B20" s="16" t="n"/>
      <c r="C20" s="16" t="n"/>
      <c r="D20" s="16" t="n"/>
      <c r="E20" s="17">
        <f>IF(A20="","",IF(D20&lt;TODAY(),"Completed",IF(ISBLANK(E20),"Pending",E20)))</f>
        <v/>
      </c>
      <c r="F20" s="16" t="n"/>
    </row>
    <row r="21">
      <c r="A21" s="15" t="n"/>
      <c r="B21" s="16" t="n"/>
      <c r="C21" s="16" t="n"/>
      <c r="D21" s="16" t="n"/>
      <c r="E21" s="17">
        <f>IF(A21="","",IF(D21&lt;TODAY(),"Completed",IF(ISBLANK(E21),"Pending",E21)))</f>
        <v/>
      </c>
      <c r="F21" s="16" t="n"/>
    </row>
    <row r="22">
      <c r="A22" s="15" t="n"/>
      <c r="B22" s="16" t="n"/>
      <c r="C22" s="16" t="n"/>
      <c r="D22" s="16" t="n"/>
      <c r="E22" s="17">
        <f>IF(A22="","",IF(D22&lt;TODAY(),"Completed",IF(ISBLANK(E22),"Pending",E22)))</f>
        <v/>
      </c>
      <c r="F22" s="16" t="n"/>
    </row>
    <row r="23">
      <c r="A23" s="15" t="n"/>
      <c r="B23" s="16" t="n"/>
      <c r="C23" s="16" t="n"/>
      <c r="D23" s="16" t="n"/>
      <c r="E23" s="17">
        <f>IF(A23="","",IF(D23&lt;TODAY(),"Completed",IF(ISBLANK(E23),"Pending",E23)))</f>
        <v/>
      </c>
      <c r="F23" s="16" t="n"/>
    </row>
    <row r="24">
      <c r="A24" s="15" t="n"/>
      <c r="B24" s="16" t="n"/>
      <c r="C24" s="16" t="n"/>
      <c r="D24" s="16" t="n"/>
      <c r="E24" s="17">
        <f>IF(A24="","",IF(D24&lt;TODAY(),"Completed",IF(ISBLANK(E24),"Pending",E24)))</f>
        <v/>
      </c>
      <c r="F24" s="16" t="n"/>
    </row>
    <row r="25">
      <c r="A25" s="15" t="n"/>
      <c r="B25" s="16" t="n"/>
      <c r="C25" s="16" t="n"/>
      <c r="D25" s="16" t="n"/>
      <c r="E25" s="17">
        <f>IF(A25="","",IF(D25&lt;TODAY(),"Completed",IF(ISBLANK(E25),"Pending",E25)))</f>
        <v/>
      </c>
      <c r="F25" s="16" t="n"/>
    </row>
    <row r="26">
      <c r="A26" s="15" t="n"/>
      <c r="B26" s="16" t="n"/>
      <c r="C26" s="16" t="n"/>
      <c r="D26" s="16" t="n"/>
      <c r="E26" s="17">
        <f>IF(A26="","",IF(D26&lt;TODAY(),"Completed",IF(ISBLANK(E26),"Pending",E26)))</f>
        <v/>
      </c>
      <c r="F26" s="16" t="n"/>
    </row>
    <row r="27">
      <c r="A27" s="15" t="n"/>
      <c r="B27" s="16" t="n"/>
      <c r="C27" s="16" t="n"/>
      <c r="D27" s="16" t="n"/>
      <c r="E27" s="17">
        <f>IF(A27="","",IF(D27&lt;TODAY(),"Completed",IF(ISBLANK(E27),"Pending",E27)))</f>
        <v/>
      </c>
      <c r="F27" s="16" t="n"/>
    </row>
    <row r="28">
      <c r="A28" s="15" t="n"/>
      <c r="B28" s="16" t="n"/>
      <c r="C28" s="16" t="n"/>
      <c r="D28" s="16" t="n"/>
      <c r="E28" s="17">
        <f>IF(A28="","",IF(D28&lt;TODAY(),"Completed",IF(ISBLANK(E28),"Pending",E28)))</f>
        <v/>
      </c>
      <c r="F28" s="16" t="n"/>
    </row>
    <row r="29">
      <c r="A29" s="15" t="n"/>
      <c r="B29" s="16" t="n"/>
      <c r="C29" s="16" t="n"/>
      <c r="D29" s="16" t="n"/>
      <c r="E29" s="17">
        <f>IF(A29="","",IF(D29&lt;TODAY(),"Completed",IF(ISBLANK(E29),"Pending",E29)))</f>
        <v/>
      </c>
      <c r="F29" s="16" t="n"/>
    </row>
    <row r="30">
      <c r="A30" s="15" t="n"/>
      <c r="B30" s="16" t="n"/>
      <c r="C30" s="16" t="n"/>
      <c r="D30" s="16" t="n"/>
      <c r="E30" s="17">
        <f>IF(A30="","",IF(D30&lt;TODAY(),"Completed",IF(ISBLANK(E30),"Pending",E30)))</f>
        <v/>
      </c>
      <c r="F30" s="16" t="n"/>
    </row>
    <row r="31">
      <c r="A31" s="15" t="n"/>
      <c r="B31" s="16" t="n"/>
      <c r="C31" s="16" t="n"/>
      <c r="D31" s="16" t="n"/>
      <c r="E31" s="17">
        <f>IF(A31="","",IF(D31&lt;TODAY(),"Completed",IF(ISBLANK(E31),"Pending",E31)))</f>
        <v/>
      </c>
      <c r="F31" s="16" t="n"/>
    </row>
    <row r="32">
      <c r="A32" s="15" t="n"/>
      <c r="B32" s="16" t="n"/>
      <c r="C32" s="16" t="n"/>
      <c r="D32" s="16" t="n"/>
      <c r="E32" s="17">
        <f>IF(A32="","",IF(D32&lt;TODAY(),"Completed",IF(ISBLANK(E32),"Pending",E32)))</f>
        <v/>
      </c>
      <c r="F32" s="16" t="n"/>
    </row>
    <row r="33">
      <c r="A33" s="15" t="n"/>
      <c r="B33" s="16" t="n"/>
      <c r="C33" s="16" t="n"/>
      <c r="D33" s="16" t="n"/>
      <c r="E33" s="17">
        <f>IF(A33="","",IF(D33&lt;TODAY(),"Completed",IF(ISBLANK(E33),"Pending",E33)))</f>
        <v/>
      </c>
      <c r="F33" s="16" t="n"/>
    </row>
    <row r="34">
      <c r="A34" s="15" t="n"/>
      <c r="B34" s="16" t="n"/>
      <c r="C34" s="16" t="n"/>
      <c r="D34" s="16" t="n"/>
      <c r="E34" s="17">
        <f>IF(A34="","",IF(D34&lt;TODAY(),"Completed",IF(ISBLANK(E34),"Pending",E34)))</f>
        <v/>
      </c>
      <c r="F34" s="16" t="n"/>
    </row>
    <row r="35">
      <c r="A35" s="15" t="n"/>
      <c r="B35" s="16" t="n"/>
      <c r="C35" s="16" t="n"/>
      <c r="D35" s="16" t="n"/>
      <c r="E35" s="17">
        <f>IF(A35="","",IF(D35&lt;TODAY(),"Completed",IF(ISBLANK(E35),"Pending",E35)))</f>
        <v/>
      </c>
      <c r="F35" s="16" t="n"/>
    </row>
    <row r="36">
      <c r="A36" s="15" t="n"/>
      <c r="B36" s="16" t="n"/>
      <c r="C36" s="16" t="n"/>
      <c r="D36" s="16" t="n"/>
      <c r="E36" s="17">
        <f>IF(A36="","",IF(D36&lt;TODAY(),"Completed",IF(ISBLANK(E36),"Pending",E36)))</f>
        <v/>
      </c>
      <c r="F36" s="16" t="n"/>
    </row>
    <row r="37">
      <c r="A37" s="15" t="n"/>
      <c r="B37" s="16" t="n"/>
      <c r="C37" s="16" t="n"/>
      <c r="D37" s="16" t="n"/>
      <c r="E37" s="17">
        <f>IF(A37="","",IF(D37&lt;TODAY(),"Completed",IF(ISBLANK(E37),"Pending",E37)))</f>
        <v/>
      </c>
      <c r="F37" s="16" t="n"/>
    </row>
    <row r="38">
      <c r="A38" s="15" t="n"/>
      <c r="B38" s="16" t="n"/>
      <c r="C38" s="16" t="n"/>
      <c r="D38" s="16" t="n"/>
      <c r="E38" s="17">
        <f>IF(A38="","",IF(D38&lt;TODAY(),"Completed",IF(ISBLANK(E38),"Pending",E38)))</f>
        <v/>
      </c>
      <c r="F38" s="16" t="n"/>
    </row>
    <row r="39">
      <c r="A39" s="15" t="n"/>
      <c r="B39" s="16" t="n"/>
      <c r="C39" s="16" t="n"/>
      <c r="D39" s="16" t="n"/>
      <c r="E39" s="17">
        <f>IF(A39="","",IF(D39&lt;TODAY(),"Completed",IF(ISBLANK(E39),"Pending",E39)))</f>
        <v/>
      </c>
      <c r="F39" s="16" t="n"/>
    </row>
    <row r="40">
      <c r="A40" s="15" t="n"/>
      <c r="B40" s="16" t="n"/>
      <c r="C40" s="16" t="n"/>
      <c r="D40" s="16" t="n"/>
      <c r="E40" s="17">
        <f>IF(A40="","",IF(D40&lt;TODAY(),"Completed",IF(ISBLANK(E40),"Pending",E40)))</f>
        <v/>
      </c>
      <c r="F40" s="16" t="n"/>
    </row>
    <row r="41">
      <c r="A41" s="15" t="n"/>
      <c r="B41" s="16" t="n"/>
      <c r="C41" s="16" t="n"/>
      <c r="D41" s="16" t="n"/>
      <c r="E41" s="17">
        <f>IF(A41="","",IF(D41&lt;TODAY(),"Completed",IF(ISBLANK(E41),"Pending",E41)))</f>
        <v/>
      </c>
      <c r="F41" s="16" t="n"/>
    </row>
    <row r="42">
      <c r="A42" s="15" t="n"/>
      <c r="B42" s="16" t="n"/>
      <c r="C42" s="16" t="n"/>
      <c r="D42" s="16" t="n"/>
      <c r="E42" s="17">
        <f>IF(A42="","",IF(D42&lt;TODAY(),"Completed",IF(ISBLANK(E42),"Pending",E42)))</f>
        <v/>
      </c>
      <c r="F42" s="16" t="n"/>
    </row>
    <row r="43">
      <c r="A43" s="15" t="n"/>
      <c r="B43" s="16" t="n"/>
      <c r="C43" s="16" t="n"/>
      <c r="D43" s="16" t="n"/>
      <c r="E43" s="17">
        <f>IF(A43="","",IF(D43&lt;TODAY(),"Completed",IF(ISBLANK(E43),"Pending",E43)))</f>
        <v/>
      </c>
      <c r="F43" s="16" t="n"/>
    </row>
    <row r="44">
      <c r="A44" s="15" t="n"/>
      <c r="B44" s="16" t="n"/>
      <c r="C44" s="16" t="n"/>
      <c r="D44" s="16" t="n"/>
      <c r="E44" s="17">
        <f>IF(A44="","",IF(D44&lt;TODAY(),"Completed",IF(ISBLANK(E44),"Pending",E44)))</f>
        <v/>
      </c>
      <c r="F44" s="16" t="n"/>
    </row>
    <row r="45">
      <c r="A45" s="15" t="n"/>
      <c r="B45" s="16" t="n"/>
      <c r="C45" s="16" t="n"/>
      <c r="D45" s="16" t="n"/>
      <c r="E45" s="17">
        <f>IF(A45="","",IF(D45&lt;TODAY(),"Completed",IF(ISBLANK(E45),"Pending",E45)))</f>
        <v/>
      </c>
      <c r="F45" s="16" t="n"/>
    </row>
    <row r="46">
      <c r="A46" s="15" t="n"/>
      <c r="B46" s="16" t="n"/>
      <c r="C46" s="16" t="n"/>
      <c r="D46" s="16" t="n"/>
      <c r="E46" s="17">
        <f>IF(A46="","",IF(D46&lt;TODAY(),"Completed",IF(ISBLANK(E46),"Pending",E46)))</f>
        <v/>
      </c>
      <c r="F46" s="16" t="n"/>
    </row>
    <row r="47">
      <c r="A47" s="15" t="n"/>
      <c r="B47" s="16" t="n"/>
      <c r="C47" s="16" t="n"/>
      <c r="D47" s="16" t="n"/>
      <c r="E47" s="17">
        <f>IF(A47="","",IF(D47&lt;TODAY(),"Completed",IF(ISBLANK(E47),"Pending",E47)))</f>
        <v/>
      </c>
      <c r="F47" s="16" t="n"/>
    </row>
    <row r="48">
      <c r="A48" s="15" t="n"/>
      <c r="B48" s="16" t="n"/>
      <c r="C48" s="16" t="n"/>
      <c r="D48" s="16" t="n"/>
      <c r="E48" s="17">
        <f>IF(A48="","",IF(D48&lt;TODAY(),"Completed",IF(ISBLANK(E48),"Pending",E48)))</f>
        <v/>
      </c>
      <c r="F48" s="16" t="n"/>
    </row>
    <row r="49">
      <c r="A49" s="15" t="n"/>
      <c r="B49" s="16" t="n"/>
      <c r="C49" s="16" t="n"/>
      <c r="D49" s="16" t="n"/>
      <c r="E49" s="17">
        <f>IF(A49="","",IF(D49&lt;TODAY(),"Completed",IF(ISBLANK(E49),"Pending",E49)))</f>
        <v/>
      </c>
      <c r="F49" s="16" t="n"/>
    </row>
    <row r="50">
      <c r="A50" s="15" t="n"/>
      <c r="B50" s="16" t="n"/>
      <c r="C50" s="16" t="n"/>
      <c r="D50" s="16" t="n"/>
      <c r="E50" s="17">
        <f>IF(A50="","",IF(D50&lt;TODAY(),"Completed",IF(ISBLANK(E50),"Pending",E50)))</f>
        <v/>
      </c>
      <c r="F50" s="16" t="n"/>
    </row>
    <row r="51">
      <c r="A51" s="15" t="n"/>
      <c r="B51" s="16" t="n"/>
      <c r="C51" s="16" t="n"/>
      <c r="D51" s="16" t="n"/>
      <c r="E51" s="17">
        <f>IF(A51="","",IF(D51&lt;TODAY(),"Completed",IF(ISBLANK(E51),"Pending",E51)))</f>
        <v/>
      </c>
      <c r="F51" s="16" t="n"/>
    </row>
    <row r="52">
      <c r="A52" s="15" t="n"/>
      <c r="B52" s="16" t="n"/>
      <c r="C52" s="16" t="n"/>
      <c r="D52" s="16" t="n"/>
      <c r="E52" s="17">
        <f>IF(A52="","",IF(D52&lt;TODAY(),"Completed",IF(ISBLANK(E52),"Pending",E52)))</f>
        <v/>
      </c>
      <c r="F52" s="16" t="n"/>
    </row>
    <row r="53">
      <c r="A53" s="15" t="n"/>
      <c r="B53" s="16" t="n"/>
      <c r="C53" s="16" t="n"/>
      <c r="D53" s="16" t="n"/>
      <c r="E53" s="17">
        <f>IF(A53="","",IF(D53&lt;TODAY(),"Completed",IF(ISBLANK(E53),"Pending",E53)))</f>
        <v/>
      </c>
      <c r="F53" s="16" t="n"/>
    </row>
    <row r="54">
      <c r="A54" s="15" t="n"/>
      <c r="B54" s="16" t="n"/>
      <c r="C54" s="16" t="n"/>
      <c r="D54" s="16" t="n"/>
      <c r="E54" s="17">
        <f>IF(A54="","",IF(D54&lt;TODAY(),"Completed",IF(ISBLANK(E54),"Pending",E54)))</f>
        <v/>
      </c>
      <c r="F54" s="16" t="n"/>
    </row>
  </sheetData>
  <dataValidations count="1">
    <dataValidation sqref="E2:E54" showDropDown="0" showInputMessage="0" showErrorMessage="0" allowBlank="1" type="list">
      <formula1>"Confirmed,Pending,Cancelled,Completed"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</cols>
  <sheetData>
    <row r="1" ht="32" customHeight="1">
      <c r="A1" s="14" t="inlineStr">
        <is>
          <t>Metric</t>
        </is>
      </c>
      <c r="B1" s="14" t="inlineStr">
        <is>
          <t>Value</t>
        </is>
      </c>
      <c r="C1" s="14" t="inlineStr">
        <is>
          <t>Notes</t>
        </is>
      </c>
    </row>
    <row r="2">
      <c r="A2" s="16" t="inlineStr">
        <is>
          <t>Upcoming Appointments</t>
        </is>
      </c>
      <c r="B2" s="16" t="inlineStr">
        <is>
          <t>2</t>
        </is>
      </c>
      <c r="C2" s="16" t="inlineStr">
        <is>
          <t>Next: 2026-02-18</t>
        </is>
      </c>
    </row>
    <row r="3">
      <c r="A3" s="16" t="inlineStr">
        <is>
          <t>Active Medications</t>
        </is>
      </c>
      <c r="B3" s="16" t="inlineStr">
        <is>
          <t>3</t>
        </is>
      </c>
      <c r="C3" s="16" t="inlineStr">
        <is>
          <t>See list</t>
        </is>
      </c>
    </row>
    <row r="4">
      <c r="A4" s="16" t="inlineStr">
        <is>
          <t>Overdue Tasks</t>
        </is>
      </c>
      <c r="B4" s="16" t="inlineStr">
        <is>
          <t>0</t>
        </is>
      </c>
      <c r="C4" s="16" t="inlineStr">
        <is>
          <t>All up to date</t>
        </is>
      </c>
    </row>
    <row r="5">
      <c r="A5" s="16" t="inlineStr">
        <is>
          <t>Care Hours This Week</t>
        </is>
      </c>
      <c r="B5" s="16" t="inlineStr">
        <is>
          <t>8.5</t>
        </is>
      </c>
      <c r="C5" s="16" t="inlineStr">
        <is>
          <t>Avg 1.2h/day</t>
        </is>
      </c>
    </row>
    <row r="6">
      <c r="A6" s="16" t="n"/>
      <c r="B6" s="16" t="n"/>
      <c r="C6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Elderly Care Medication &amp; Appointment Planner for Families</dc:title>
  <dcterms:created xsi:type="dcterms:W3CDTF">2026-10-01T23:58:04Z</dcterms:created>
  <dcterms:modified xsi:type="dcterms:W3CDTF">2026-10-01T23:58:04Z</dcterms:modified>
</cp:coreProperties>
</file>