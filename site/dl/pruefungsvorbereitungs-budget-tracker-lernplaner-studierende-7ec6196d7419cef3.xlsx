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Pruefungen" sheetId="3" state="visible" r:id="rId3"/>
    <sheet name="Lernplan" sheetId="4" state="visible" r:id="rId4"/>
    <sheet name="Kost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0.0%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166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Verteilung der Lernzeit nach Fach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'Lernplan'!C1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'Lernplan'!$B$2:$B$4</f>
            </numRef>
          </cat>
          <val>
            <numRef>
              <f>'Lernplan'!$C$2:$C$4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ruefungen_2666" displayName="T_Pruefungen_2666" ref="A1:E34" headerRowCount="1">
  <autoFilter ref="A1:E34"/>
  <tableColumns count="5">
    <tableColumn id="1" name="Pruefung"/>
    <tableColumn id="2" name="Datum"/>
    <tableColumn id="3" name="Prioritaet"/>
    <tableColumn id="4" name="Status"/>
    <tableColumn id="5" name="Notiz"/>
  </tableColumns>
  <tableStyleInfo name="TableStyleMedium7" showRowStripes="1"/>
</table>
</file>

<file path=xl/tables/table2.xml><?xml version="1.0" encoding="utf-8"?>
<table xmlns="http://schemas.openxmlformats.org/spreadsheetml/2006/main" id="2" name="T_Lernplan_3973" displayName="T_Lernplan_3973" ref="A1:E104" headerRowCount="1">
  <autoFilter ref="A1:E104"/>
  <tableColumns count="5">
    <tableColumn id="1" name="Datum"/>
    <tableColumn id="2" name="Fach"/>
    <tableColumn id="3" name="Stunden"/>
    <tableColumn id="4" name="Thema"/>
    <tableColumn id="5" name="Fortschritt"/>
  </tableColumns>
  <tableStyleInfo name="TableStyleMedium7" showRowStripes="1"/>
</table>
</file>

<file path=xl/tables/table3.xml><?xml version="1.0" encoding="utf-8"?>
<table xmlns="http://schemas.openxmlformats.org/spreadsheetml/2006/main" id="3" name="T_Kosten_411" displayName="T_Kosten_411" ref="A1:E64" headerRowCount="1">
  <autoFilter ref="A1:E64"/>
  <tableColumns count="5">
    <tableColumn id="1" name="Datum"/>
    <tableColumn id="2" name="Kategorie"/>
    <tableColumn id="3" name="Beschreibung"/>
    <tableColumn id="4" name="Betrag"/>
    <tableColumn id="5" name="Zahlungsar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Pruefungen'!A1" TargetMode="External" Id="rId2" /><Relationship Type="http://schemas.openxmlformats.org/officeDocument/2006/relationships/hyperlink" Target="#'Lernplan'!A1" TargetMode="External" Id="rId3" /><Relationship Type="http://schemas.openxmlformats.org/officeDocument/2006/relationships/hyperlink" Target="#'Kosten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Prüfungsvorbereitungs-Budget-Tracker &amp; Lernplaner für Studierende</t>
        </is>
      </c>
    </row>
    <row r="3" ht="45" customHeight="1">
      <c r="C3" s="2" t="inlineStr">
        <is>
          <t>Professionelle Excel-Vorlage zur Planung von Lernzeit und Budget für Prüfungen - behalte alle Kosten und Fortschritte im Überblick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Trage alle Prüfungen mit Terminen ein</t>
        </is>
      </c>
    </row>
    <row r="7" ht="18" customHeight="1">
      <c r="B7" s="4" t="inlineStr">
        <is>
          <t>2.</t>
        </is>
      </c>
      <c r="C7" s="5" t="inlineStr">
        <is>
          <t>Plane wöchentliche Lernzeiten für jedes Fach</t>
        </is>
      </c>
    </row>
    <row r="8" ht="18" customHeight="1">
      <c r="B8" s="4" t="inlineStr">
        <is>
          <t>3.</t>
        </is>
      </c>
      <c r="C8" s="5" t="inlineStr">
        <is>
          <t>Erfasse Kosten für Lernmaterialien und Kurse</t>
        </is>
      </c>
    </row>
    <row r="9" ht="18" customHeight="1">
      <c r="B9" s="4" t="inlineStr">
        <is>
          <t>4.</t>
        </is>
      </c>
      <c r="C9" s="5" t="inlineStr">
        <is>
          <t>Tracke deine Lernfortschritte</t>
        </is>
      </c>
    </row>
    <row r="10" ht="18" customHeight="1">
      <c r="B10" s="4" t="inlineStr">
        <is>
          <t>5.</t>
        </is>
      </c>
      <c r="C10" s="5" t="inlineStr">
        <is>
          <t>Nutze die automatischen Auswertungen</t>
        </is>
      </c>
    </row>
    <row r="11" ht="18" customHeight="1">
      <c r="B11" s="4" t="inlineStr">
        <is>
          <t>6.</t>
        </is>
      </c>
      <c r="C11" s="5" t="inlineStr">
        <is>
          <t>Passe bei Bedarf deine Lernstrategie an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Pruefungen</t>
        </is>
      </c>
    </row>
    <row r="18">
      <c r="C18" s="7" t="inlineStr">
        <is>
          <t>→ Lernplan</t>
        </is>
      </c>
    </row>
    <row r="19">
      <c r="C19" s="7" t="inlineStr">
        <is>
          <t>→ Kosten</t>
        </is>
      </c>
    </row>
    <row r="21">
      <c r="C21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Prüfungsvorbereitungs-Budget-Tracker &amp; Lernplaner für Studie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Gesamtkosten</t>
        </is>
      </c>
      <c r="C5" s="12">
        <f>SUM('Kosten'!D2:D100)</f>
        <v/>
      </c>
    </row>
    <row r="6" ht="24" customHeight="1">
      <c r="B6" s="11" t="inlineStr">
        <is>
          <t>Geplante Lernstunden</t>
        </is>
      </c>
      <c r="C6" s="13">
        <f>SUM('Lernplan'!C2:C100)</f>
        <v/>
      </c>
    </row>
    <row r="7" ht="24" customHeight="1">
      <c r="B7" s="11" t="inlineStr">
        <is>
          <t>Durchschnittliche Lernzeit pro Tag</t>
        </is>
      </c>
      <c r="C7" s="13">
        <f>AVERAGE('Lernplan'!C2:C100)</f>
        <v/>
      </c>
    </row>
    <row r="8" ht="24" customHeight="1">
      <c r="B8" s="11" t="inlineStr">
        <is>
          <t>Anzahl Prüfungen</t>
        </is>
      </c>
      <c r="C8" s="14">
        <f>COUNTA('Pruefungen'!A2:A100)</f>
        <v/>
      </c>
    </row>
    <row r="9" ht="24" customHeight="1">
      <c r="B9" s="11" t="inlineStr">
        <is>
          <t>Prozentuale Vorbereitung</t>
        </is>
      </c>
      <c r="C9" s="15">
        <f>AVERAGE('Lernplan'!E2:E100)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22" customWidth="1" min="4" max="4"/>
    <col width="26" customWidth="1" min="5" max="5"/>
  </cols>
  <sheetData>
    <row r="1" ht="32" customHeight="1">
      <c r="A1" s="16" t="inlineStr">
        <is>
          <t>Pruefung</t>
        </is>
      </c>
      <c r="B1" s="16" t="inlineStr">
        <is>
          <t>Datum</t>
        </is>
      </c>
      <c r="C1" s="16" t="inlineStr">
        <is>
          <t>Prioritaet</t>
        </is>
      </c>
      <c r="D1" s="16" t="inlineStr">
        <is>
          <t>Status</t>
        </is>
      </c>
      <c r="E1" s="16" t="inlineStr">
        <is>
          <t>Notiz</t>
        </is>
      </c>
    </row>
    <row r="2">
      <c r="A2" s="17" t="inlineStr">
        <is>
          <t>Mathematik I</t>
        </is>
      </c>
      <c r="B2" s="18" t="n">
        <v>46096</v>
      </c>
      <c r="C2" s="17" t="inlineStr">
        <is>
          <t>Hoch</t>
        </is>
      </c>
      <c r="D2" s="17" t="inlineStr">
        <is>
          <t>Offen</t>
        </is>
      </c>
      <c r="E2" s="17" t="inlineStr">
        <is>
          <t>Kapitel 1-3 wiederholen</t>
        </is>
      </c>
    </row>
    <row r="3">
      <c r="A3" s="17" t="inlineStr">
        <is>
          <t>Betriebswirtschaft</t>
        </is>
      </c>
      <c r="B3" s="18" t="n">
        <v>46114</v>
      </c>
      <c r="C3" s="17" t="inlineStr">
        <is>
          <t>Mittel</t>
        </is>
      </c>
      <c r="D3" s="17" t="inlineStr">
        <is>
          <t>In Arbeit</t>
        </is>
      </c>
      <c r="E3" s="17" t="inlineStr">
        <is>
          <t>Fallstudien üben</t>
        </is>
      </c>
    </row>
    <row r="4">
      <c r="A4" s="17" t="inlineStr">
        <is>
          <t>Englisch</t>
        </is>
      </c>
      <c r="B4" s="18" t="n">
        <v>46109</v>
      </c>
      <c r="C4" s="17" t="inlineStr">
        <is>
          <t>Niedrig</t>
        </is>
      </c>
      <c r="D4" s="17" t="inlineStr">
        <is>
          <t>Noch nicht begonnen</t>
        </is>
      </c>
      <c r="E4" s="17" t="inlineStr">
        <is>
          <t>Vokabeln lernen</t>
        </is>
      </c>
    </row>
    <row r="5">
      <c r="A5" s="17" t="n"/>
      <c r="B5" s="18" t="n"/>
      <c r="C5" s="17" t="n"/>
      <c r="D5" s="17" t="n"/>
      <c r="E5" s="17" t="n"/>
    </row>
    <row r="6">
      <c r="A6" s="17" t="n"/>
      <c r="B6" s="18" t="n"/>
      <c r="C6" s="17" t="n"/>
      <c r="D6" s="17" t="n"/>
      <c r="E6" s="17" t="n"/>
    </row>
    <row r="7">
      <c r="A7" s="17" t="n"/>
      <c r="B7" s="18" t="n"/>
      <c r="C7" s="17" t="n"/>
      <c r="D7" s="17" t="n"/>
      <c r="E7" s="17" t="n"/>
    </row>
    <row r="8">
      <c r="A8" s="17" t="n"/>
      <c r="B8" s="18" t="n"/>
      <c r="C8" s="17" t="n"/>
      <c r="D8" s="17" t="n"/>
      <c r="E8" s="17" t="n"/>
    </row>
    <row r="9">
      <c r="A9" s="17" t="n"/>
      <c r="B9" s="18" t="n"/>
      <c r="C9" s="17" t="n"/>
      <c r="D9" s="17" t="n"/>
      <c r="E9" s="17" t="n"/>
    </row>
    <row r="10">
      <c r="A10" s="17" t="n"/>
      <c r="B10" s="18" t="n"/>
      <c r="C10" s="17" t="n"/>
      <c r="D10" s="17" t="n"/>
      <c r="E10" s="17" t="n"/>
    </row>
    <row r="11">
      <c r="A11" s="17" t="n"/>
      <c r="B11" s="18" t="n"/>
      <c r="C11" s="17" t="n"/>
      <c r="D11" s="17" t="n"/>
      <c r="E11" s="17" t="n"/>
    </row>
    <row r="12">
      <c r="A12" s="17" t="n"/>
      <c r="B12" s="18" t="n"/>
      <c r="C12" s="17" t="n"/>
      <c r="D12" s="17" t="n"/>
      <c r="E12" s="17" t="n"/>
    </row>
    <row r="13">
      <c r="A13" s="17" t="n"/>
      <c r="B13" s="18" t="n"/>
      <c r="C13" s="17" t="n"/>
      <c r="D13" s="17" t="n"/>
      <c r="E13" s="17" t="n"/>
    </row>
    <row r="14">
      <c r="A14" s="17" t="n"/>
      <c r="B14" s="18" t="n"/>
      <c r="C14" s="17" t="n"/>
      <c r="D14" s="17" t="n"/>
      <c r="E14" s="17" t="n"/>
    </row>
    <row r="15">
      <c r="A15" s="17" t="n"/>
      <c r="B15" s="18" t="n"/>
      <c r="C15" s="17" t="n"/>
      <c r="D15" s="17" t="n"/>
      <c r="E15" s="17" t="n"/>
    </row>
    <row r="16">
      <c r="A16" s="17" t="n"/>
      <c r="B16" s="18" t="n"/>
      <c r="C16" s="17" t="n"/>
      <c r="D16" s="17" t="n"/>
      <c r="E16" s="17" t="n"/>
    </row>
    <row r="17">
      <c r="A17" s="17" t="n"/>
      <c r="B17" s="18" t="n"/>
      <c r="C17" s="17" t="n"/>
      <c r="D17" s="17" t="n"/>
      <c r="E17" s="17" t="n"/>
    </row>
    <row r="18">
      <c r="A18" s="17" t="n"/>
      <c r="B18" s="18" t="n"/>
      <c r="C18" s="17" t="n"/>
      <c r="D18" s="17" t="n"/>
      <c r="E18" s="17" t="n"/>
    </row>
    <row r="19">
      <c r="A19" s="17" t="n"/>
      <c r="B19" s="18" t="n"/>
      <c r="C19" s="17" t="n"/>
      <c r="D19" s="17" t="n"/>
      <c r="E19" s="17" t="n"/>
    </row>
    <row r="20">
      <c r="A20" s="17" t="n"/>
      <c r="B20" s="18" t="n"/>
      <c r="C20" s="17" t="n"/>
      <c r="D20" s="17" t="n"/>
      <c r="E20" s="17" t="n"/>
    </row>
    <row r="21">
      <c r="A21" s="17" t="n"/>
      <c r="B21" s="18" t="n"/>
      <c r="C21" s="17" t="n"/>
      <c r="D21" s="17" t="n"/>
      <c r="E21" s="17" t="n"/>
    </row>
    <row r="22">
      <c r="A22" s="17" t="n"/>
      <c r="B22" s="18" t="n"/>
      <c r="C22" s="17" t="n"/>
      <c r="D22" s="17" t="n"/>
      <c r="E22" s="17" t="n"/>
    </row>
    <row r="23">
      <c r="A23" s="17" t="n"/>
      <c r="B23" s="18" t="n"/>
      <c r="C23" s="17" t="n"/>
      <c r="D23" s="17" t="n"/>
      <c r="E23" s="17" t="n"/>
    </row>
    <row r="24">
      <c r="A24" s="17" t="n"/>
      <c r="B24" s="18" t="n"/>
      <c r="C24" s="17" t="n"/>
      <c r="D24" s="17" t="n"/>
      <c r="E24" s="17" t="n"/>
    </row>
    <row r="25">
      <c r="A25" s="17" t="n"/>
      <c r="B25" s="18" t="n"/>
      <c r="C25" s="17" t="n"/>
      <c r="D25" s="17" t="n"/>
      <c r="E25" s="17" t="n"/>
    </row>
    <row r="26">
      <c r="A26" s="17" t="n"/>
      <c r="B26" s="18" t="n"/>
      <c r="C26" s="17" t="n"/>
      <c r="D26" s="17" t="n"/>
      <c r="E26" s="17" t="n"/>
    </row>
    <row r="27">
      <c r="A27" s="17" t="n"/>
      <c r="B27" s="18" t="n"/>
      <c r="C27" s="17" t="n"/>
      <c r="D27" s="17" t="n"/>
      <c r="E27" s="17" t="n"/>
    </row>
    <row r="28">
      <c r="A28" s="17" t="n"/>
      <c r="B28" s="18" t="n"/>
      <c r="C28" s="17" t="n"/>
      <c r="D28" s="17" t="n"/>
      <c r="E28" s="17" t="n"/>
    </row>
    <row r="29">
      <c r="A29" s="17" t="n"/>
      <c r="B29" s="18" t="n"/>
      <c r="C29" s="17" t="n"/>
      <c r="D29" s="17" t="n"/>
      <c r="E29" s="17" t="n"/>
    </row>
    <row r="30">
      <c r="A30" s="17" t="n"/>
      <c r="B30" s="18" t="n"/>
      <c r="C30" s="17" t="n"/>
      <c r="D30" s="17" t="n"/>
      <c r="E30" s="17" t="n"/>
    </row>
    <row r="31">
      <c r="A31" s="17" t="n"/>
      <c r="B31" s="18" t="n"/>
      <c r="C31" s="17" t="n"/>
      <c r="D31" s="17" t="n"/>
      <c r="E31" s="17" t="n"/>
    </row>
    <row r="32">
      <c r="A32" s="17" t="n"/>
      <c r="B32" s="18" t="n"/>
      <c r="C32" s="17" t="n"/>
      <c r="D32" s="17" t="n"/>
      <c r="E32" s="17" t="n"/>
    </row>
    <row r="33">
      <c r="A33" s="17" t="n"/>
      <c r="B33" s="18" t="n"/>
      <c r="C33" s="17" t="n"/>
      <c r="D33" s="17" t="n"/>
      <c r="E33" s="17" t="n"/>
    </row>
    <row r="34">
      <c r="A34" s="17" t="n"/>
      <c r="B34" s="18" t="n"/>
      <c r="C34" s="17" t="n"/>
      <c r="D34" s="17" t="n"/>
      <c r="E34" s="17" t="n"/>
    </row>
  </sheetData>
  <dataValidations count="2">
    <dataValidation sqref="C2:C34" showDropDown="0" showInputMessage="0" showErrorMessage="0" allowBlank="1" type="list">
      <formula1>"Hoch,Mittel,Niedrig"</formula1>
    </dataValidation>
    <dataValidation sqref="D2:D34" showDropDown="0" showInputMessage="0" showErrorMessage="0" allowBlank="1" type="list">
      <formula1>"Noch nicht begonnen,In Arbeit,Abgeschlossen"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23" customWidth="1" min="4" max="4"/>
    <col width="40" customWidth="1" min="5" max="5"/>
  </cols>
  <sheetData>
    <row r="1" ht="32" customHeight="1">
      <c r="A1" s="16" t="inlineStr">
        <is>
          <t>Datum</t>
        </is>
      </c>
      <c r="B1" s="16" t="inlineStr">
        <is>
          <t>Fach</t>
        </is>
      </c>
      <c r="C1" s="16" t="inlineStr">
        <is>
          <t>Stunden</t>
        </is>
      </c>
      <c r="D1" s="16" t="inlineStr">
        <is>
          <t>Thema</t>
        </is>
      </c>
      <c r="E1" s="16" t="inlineStr">
        <is>
          <t>Fortschritt</t>
        </is>
      </c>
    </row>
    <row r="2">
      <c r="A2" s="18" t="n">
        <v>46038</v>
      </c>
      <c r="B2" s="17" t="inlineStr">
        <is>
          <t>Mathematik I</t>
        </is>
      </c>
      <c r="C2" s="19" t="n">
        <v>2.5</v>
      </c>
      <c r="D2" s="17" t="inlineStr">
        <is>
          <t>Differentialrechnung</t>
        </is>
      </c>
      <c r="E2" s="20">
        <f>(SUMIF('Lernfortschritt'!B2:B100,B2,'Lernfortschritt'!D2:D100))/VLOOKUP(B2,'Pruefungen'!A2:E100,2,FALSE)</f>
        <v/>
      </c>
    </row>
    <row r="3">
      <c r="A3" s="18" t="n">
        <v>46039</v>
      </c>
      <c r="B3" s="17" t="inlineStr">
        <is>
          <t>Betriebswirtschaft</t>
        </is>
      </c>
      <c r="C3" s="19" t="n">
        <v>3</v>
      </c>
      <c r="D3" s="17" t="inlineStr">
        <is>
          <t>Kostenrechnung</t>
        </is>
      </c>
      <c r="E3" s="20">
        <f>(SUMIF('Lernfortschritt'!B2:B100,B3,'Lernfortschritt'!D2:D100))/VLOOKUP(B3,'Pruefungen'!A2:E100,2,FALSE)</f>
        <v/>
      </c>
    </row>
    <row r="4">
      <c r="A4" s="18" t="n">
        <v>46040</v>
      </c>
      <c r="B4" s="17" t="inlineStr">
        <is>
          <t>Englisch</t>
        </is>
      </c>
      <c r="C4" s="19" t="n">
        <v>1.5</v>
      </c>
      <c r="D4" s="17" t="inlineStr">
        <is>
          <t>Business Vokabular</t>
        </is>
      </c>
      <c r="E4" s="20">
        <f>(SUMIF('Lernfortschritt'!B2:B100,B4,'Lernfortschritt'!D2:D100))/VLOOKUP(B4,'Pruefungen'!A2:E100,2,FALSE)</f>
        <v/>
      </c>
    </row>
    <row r="5">
      <c r="A5" s="18" t="n"/>
      <c r="B5" s="17" t="n"/>
      <c r="C5" s="19" t="n"/>
      <c r="D5" s="17" t="n"/>
      <c r="E5" s="20">
        <f>IF(A5="","",(SUMIF('Lernfortschritt'!B2:B100,B5,'Lernfortschritt'!D2:D100))/VLOOKUP(B5,'Pruefungen'!A2:E100,2,FALSE))</f>
        <v/>
      </c>
    </row>
    <row r="6">
      <c r="A6" s="18" t="n"/>
      <c r="B6" s="17" t="n"/>
      <c r="C6" s="19" t="n"/>
      <c r="D6" s="17" t="n"/>
      <c r="E6" s="20">
        <f>IF(A6="","",(SUMIF('Lernfortschritt'!B2:B100,B6,'Lernfortschritt'!D2:D100))/VLOOKUP(B6,'Pruefungen'!A2:E100,2,FALSE))</f>
        <v/>
      </c>
    </row>
    <row r="7">
      <c r="A7" s="18" t="n"/>
      <c r="B7" s="17" t="n"/>
      <c r="C7" s="19" t="n"/>
      <c r="D7" s="17" t="n"/>
      <c r="E7" s="20">
        <f>IF(A7="","",(SUMIF('Lernfortschritt'!B2:B100,B7,'Lernfortschritt'!D2:D100))/VLOOKUP(B7,'Pruefungen'!A2:E100,2,FALSE))</f>
        <v/>
      </c>
    </row>
    <row r="8">
      <c r="A8" s="18" t="n"/>
      <c r="B8" s="17" t="n"/>
      <c r="C8" s="19" t="n"/>
      <c r="D8" s="17" t="n"/>
      <c r="E8" s="20">
        <f>IF(A8="","",(SUMIF('Lernfortschritt'!B2:B100,B8,'Lernfortschritt'!D2:D100))/VLOOKUP(B8,'Pruefungen'!A2:E100,2,FALSE))</f>
        <v/>
      </c>
    </row>
    <row r="9">
      <c r="A9" s="18" t="n"/>
      <c r="B9" s="17" t="n"/>
      <c r="C9" s="19" t="n"/>
      <c r="D9" s="17" t="n"/>
      <c r="E9" s="20">
        <f>IF(A9="","",(SUMIF('Lernfortschritt'!B2:B100,B9,'Lernfortschritt'!D2:D100))/VLOOKUP(B9,'Pruefungen'!A2:E100,2,FALSE))</f>
        <v/>
      </c>
    </row>
    <row r="10">
      <c r="A10" s="18" t="n"/>
      <c r="B10" s="17" t="n"/>
      <c r="C10" s="19" t="n"/>
      <c r="D10" s="17" t="n"/>
      <c r="E10" s="20">
        <f>IF(A10="","",(SUMIF('Lernfortschritt'!B2:B100,B10,'Lernfortschritt'!D2:D100))/VLOOKUP(B10,'Pruefungen'!A2:E100,2,FALSE))</f>
        <v/>
      </c>
    </row>
    <row r="11">
      <c r="A11" s="18" t="n"/>
      <c r="B11" s="17" t="n"/>
      <c r="C11" s="19" t="n"/>
      <c r="D11" s="17" t="n"/>
      <c r="E11" s="20">
        <f>IF(A11="","",(SUMIF('Lernfortschritt'!B2:B100,B11,'Lernfortschritt'!D2:D100))/VLOOKUP(B11,'Pruefungen'!A2:E100,2,FALSE))</f>
        <v/>
      </c>
    </row>
    <row r="12">
      <c r="A12" s="18" t="n"/>
      <c r="B12" s="17" t="n"/>
      <c r="C12" s="19" t="n"/>
      <c r="D12" s="17" t="n"/>
      <c r="E12" s="20">
        <f>IF(A12="","",(SUMIF('Lernfortschritt'!B2:B100,B12,'Lernfortschritt'!D2:D100))/VLOOKUP(B12,'Pruefungen'!A2:E100,2,FALSE))</f>
        <v/>
      </c>
    </row>
    <row r="13">
      <c r="A13" s="18" t="n"/>
      <c r="B13" s="17" t="n"/>
      <c r="C13" s="19" t="n"/>
      <c r="D13" s="17" t="n"/>
      <c r="E13" s="20">
        <f>IF(A13="","",(SUMIF('Lernfortschritt'!B2:B100,B13,'Lernfortschritt'!D2:D100))/VLOOKUP(B13,'Pruefungen'!A2:E100,2,FALSE))</f>
        <v/>
      </c>
    </row>
    <row r="14">
      <c r="A14" s="18" t="n"/>
      <c r="B14" s="17" t="n"/>
      <c r="C14" s="19" t="n"/>
      <c r="D14" s="17" t="n"/>
      <c r="E14" s="20">
        <f>IF(A14="","",(SUMIF('Lernfortschritt'!B2:B100,B14,'Lernfortschritt'!D2:D100))/VLOOKUP(B14,'Pruefungen'!A2:E100,2,FALSE))</f>
        <v/>
      </c>
    </row>
    <row r="15">
      <c r="A15" s="18" t="n"/>
      <c r="B15" s="17" t="n"/>
      <c r="C15" s="19" t="n"/>
      <c r="D15" s="17" t="n"/>
      <c r="E15" s="20">
        <f>IF(A15="","",(SUMIF('Lernfortschritt'!B2:B100,B15,'Lernfortschritt'!D2:D100))/VLOOKUP(B15,'Pruefungen'!A2:E100,2,FALSE))</f>
        <v/>
      </c>
    </row>
    <row r="16">
      <c r="A16" s="18" t="n"/>
      <c r="B16" s="17" t="n"/>
      <c r="C16" s="19" t="n"/>
      <c r="D16" s="17" t="n"/>
      <c r="E16" s="20">
        <f>IF(A16="","",(SUMIF('Lernfortschritt'!B2:B100,B16,'Lernfortschritt'!D2:D100))/VLOOKUP(B16,'Pruefungen'!A2:E100,2,FALSE))</f>
        <v/>
      </c>
    </row>
    <row r="17">
      <c r="A17" s="18" t="n"/>
      <c r="B17" s="17" t="n"/>
      <c r="C17" s="19" t="n"/>
      <c r="D17" s="17" t="n"/>
      <c r="E17" s="20">
        <f>IF(A17="","",(SUMIF('Lernfortschritt'!B2:B100,B17,'Lernfortschritt'!D2:D100))/VLOOKUP(B17,'Pruefungen'!A2:E100,2,FALSE))</f>
        <v/>
      </c>
    </row>
    <row r="18">
      <c r="A18" s="18" t="n"/>
      <c r="B18" s="17" t="n"/>
      <c r="C18" s="19" t="n"/>
      <c r="D18" s="17" t="n"/>
      <c r="E18" s="20">
        <f>IF(A18="","",(SUMIF('Lernfortschritt'!B2:B100,B18,'Lernfortschritt'!D2:D100))/VLOOKUP(B18,'Pruefungen'!A2:E100,2,FALSE))</f>
        <v/>
      </c>
    </row>
    <row r="19">
      <c r="A19" s="18" t="n"/>
      <c r="B19" s="17" t="n"/>
      <c r="C19" s="19" t="n"/>
      <c r="D19" s="17" t="n"/>
      <c r="E19" s="20">
        <f>IF(A19="","",(SUMIF('Lernfortschritt'!B2:B100,B19,'Lernfortschritt'!D2:D100))/VLOOKUP(B19,'Pruefungen'!A2:E100,2,FALSE))</f>
        <v/>
      </c>
    </row>
    <row r="20">
      <c r="A20" s="18" t="n"/>
      <c r="B20" s="17" t="n"/>
      <c r="C20" s="19" t="n"/>
      <c r="D20" s="17" t="n"/>
      <c r="E20" s="20">
        <f>IF(A20="","",(SUMIF('Lernfortschritt'!B2:B100,B20,'Lernfortschritt'!D2:D100))/VLOOKUP(B20,'Pruefungen'!A2:E100,2,FALSE))</f>
        <v/>
      </c>
    </row>
    <row r="21">
      <c r="A21" s="18" t="n"/>
      <c r="B21" s="17" t="n"/>
      <c r="C21" s="19" t="n"/>
      <c r="D21" s="17" t="n"/>
      <c r="E21" s="20">
        <f>IF(A21="","",(SUMIF('Lernfortschritt'!B2:B100,B21,'Lernfortschritt'!D2:D100))/VLOOKUP(B21,'Pruefungen'!A2:E100,2,FALSE))</f>
        <v/>
      </c>
    </row>
    <row r="22">
      <c r="A22" s="18" t="n"/>
      <c r="B22" s="17" t="n"/>
      <c r="C22" s="19" t="n"/>
      <c r="D22" s="17" t="n"/>
      <c r="E22" s="20">
        <f>IF(A22="","",(SUMIF('Lernfortschritt'!B2:B100,B22,'Lernfortschritt'!D2:D100))/VLOOKUP(B22,'Pruefungen'!A2:E100,2,FALSE))</f>
        <v/>
      </c>
    </row>
    <row r="23">
      <c r="A23" s="18" t="n"/>
      <c r="B23" s="17" t="n"/>
      <c r="C23" s="19" t="n"/>
      <c r="D23" s="17" t="n"/>
      <c r="E23" s="20">
        <f>IF(A23="","",(SUMIF('Lernfortschritt'!B2:B100,B23,'Lernfortschritt'!D2:D100))/VLOOKUP(B23,'Pruefungen'!A2:E100,2,FALSE))</f>
        <v/>
      </c>
    </row>
    <row r="24">
      <c r="A24" s="18" t="n"/>
      <c r="B24" s="17" t="n"/>
      <c r="C24" s="19" t="n"/>
      <c r="D24" s="17" t="n"/>
      <c r="E24" s="20">
        <f>IF(A24="","",(SUMIF('Lernfortschritt'!B2:B100,B24,'Lernfortschritt'!D2:D100))/VLOOKUP(B24,'Pruefungen'!A2:E100,2,FALSE))</f>
        <v/>
      </c>
    </row>
    <row r="25">
      <c r="A25" s="18" t="n"/>
      <c r="B25" s="17" t="n"/>
      <c r="C25" s="19" t="n"/>
      <c r="D25" s="17" t="n"/>
      <c r="E25" s="20">
        <f>IF(A25="","",(SUMIF('Lernfortschritt'!B2:B100,B25,'Lernfortschritt'!D2:D100))/VLOOKUP(B25,'Pruefungen'!A2:E100,2,FALSE))</f>
        <v/>
      </c>
    </row>
    <row r="26">
      <c r="A26" s="18" t="n"/>
      <c r="B26" s="17" t="n"/>
      <c r="C26" s="19" t="n"/>
      <c r="D26" s="17" t="n"/>
      <c r="E26" s="20">
        <f>IF(A26="","",(SUMIF('Lernfortschritt'!B2:B100,B26,'Lernfortschritt'!D2:D100))/VLOOKUP(B26,'Pruefungen'!A2:E100,2,FALSE))</f>
        <v/>
      </c>
    </row>
    <row r="27">
      <c r="A27" s="18" t="n"/>
      <c r="B27" s="17" t="n"/>
      <c r="C27" s="19" t="n"/>
      <c r="D27" s="17" t="n"/>
      <c r="E27" s="20">
        <f>IF(A27="","",(SUMIF('Lernfortschritt'!B2:B100,B27,'Lernfortschritt'!D2:D100))/VLOOKUP(B27,'Pruefungen'!A2:E100,2,FALSE))</f>
        <v/>
      </c>
    </row>
    <row r="28">
      <c r="A28" s="18" t="n"/>
      <c r="B28" s="17" t="n"/>
      <c r="C28" s="19" t="n"/>
      <c r="D28" s="17" t="n"/>
      <c r="E28" s="20">
        <f>IF(A28="","",(SUMIF('Lernfortschritt'!B2:B100,B28,'Lernfortschritt'!D2:D100))/VLOOKUP(B28,'Pruefungen'!A2:E100,2,FALSE))</f>
        <v/>
      </c>
    </row>
    <row r="29">
      <c r="A29" s="18" t="n"/>
      <c r="B29" s="17" t="n"/>
      <c r="C29" s="19" t="n"/>
      <c r="D29" s="17" t="n"/>
      <c r="E29" s="20">
        <f>IF(A29="","",(SUMIF('Lernfortschritt'!B2:B100,B29,'Lernfortschritt'!D2:D100))/VLOOKUP(B29,'Pruefungen'!A2:E100,2,FALSE))</f>
        <v/>
      </c>
    </row>
    <row r="30">
      <c r="A30" s="18" t="n"/>
      <c r="B30" s="17" t="n"/>
      <c r="C30" s="19" t="n"/>
      <c r="D30" s="17" t="n"/>
      <c r="E30" s="20">
        <f>IF(A30="","",(SUMIF('Lernfortschritt'!B2:B100,B30,'Lernfortschritt'!D2:D100))/VLOOKUP(B30,'Pruefungen'!A2:E100,2,FALSE))</f>
        <v/>
      </c>
    </row>
    <row r="31">
      <c r="A31" s="18" t="n"/>
      <c r="B31" s="17" t="n"/>
      <c r="C31" s="19" t="n"/>
      <c r="D31" s="17" t="n"/>
      <c r="E31" s="20">
        <f>IF(A31="","",(SUMIF('Lernfortschritt'!B2:B100,B31,'Lernfortschritt'!D2:D100))/VLOOKUP(B31,'Pruefungen'!A2:E100,2,FALSE))</f>
        <v/>
      </c>
    </row>
    <row r="32">
      <c r="A32" s="18" t="n"/>
      <c r="B32" s="17" t="n"/>
      <c r="C32" s="19" t="n"/>
      <c r="D32" s="17" t="n"/>
      <c r="E32" s="20">
        <f>IF(A32="","",(SUMIF('Lernfortschritt'!B2:B100,B32,'Lernfortschritt'!D2:D100))/VLOOKUP(B32,'Pruefungen'!A2:E100,2,FALSE))</f>
        <v/>
      </c>
    </row>
    <row r="33">
      <c r="A33" s="18" t="n"/>
      <c r="B33" s="17" t="n"/>
      <c r="C33" s="19" t="n"/>
      <c r="D33" s="17" t="n"/>
      <c r="E33" s="20">
        <f>IF(A33="","",(SUMIF('Lernfortschritt'!B2:B100,B33,'Lernfortschritt'!D2:D100))/VLOOKUP(B33,'Pruefungen'!A2:E100,2,FALSE))</f>
        <v/>
      </c>
    </row>
    <row r="34">
      <c r="A34" s="18" t="n"/>
      <c r="B34" s="17" t="n"/>
      <c r="C34" s="19" t="n"/>
      <c r="D34" s="17" t="n"/>
      <c r="E34" s="20">
        <f>IF(A34="","",(SUMIF('Lernfortschritt'!B2:B100,B34,'Lernfortschritt'!D2:D100))/VLOOKUP(B34,'Pruefungen'!A2:E100,2,FALSE))</f>
        <v/>
      </c>
    </row>
    <row r="35">
      <c r="A35" s="18" t="n"/>
      <c r="B35" s="17" t="n"/>
      <c r="C35" s="19" t="n"/>
      <c r="D35" s="17" t="n"/>
      <c r="E35" s="20">
        <f>IF(A35="","",(SUMIF('Lernfortschritt'!B2:B100,B35,'Lernfortschritt'!D2:D100))/VLOOKUP(B35,'Pruefungen'!A2:E100,2,FALSE))</f>
        <v/>
      </c>
    </row>
    <row r="36">
      <c r="A36" s="18" t="n"/>
      <c r="B36" s="17" t="n"/>
      <c r="C36" s="19" t="n"/>
      <c r="D36" s="17" t="n"/>
      <c r="E36" s="20">
        <f>IF(A36="","",(SUMIF('Lernfortschritt'!B2:B100,B36,'Lernfortschritt'!D2:D100))/VLOOKUP(B36,'Pruefungen'!A2:E100,2,FALSE))</f>
        <v/>
      </c>
    </row>
    <row r="37">
      <c r="A37" s="18" t="n"/>
      <c r="B37" s="17" t="n"/>
      <c r="C37" s="19" t="n"/>
      <c r="D37" s="17" t="n"/>
      <c r="E37" s="20">
        <f>IF(A37="","",(SUMIF('Lernfortschritt'!B2:B100,B37,'Lernfortschritt'!D2:D100))/VLOOKUP(B37,'Pruefungen'!A2:E100,2,FALSE))</f>
        <v/>
      </c>
    </row>
    <row r="38">
      <c r="A38" s="18" t="n"/>
      <c r="B38" s="17" t="n"/>
      <c r="C38" s="19" t="n"/>
      <c r="D38" s="17" t="n"/>
      <c r="E38" s="20">
        <f>IF(A38="","",(SUMIF('Lernfortschritt'!B2:B100,B38,'Lernfortschritt'!D2:D100))/VLOOKUP(B38,'Pruefungen'!A2:E100,2,FALSE))</f>
        <v/>
      </c>
    </row>
    <row r="39">
      <c r="A39" s="18" t="n"/>
      <c r="B39" s="17" t="n"/>
      <c r="C39" s="19" t="n"/>
      <c r="D39" s="17" t="n"/>
      <c r="E39" s="20">
        <f>IF(A39="","",(SUMIF('Lernfortschritt'!B2:B100,B39,'Lernfortschritt'!D2:D100))/VLOOKUP(B39,'Pruefungen'!A2:E100,2,FALSE))</f>
        <v/>
      </c>
    </row>
    <row r="40">
      <c r="A40" s="18" t="n"/>
      <c r="B40" s="17" t="n"/>
      <c r="C40" s="19" t="n"/>
      <c r="D40" s="17" t="n"/>
      <c r="E40" s="20">
        <f>IF(A40="","",(SUMIF('Lernfortschritt'!B2:B100,B40,'Lernfortschritt'!D2:D100))/VLOOKUP(B40,'Pruefungen'!A2:E100,2,FALSE))</f>
        <v/>
      </c>
    </row>
    <row r="41">
      <c r="A41" s="18" t="n"/>
      <c r="B41" s="17" t="n"/>
      <c r="C41" s="19" t="n"/>
      <c r="D41" s="17" t="n"/>
      <c r="E41" s="20">
        <f>IF(A41="","",(SUMIF('Lernfortschritt'!B2:B100,B41,'Lernfortschritt'!D2:D100))/VLOOKUP(B41,'Pruefungen'!A2:E100,2,FALSE))</f>
        <v/>
      </c>
    </row>
    <row r="42">
      <c r="A42" s="18" t="n"/>
      <c r="B42" s="17" t="n"/>
      <c r="C42" s="19" t="n"/>
      <c r="D42" s="17" t="n"/>
      <c r="E42" s="20">
        <f>IF(A42="","",(SUMIF('Lernfortschritt'!B2:B100,B42,'Lernfortschritt'!D2:D100))/VLOOKUP(B42,'Pruefungen'!A2:E100,2,FALSE))</f>
        <v/>
      </c>
    </row>
    <row r="43">
      <c r="A43" s="18" t="n"/>
      <c r="B43" s="17" t="n"/>
      <c r="C43" s="19" t="n"/>
      <c r="D43" s="17" t="n"/>
      <c r="E43" s="20">
        <f>IF(A43="","",(SUMIF('Lernfortschritt'!B2:B100,B43,'Lernfortschritt'!D2:D100))/VLOOKUP(B43,'Pruefungen'!A2:E100,2,FALSE))</f>
        <v/>
      </c>
    </row>
    <row r="44">
      <c r="A44" s="18" t="n"/>
      <c r="B44" s="17" t="n"/>
      <c r="C44" s="19" t="n"/>
      <c r="D44" s="17" t="n"/>
      <c r="E44" s="20">
        <f>IF(A44="","",(SUMIF('Lernfortschritt'!B2:B100,B44,'Lernfortschritt'!D2:D100))/VLOOKUP(B44,'Pruefungen'!A2:E100,2,FALSE))</f>
        <v/>
      </c>
    </row>
    <row r="45">
      <c r="A45" s="18" t="n"/>
      <c r="B45" s="17" t="n"/>
      <c r="C45" s="19" t="n"/>
      <c r="D45" s="17" t="n"/>
      <c r="E45" s="20">
        <f>IF(A45="","",(SUMIF('Lernfortschritt'!B2:B100,B45,'Lernfortschritt'!D2:D100))/VLOOKUP(B45,'Pruefungen'!A2:E100,2,FALSE))</f>
        <v/>
      </c>
    </row>
    <row r="46">
      <c r="A46" s="18" t="n"/>
      <c r="B46" s="17" t="n"/>
      <c r="C46" s="19" t="n"/>
      <c r="D46" s="17" t="n"/>
      <c r="E46" s="20">
        <f>IF(A46="","",(SUMIF('Lernfortschritt'!B2:B100,B46,'Lernfortschritt'!D2:D100))/VLOOKUP(B46,'Pruefungen'!A2:E100,2,FALSE))</f>
        <v/>
      </c>
    </row>
    <row r="47">
      <c r="A47" s="18" t="n"/>
      <c r="B47" s="17" t="n"/>
      <c r="C47" s="19" t="n"/>
      <c r="D47" s="17" t="n"/>
      <c r="E47" s="20">
        <f>IF(A47="","",(SUMIF('Lernfortschritt'!B2:B100,B47,'Lernfortschritt'!D2:D100))/VLOOKUP(B47,'Pruefungen'!A2:E100,2,FALSE))</f>
        <v/>
      </c>
    </row>
    <row r="48">
      <c r="A48" s="18" t="n"/>
      <c r="B48" s="17" t="n"/>
      <c r="C48" s="19" t="n"/>
      <c r="D48" s="17" t="n"/>
      <c r="E48" s="20">
        <f>IF(A48="","",(SUMIF('Lernfortschritt'!B2:B100,B48,'Lernfortschritt'!D2:D100))/VLOOKUP(B48,'Pruefungen'!A2:E100,2,FALSE))</f>
        <v/>
      </c>
    </row>
    <row r="49">
      <c r="A49" s="18" t="n"/>
      <c r="B49" s="17" t="n"/>
      <c r="C49" s="19" t="n"/>
      <c r="D49" s="17" t="n"/>
      <c r="E49" s="20">
        <f>IF(A49="","",(SUMIF('Lernfortschritt'!B2:B100,B49,'Lernfortschritt'!D2:D100))/VLOOKUP(B49,'Pruefungen'!A2:E100,2,FALSE))</f>
        <v/>
      </c>
    </row>
    <row r="50">
      <c r="A50" s="18" t="n"/>
      <c r="B50" s="17" t="n"/>
      <c r="C50" s="19" t="n"/>
      <c r="D50" s="17" t="n"/>
      <c r="E50" s="20">
        <f>IF(A50="","",(SUMIF('Lernfortschritt'!B2:B100,B50,'Lernfortschritt'!D2:D100))/VLOOKUP(B50,'Pruefungen'!A2:E100,2,FALSE))</f>
        <v/>
      </c>
    </row>
    <row r="51">
      <c r="A51" s="18" t="n"/>
      <c r="B51" s="17" t="n"/>
      <c r="C51" s="19" t="n"/>
      <c r="D51" s="17" t="n"/>
      <c r="E51" s="20">
        <f>IF(A51="","",(SUMIF('Lernfortschritt'!B2:B100,B51,'Lernfortschritt'!D2:D100))/VLOOKUP(B51,'Pruefungen'!A2:E100,2,FALSE))</f>
        <v/>
      </c>
    </row>
    <row r="52">
      <c r="A52" s="18" t="n"/>
      <c r="B52" s="17" t="n"/>
      <c r="C52" s="19" t="n"/>
      <c r="D52" s="17" t="n"/>
      <c r="E52" s="20">
        <f>IF(A52="","",(SUMIF('Lernfortschritt'!B2:B100,B52,'Lernfortschritt'!D2:D100))/VLOOKUP(B52,'Pruefungen'!A2:E100,2,FALSE))</f>
        <v/>
      </c>
    </row>
    <row r="53">
      <c r="A53" s="18" t="n"/>
      <c r="B53" s="17" t="n"/>
      <c r="C53" s="19" t="n"/>
      <c r="D53" s="17" t="n"/>
      <c r="E53" s="20">
        <f>IF(A53="","",(SUMIF('Lernfortschritt'!B2:B100,B53,'Lernfortschritt'!D2:D100))/VLOOKUP(B53,'Pruefungen'!A2:E100,2,FALSE))</f>
        <v/>
      </c>
    </row>
    <row r="54">
      <c r="A54" s="18" t="n"/>
      <c r="B54" s="17" t="n"/>
      <c r="C54" s="19" t="n"/>
      <c r="D54" s="17" t="n"/>
      <c r="E54" s="20">
        <f>IF(A54="","",(SUMIF('Lernfortschritt'!B2:B100,B54,'Lernfortschritt'!D2:D100))/VLOOKUP(B54,'Pruefungen'!A2:E100,2,FALSE))</f>
        <v/>
      </c>
    </row>
    <row r="55">
      <c r="A55" s="18" t="n"/>
      <c r="B55" s="17" t="n"/>
      <c r="C55" s="19" t="n"/>
      <c r="D55" s="17" t="n"/>
      <c r="E55" s="20">
        <f>IF(A55="","",(SUMIF('Lernfortschritt'!B2:B100,B55,'Lernfortschritt'!D2:D100))/VLOOKUP(B55,'Pruefungen'!A2:E100,2,FALSE))</f>
        <v/>
      </c>
    </row>
    <row r="56">
      <c r="A56" s="18" t="n"/>
      <c r="B56" s="17" t="n"/>
      <c r="C56" s="19" t="n"/>
      <c r="D56" s="17" t="n"/>
      <c r="E56" s="20">
        <f>IF(A56="","",(SUMIF('Lernfortschritt'!B2:B100,B56,'Lernfortschritt'!D2:D100))/VLOOKUP(B56,'Pruefungen'!A2:E100,2,FALSE))</f>
        <v/>
      </c>
    </row>
    <row r="57">
      <c r="A57" s="18" t="n"/>
      <c r="B57" s="17" t="n"/>
      <c r="C57" s="19" t="n"/>
      <c r="D57" s="17" t="n"/>
      <c r="E57" s="20">
        <f>IF(A57="","",(SUMIF('Lernfortschritt'!B2:B100,B57,'Lernfortschritt'!D2:D100))/VLOOKUP(B57,'Pruefungen'!A2:E100,2,FALSE))</f>
        <v/>
      </c>
    </row>
    <row r="58">
      <c r="A58" s="18" t="n"/>
      <c r="B58" s="17" t="n"/>
      <c r="C58" s="19" t="n"/>
      <c r="D58" s="17" t="n"/>
      <c r="E58" s="20">
        <f>IF(A58="","",(SUMIF('Lernfortschritt'!B2:B100,B58,'Lernfortschritt'!D2:D100))/VLOOKUP(B58,'Pruefungen'!A2:E100,2,FALSE))</f>
        <v/>
      </c>
    </row>
    <row r="59">
      <c r="A59" s="18" t="n"/>
      <c r="B59" s="17" t="n"/>
      <c r="C59" s="19" t="n"/>
      <c r="D59" s="17" t="n"/>
      <c r="E59" s="20">
        <f>IF(A59="","",(SUMIF('Lernfortschritt'!B2:B100,B59,'Lernfortschritt'!D2:D100))/VLOOKUP(B59,'Pruefungen'!A2:E100,2,FALSE))</f>
        <v/>
      </c>
    </row>
    <row r="60">
      <c r="A60" s="18" t="n"/>
      <c r="B60" s="17" t="n"/>
      <c r="C60" s="19" t="n"/>
      <c r="D60" s="17" t="n"/>
      <c r="E60" s="20">
        <f>IF(A60="","",(SUMIF('Lernfortschritt'!B2:B100,B60,'Lernfortschritt'!D2:D100))/VLOOKUP(B60,'Pruefungen'!A2:E100,2,FALSE))</f>
        <v/>
      </c>
    </row>
    <row r="61">
      <c r="A61" s="18" t="n"/>
      <c r="B61" s="17" t="n"/>
      <c r="C61" s="19" t="n"/>
      <c r="D61" s="17" t="n"/>
      <c r="E61" s="20">
        <f>IF(A61="","",(SUMIF('Lernfortschritt'!B2:B100,B61,'Lernfortschritt'!D2:D100))/VLOOKUP(B61,'Pruefungen'!A2:E100,2,FALSE))</f>
        <v/>
      </c>
    </row>
    <row r="62">
      <c r="A62" s="18" t="n"/>
      <c r="B62" s="17" t="n"/>
      <c r="C62" s="19" t="n"/>
      <c r="D62" s="17" t="n"/>
      <c r="E62" s="20">
        <f>IF(A62="","",(SUMIF('Lernfortschritt'!B2:B100,B62,'Lernfortschritt'!D2:D100))/VLOOKUP(B62,'Pruefungen'!A2:E100,2,FALSE))</f>
        <v/>
      </c>
    </row>
    <row r="63">
      <c r="A63" s="18" t="n"/>
      <c r="B63" s="17" t="n"/>
      <c r="C63" s="19" t="n"/>
      <c r="D63" s="17" t="n"/>
      <c r="E63" s="20">
        <f>IF(A63="","",(SUMIF('Lernfortschritt'!B2:B100,B63,'Lernfortschritt'!D2:D100))/VLOOKUP(B63,'Pruefungen'!A2:E100,2,FALSE))</f>
        <v/>
      </c>
    </row>
    <row r="64">
      <c r="A64" s="18" t="n"/>
      <c r="B64" s="17" t="n"/>
      <c r="C64" s="19" t="n"/>
      <c r="D64" s="17" t="n"/>
      <c r="E64" s="20">
        <f>IF(A64="","",(SUMIF('Lernfortschritt'!B2:B100,B64,'Lernfortschritt'!D2:D100))/VLOOKUP(B64,'Pruefungen'!A2:E100,2,FALSE))</f>
        <v/>
      </c>
    </row>
    <row r="65">
      <c r="A65" s="18" t="n"/>
      <c r="B65" s="17" t="n"/>
      <c r="C65" s="19" t="n"/>
      <c r="D65" s="17" t="n"/>
      <c r="E65" s="20">
        <f>IF(A65="","",(SUMIF('Lernfortschritt'!B2:B100,B65,'Lernfortschritt'!D2:D100))/VLOOKUP(B65,'Pruefungen'!A2:E100,2,FALSE))</f>
        <v/>
      </c>
    </row>
    <row r="66">
      <c r="A66" s="18" t="n"/>
      <c r="B66" s="17" t="n"/>
      <c r="C66" s="19" t="n"/>
      <c r="D66" s="17" t="n"/>
      <c r="E66" s="20">
        <f>IF(A66="","",(SUMIF('Lernfortschritt'!B2:B100,B66,'Lernfortschritt'!D2:D100))/VLOOKUP(B66,'Pruefungen'!A2:E100,2,FALSE))</f>
        <v/>
      </c>
    </row>
    <row r="67">
      <c r="A67" s="18" t="n"/>
      <c r="B67" s="17" t="n"/>
      <c r="C67" s="19" t="n"/>
      <c r="D67" s="17" t="n"/>
      <c r="E67" s="20">
        <f>IF(A67="","",(SUMIF('Lernfortschritt'!B2:B100,B67,'Lernfortschritt'!D2:D100))/VLOOKUP(B67,'Pruefungen'!A2:E100,2,FALSE))</f>
        <v/>
      </c>
    </row>
    <row r="68">
      <c r="A68" s="18" t="n"/>
      <c r="B68" s="17" t="n"/>
      <c r="C68" s="19" t="n"/>
      <c r="D68" s="17" t="n"/>
      <c r="E68" s="20">
        <f>IF(A68="","",(SUMIF('Lernfortschritt'!B2:B100,B68,'Lernfortschritt'!D2:D100))/VLOOKUP(B68,'Pruefungen'!A2:E100,2,FALSE))</f>
        <v/>
      </c>
    </row>
    <row r="69">
      <c r="A69" s="18" t="n"/>
      <c r="B69" s="17" t="n"/>
      <c r="C69" s="19" t="n"/>
      <c r="D69" s="17" t="n"/>
      <c r="E69" s="20">
        <f>IF(A69="","",(SUMIF('Lernfortschritt'!B2:B100,B69,'Lernfortschritt'!D2:D100))/VLOOKUP(B69,'Pruefungen'!A2:E100,2,FALSE))</f>
        <v/>
      </c>
    </row>
    <row r="70">
      <c r="A70" s="18" t="n"/>
      <c r="B70" s="17" t="n"/>
      <c r="C70" s="19" t="n"/>
      <c r="D70" s="17" t="n"/>
      <c r="E70" s="20">
        <f>IF(A70="","",(SUMIF('Lernfortschritt'!B2:B100,B70,'Lernfortschritt'!D2:D100))/VLOOKUP(B70,'Pruefungen'!A2:E100,2,FALSE))</f>
        <v/>
      </c>
    </row>
    <row r="71">
      <c r="A71" s="18" t="n"/>
      <c r="B71" s="17" t="n"/>
      <c r="C71" s="19" t="n"/>
      <c r="D71" s="17" t="n"/>
      <c r="E71" s="20">
        <f>IF(A71="","",(SUMIF('Lernfortschritt'!B2:B100,B71,'Lernfortschritt'!D2:D100))/VLOOKUP(B71,'Pruefungen'!A2:E100,2,FALSE))</f>
        <v/>
      </c>
    </row>
    <row r="72">
      <c r="A72" s="18" t="n"/>
      <c r="B72" s="17" t="n"/>
      <c r="C72" s="19" t="n"/>
      <c r="D72" s="17" t="n"/>
      <c r="E72" s="20">
        <f>IF(A72="","",(SUMIF('Lernfortschritt'!B2:B100,B72,'Lernfortschritt'!D2:D100))/VLOOKUP(B72,'Pruefungen'!A2:E100,2,FALSE))</f>
        <v/>
      </c>
    </row>
    <row r="73">
      <c r="A73" s="18" t="n"/>
      <c r="B73" s="17" t="n"/>
      <c r="C73" s="19" t="n"/>
      <c r="D73" s="17" t="n"/>
      <c r="E73" s="20">
        <f>IF(A73="","",(SUMIF('Lernfortschritt'!B2:B100,B73,'Lernfortschritt'!D2:D100))/VLOOKUP(B73,'Pruefungen'!A2:E100,2,FALSE))</f>
        <v/>
      </c>
    </row>
    <row r="74">
      <c r="A74" s="18" t="n"/>
      <c r="B74" s="17" t="n"/>
      <c r="C74" s="19" t="n"/>
      <c r="D74" s="17" t="n"/>
      <c r="E74" s="20">
        <f>IF(A74="","",(SUMIF('Lernfortschritt'!B2:B100,B74,'Lernfortschritt'!D2:D100))/VLOOKUP(B74,'Pruefungen'!A2:E100,2,FALSE))</f>
        <v/>
      </c>
    </row>
    <row r="75">
      <c r="A75" s="18" t="n"/>
      <c r="B75" s="17" t="n"/>
      <c r="C75" s="19" t="n"/>
      <c r="D75" s="17" t="n"/>
      <c r="E75" s="20">
        <f>IF(A75="","",(SUMIF('Lernfortschritt'!B2:B100,B75,'Lernfortschritt'!D2:D100))/VLOOKUP(B75,'Pruefungen'!A2:E100,2,FALSE))</f>
        <v/>
      </c>
    </row>
    <row r="76">
      <c r="A76" s="18" t="n"/>
      <c r="B76" s="17" t="n"/>
      <c r="C76" s="19" t="n"/>
      <c r="D76" s="17" t="n"/>
      <c r="E76" s="20">
        <f>IF(A76="","",(SUMIF('Lernfortschritt'!B2:B100,B76,'Lernfortschritt'!D2:D100))/VLOOKUP(B76,'Pruefungen'!A2:E100,2,FALSE))</f>
        <v/>
      </c>
    </row>
    <row r="77">
      <c r="A77" s="18" t="n"/>
      <c r="B77" s="17" t="n"/>
      <c r="C77" s="19" t="n"/>
      <c r="D77" s="17" t="n"/>
      <c r="E77" s="20">
        <f>IF(A77="","",(SUMIF('Lernfortschritt'!B2:B100,B77,'Lernfortschritt'!D2:D100))/VLOOKUP(B77,'Pruefungen'!A2:E100,2,FALSE))</f>
        <v/>
      </c>
    </row>
    <row r="78">
      <c r="A78" s="18" t="n"/>
      <c r="B78" s="17" t="n"/>
      <c r="C78" s="19" t="n"/>
      <c r="D78" s="17" t="n"/>
      <c r="E78" s="20">
        <f>IF(A78="","",(SUMIF('Lernfortschritt'!B2:B100,B78,'Lernfortschritt'!D2:D100))/VLOOKUP(B78,'Pruefungen'!A2:E100,2,FALSE))</f>
        <v/>
      </c>
    </row>
    <row r="79">
      <c r="A79" s="18" t="n"/>
      <c r="B79" s="17" t="n"/>
      <c r="C79" s="19" t="n"/>
      <c r="D79" s="17" t="n"/>
      <c r="E79" s="20">
        <f>IF(A79="","",(SUMIF('Lernfortschritt'!B2:B100,B79,'Lernfortschritt'!D2:D100))/VLOOKUP(B79,'Pruefungen'!A2:E100,2,FALSE))</f>
        <v/>
      </c>
    </row>
    <row r="80">
      <c r="A80" s="18" t="n"/>
      <c r="B80" s="17" t="n"/>
      <c r="C80" s="19" t="n"/>
      <c r="D80" s="17" t="n"/>
      <c r="E80" s="20">
        <f>IF(A80="","",(SUMIF('Lernfortschritt'!B2:B100,B80,'Lernfortschritt'!D2:D100))/VLOOKUP(B80,'Pruefungen'!A2:E100,2,FALSE))</f>
        <v/>
      </c>
    </row>
    <row r="81">
      <c r="A81" s="18" t="n"/>
      <c r="B81" s="17" t="n"/>
      <c r="C81" s="19" t="n"/>
      <c r="D81" s="17" t="n"/>
      <c r="E81" s="20">
        <f>IF(A81="","",(SUMIF('Lernfortschritt'!B2:B100,B81,'Lernfortschritt'!D2:D100))/VLOOKUP(B81,'Pruefungen'!A2:E100,2,FALSE))</f>
        <v/>
      </c>
    </row>
    <row r="82">
      <c r="A82" s="18" t="n"/>
      <c r="B82" s="17" t="n"/>
      <c r="C82" s="19" t="n"/>
      <c r="D82" s="17" t="n"/>
      <c r="E82" s="20">
        <f>IF(A82="","",(SUMIF('Lernfortschritt'!B2:B100,B82,'Lernfortschritt'!D2:D100))/VLOOKUP(B82,'Pruefungen'!A2:E100,2,FALSE))</f>
        <v/>
      </c>
    </row>
    <row r="83">
      <c r="A83" s="18" t="n"/>
      <c r="B83" s="17" t="n"/>
      <c r="C83" s="19" t="n"/>
      <c r="D83" s="17" t="n"/>
      <c r="E83" s="20">
        <f>IF(A83="","",(SUMIF('Lernfortschritt'!B2:B100,B83,'Lernfortschritt'!D2:D100))/VLOOKUP(B83,'Pruefungen'!A2:E100,2,FALSE))</f>
        <v/>
      </c>
    </row>
    <row r="84">
      <c r="A84" s="18" t="n"/>
      <c r="B84" s="17" t="n"/>
      <c r="C84" s="19" t="n"/>
      <c r="D84" s="17" t="n"/>
      <c r="E84" s="20">
        <f>IF(A84="","",(SUMIF('Lernfortschritt'!B2:B100,B84,'Lernfortschritt'!D2:D100))/VLOOKUP(B84,'Pruefungen'!A2:E100,2,FALSE))</f>
        <v/>
      </c>
    </row>
    <row r="85">
      <c r="A85" s="18" t="n"/>
      <c r="B85" s="17" t="n"/>
      <c r="C85" s="19" t="n"/>
      <c r="D85" s="17" t="n"/>
      <c r="E85" s="20">
        <f>IF(A85="","",(SUMIF('Lernfortschritt'!B2:B100,B85,'Lernfortschritt'!D2:D100))/VLOOKUP(B85,'Pruefungen'!A2:E100,2,FALSE))</f>
        <v/>
      </c>
    </row>
    <row r="86">
      <c r="A86" s="18" t="n"/>
      <c r="B86" s="17" t="n"/>
      <c r="C86" s="19" t="n"/>
      <c r="D86" s="17" t="n"/>
      <c r="E86" s="20">
        <f>IF(A86="","",(SUMIF('Lernfortschritt'!B2:B100,B86,'Lernfortschritt'!D2:D100))/VLOOKUP(B86,'Pruefungen'!A2:E100,2,FALSE))</f>
        <v/>
      </c>
    </row>
    <row r="87">
      <c r="A87" s="18" t="n"/>
      <c r="B87" s="17" t="n"/>
      <c r="C87" s="19" t="n"/>
      <c r="D87" s="17" t="n"/>
      <c r="E87" s="20">
        <f>IF(A87="","",(SUMIF('Lernfortschritt'!B2:B100,B87,'Lernfortschritt'!D2:D100))/VLOOKUP(B87,'Pruefungen'!A2:E100,2,FALSE))</f>
        <v/>
      </c>
    </row>
    <row r="88">
      <c r="A88" s="18" t="n"/>
      <c r="B88" s="17" t="n"/>
      <c r="C88" s="19" t="n"/>
      <c r="D88" s="17" t="n"/>
      <c r="E88" s="20">
        <f>IF(A88="","",(SUMIF('Lernfortschritt'!B2:B100,B88,'Lernfortschritt'!D2:D100))/VLOOKUP(B88,'Pruefungen'!A2:E100,2,FALSE))</f>
        <v/>
      </c>
    </row>
    <row r="89">
      <c r="A89" s="18" t="n"/>
      <c r="B89" s="17" t="n"/>
      <c r="C89" s="19" t="n"/>
      <c r="D89" s="17" t="n"/>
      <c r="E89" s="20">
        <f>IF(A89="","",(SUMIF('Lernfortschritt'!B2:B100,B89,'Lernfortschritt'!D2:D100))/VLOOKUP(B89,'Pruefungen'!A2:E100,2,FALSE))</f>
        <v/>
      </c>
    </row>
    <row r="90">
      <c r="A90" s="18" t="n"/>
      <c r="B90" s="17" t="n"/>
      <c r="C90" s="19" t="n"/>
      <c r="D90" s="17" t="n"/>
      <c r="E90" s="20">
        <f>IF(A90="","",(SUMIF('Lernfortschritt'!B2:B100,B90,'Lernfortschritt'!D2:D100))/VLOOKUP(B90,'Pruefungen'!A2:E100,2,FALSE))</f>
        <v/>
      </c>
    </row>
    <row r="91">
      <c r="A91" s="18" t="n"/>
      <c r="B91" s="17" t="n"/>
      <c r="C91" s="19" t="n"/>
      <c r="D91" s="17" t="n"/>
      <c r="E91" s="20">
        <f>IF(A91="","",(SUMIF('Lernfortschritt'!B2:B100,B91,'Lernfortschritt'!D2:D100))/VLOOKUP(B91,'Pruefungen'!A2:E100,2,FALSE))</f>
        <v/>
      </c>
    </row>
    <row r="92">
      <c r="A92" s="18" t="n"/>
      <c r="B92" s="17" t="n"/>
      <c r="C92" s="19" t="n"/>
      <c r="D92" s="17" t="n"/>
      <c r="E92" s="20">
        <f>IF(A92="","",(SUMIF('Lernfortschritt'!B2:B100,B92,'Lernfortschritt'!D2:D100))/VLOOKUP(B92,'Pruefungen'!A2:E100,2,FALSE))</f>
        <v/>
      </c>
    </row>
    <row r="93">
      <c r="A93" s="18" t="n"/>
      <c r="B93" s="17" t="n"/>
      <c r="C93" s="19" t="n"/>
      <c r="D93" s="17" t="n"/>
      <c r="E93" s="20">
        <f>IF(A93="","",(SUMIF('Lernfortschritt'!B2:B100,B93,'Lernfortschritt'!D2:D100))/VLOOKUP(B93,'Pruefungen'!A2:E100,2,FALSE))</f>
        <v/>
      </c>
    </row>
    <row r="94">
      <c r="A94" s="18" t="n"/>
      <c r="B94" s="17" t="n"/>
      <c r="C94" s="19" t="n"/>
      <c r="D94" s="17" t="n"/>
      <c r="E94" s="20">
        <f>IF(A94="","",(SUMIF('Lernfortschritt'!B2:B100,B94,'Lernfortschritt'!D2:D100))/VLOOKUP(B94,'Pruefungen'!A2:E100,2,FALSE))</f>
        <v/>
      </c>
    </row>
    <row r="95">
      <c r="A95" s="18" t="n"/>
      <c r="B95" s="17" t="n"/>
      <c r="C95" s="19" t="n"/>
      <c r="D95" s="17" t="n"/>
      <c r="E95" s="20">
        <f>IF(A95="","",(SUMIF('Lernfortschritt'!B2:B100,B95,'Lernfortschritt'!D2:D100))/VLOOKUP(B95,'Pruefungen'!A2:E100,2,FALSE))</f>
        <v/>
      </c>
    </row>
    <row r="96">
      <c r="A96" s="18" t="n"/>
      <c r="B96" s="17" t="n"/>
      <c r="C96" s="19" t="n"/>
      <c r="D96" s="17" t="n"/>
      <c r="E96" s="20">
        <f>IF(A96="","",(SUMIF('Lernfortschritt'!B2:B100,B96,'Lernfortschritt'!D2:D100))/VLOOKUP(B96,'Pruefungen'!A2:E100,2,FALSE))</f>
        <v/>
      </c>
    </row>
    <row r="97">
      <c r="A97" s="18" t="n"/>
      <c r="B97" s="17" t="n"/>
      <c r="C97" s="19" t="n"/>
      <c r="D97" s="17" t="n"/>
      <c r="E97" s="20">
        <f>IF(A97="","",(SUMIF('Lernfortschritt'!B2:B100,B97,'Lernfortschritt'!D2:D100))/VLOOKUP(B97,'Pruefungen'!A2:E100,2,FALSE))</f>
        <v/>
      </c>
    </row>
    <row r="98">
      <c r="A98" s="18" t="n"/>
      <c r="B98" s="17" t="n"/>
      <c r="C98" s="19" t="n"/>
      <c r="D98" s="17" t="n"/>
      <c r="E98" s="20">
        <f>IF(A98="","",(SUMIF('Lernfortschritt'!B2:B100,B98,'Lernfortschritt'!D2:D100))/VLOOKUP(B98,'Pruefungen'!A2:E100,2,FALSE))</f>
        <v/>
      </c>
    </row>
    <row r="99">
      <c r="A99" s="18" t="n"/>
      <c r="B99" s="17" t="n"/>
      <c r="C99" s="19" t="n"/>
      <c r="D99" s="17" t="n"/>
      <c r="E99" s="20">
        <f>IF(A99="","",(SUMIF('Lernfortschritt'!B2:B100,B99,'Lernfortschritt'!D2:D100))/VLOOKUP(B99,'Pruefungen'!A2:E100,2,FALSE))</f>
        <v/>
      </c>
    </row>
    <row r="100">
      <c r="A100" s="18" t="n"/>
      <c r="B100" s="17" t="n"/>
      <c r="C100" s="19" t="n"/>
      <c r="D100" s="17" t="n"/>
      <c r="E100" s="20">
        <f>IF(A100="","",(SUMIF('Lernfortschritt'!B2:B100,B100,'Lernfortschritt'!D2:D100))/VLOOKUP(B100,'Pruefungen'!A2:E100,2,FALSE))</f>
        <v/>
      </c>
    </row>
    <row r="101">
      <c r="A101" s="18" t="n"/>
      <c r="B101" s="17" t="n"/>
      <c r="C101" s="19" t="n"/>
      <c r="D101" s="17" t="n"/>
      <c r="E101" s="20">
        <f>IF(A101="","",(SUMIF('Lernfortschritt'!B2:B100,B101,'Lernfortschritt'!D2:D100))/VLOOKUP(B101,'Pruefungen'!A2:E100,2,FALSE))</f>
        <v/>
      </c>
    </row>
    <row r="102">
      <c r="A102" s="18" t="n"/>
      <c r="B102" s="17" t="n"/>
      <c r="C102" s="19" t="n"/>
      <c r="D102" s="17" t="n"/>
      <c r="E102" s="20">
        <f>IF(A102="","",(SUMIF('Lernfortschritt'!B2:B100,B102,'Lernfortschritt'!D2:D100))/VLOOKUP(B102,'Pruefungen'!A2:E100,2,FALSE))</f>
        <v/>
      </c>
    </row>
    <row r="103">
      <c r="A103" s="18" t="n"/>
      <c r="B103" s="17" t="n"/>
      <c r="C103" s="19" t="n"/>
      <c r="D103" s="17" t="n"/>
      <c r="E103" s="20">
        <f>IF(A103="","",(SUMIF('Lernfortschritt'!B2:B100,B103,'Lernfortschritt'!D2:D100))/VLOOKUP(B103,'Pruefungen'!A2:E100,2,FALSE))</f>
        <v/>
      </c>
    </row>
    <row r="104">
      <c r="A104" s="18" t="n"/>
      <c r="B104" s="17" t="n"/>
      <c r="C104" s="19" t="n"/>
      <c r="D104" s="17" t="n"/>
      <c r="E104" s="20">
        <f>IF(A104="","",(SUMIF('Lernfortschritt'!B2:B100,B104,'Lernfortschritt'!D2:D100))/VLOOKUP(B104,'Pruefungen'!A2:E100,2,FALSE))</f>
        <v/>
      </c>
    </row>
  </sheetData>
  <conditionalFormatting sqref="E2:E104">
    <cfRule type="dataBar" priority="1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2" customWidth="1" min="4" max="4"/>
    <col width="14" customWidth="1" min="5" max="5"/>
  </cols>
  <sheetData>
    <row r="1" ht="32" customHeight="1">
      <c r="A1" s="16" t="inlineStr">
        <is>
          <t>Datum</t>
        </is>
      </c>
      <c r="B1" s="16" t="inlineStr">
        <is>
          <t>Kategorie</t>
        </is>
      </c>
      <c r="C1" s="16" t="inlineStr">
        <is>
          <t>Beschreibung</t>
        </is>
      </c>
      <c r="D1" s="16" t="inlineStr">
        <is>
          <t>Betrag</t>
        </is>
      </c>
      <c r="E1" s="16" t="inlineStr">
        <is>
          <t>Zahlungsart</t>
        </is>
      </c>
    </row>
    <row r="2">
      <c r="A2" s="18" t="n">
        <v>46032</v>
      </c>
      <c r="B2" s="17" t="inlineStr">
        <is>
          <t>Bücher</t>
        </is>
      </c>
      <c r="C2" s="17" t="inlineStr">
        <is>
          <t>Mathe-Skript</t>
        </is>
      </c>
      <c r="D2" s="21" t="n">
        <v>24.99</v>
      </c>
      <c r="E2" s="17" t="inlineStr">
        <is>
          <t>Kreditkarte</t>
        </is>
      </c>
    </row>
    <row r="3">
      <c r="A3" s="18" t="n">
        <v>46034</v>
      </c>
      <c r="B3" s="17" t="inlineStr">
        <is>
          <t>Kurs</t>
        </is>
      </c>
      <c r="C3" s="17" t="inlineStr">
        <is>
          <t>Online-Tutorium</t>
        </is>
      </c>
      <c r="D3" s="21" t="n">
        <v>49.9</v>
      </c>
      <c r="E3" s="17" t="inlineStr">
        <is>
          <t>PayPal</t>
        </is>
      </c>
    </row>
    <row r="4">
      <c r="A4" s="18" t="n">
        <v>46036</v>
      </c>
      <c r="B4" s="17" t="inlineStr">
        <is>
          <t>Material</t>
        </is>
      </c>
      <c r="C4" s="17" t="inlineStr">
        <is>
          <t>Notizblöcke</t>
        </is>
      </c>
      <c r="D4" s="21" t="n">
        <v>5.99</v>
      </c>
      <c r="E4" s="17" t="inlineStr">
        <is>
          <t>Bar</t>
        </is>
      </c>
    </row>
    <row r="5">
      <c r="A5" s="18" t="n"/>
      <c r="B5" s="17" t="n"/>
      <c r="C5" s="17" t="n"/>
      <c r="D5" s="21" t="n"/>
      <c r="E5" s="17" t="n"/>
    </row>
    <row r="6">
      <c r="A6" s="18" t="n"/>
      <c r="B6" s="17" t="n"/>
      <c r="C6" s="17" t="n"/>
      <c r="D6" s="21" t="n"/>
      <c r="E6" s="17" t="n"/>
    </row>
    <row r="7">
      <c r="A7" s="18" t="n"/>
      <c r="B7" s="17" t="n"/>
      <c r="C7" s="17" t="n"/>
      <c r="D7" s="21" t="n"/>
      <c r="E7" s="17" t="n"/>
    </row>
    <row r="8">
      <c r="A8" s="18" t="n"/>
      <c r="B8" s="17" t="n"/>
      <c r="C8" s="17" t="n"/>
      <c r="D8" s="21" t="n"/>
      <c r="E8" s="17" t="n"/>
    </row>
    <row r="9">
      <c r="A9" s="18" t="n"/>
      <c r="B9" s="17" t="n"/>
      <c r="C9" s="17" t="n"/>
      <c r="D9" s="21" t="n"/>
      <c r="E9" s="17" t="n"/>
    </row>
    <row r="10">
      <c r="A10" s="18" t="n"/>
      <c r="B10" s="17" t="n"/>
      <c r="C10" s="17" t="n"/>
      <c r="D10" s="21" t="n"/>
      <c r="E10" s="17" t="n"/>
    </row>
    <row r="11">
      <c r="A11" s="18" t="n"/>
      <c r="B11" s="17" t="n"/>
      <c r="C11" s="17" t="n"/>
      <c r="D11" s="21" t="n"/>
      <c r="E11" s="17" t="n"/>
    </row>
    <row r="12">
      <c r="A12" s="18" t="n"/>
      <c r="B12" s="17" t="n"/>
      <c r="C12" s="17" t="n"/>
      <c r="D12" s="21" t="n"/>
      <c r="E12" s="17" t="n"/>
    </row>
    <row r="13">
      <c r="A13" s="18" t="n"/>
      <c r="B13" s="17" t="n"/>
      <c r="C13" s="17" t="n"/>
      <c r="D13" s="21" t="n"/>
      <c r="E13" s="17" t="n"/>
    </row>
    <row r="14">
      <c r="A14" s="18" t="n"/>
      <c r="B14" s="17" t="n"/>
      <c r="C14" s="17" t="n"/>
      <c r="D14" s="21" t="n"/>
      <c r="E14" s="17" t="n"/>
    </row>
    <row r="15">
      <c r="A15" s="18" t="n"/>
      <c r="B15" s="17" t="n"/>
      <c r="C15" s="17" t="n"/>
      <c r="D15" s="21" t="n"/>
      <c r="E15" s="17" t="n"/>
    </row>
    <row r="16">
      <c r="A16" s="18" t="n"/>
      <c r="B16" s="17" t="n"/>
      <c r="C16" s="17" t="n"/>
      <c r="D16" s="21" t="n"/>
      <c r="E16" s="17" t="n"/>
    </row>
    <row r="17">
      <c r="A17" s="18" t="n"/>
      <c r="B17" s="17" t="n"/>
      <c r="C17" s="17" t="n"/>
      <c r="D17" s="21" t="n"/>
      <c r="E17" s="17" t="n"/>
    </row>
    <row r="18">
      <c r="A18" s="18" t="n"/>
      <c r="B18" s="17" t="n"/>
      <c r="C18" s="17" t="n"/>
      <c r="D18" s="21" t="n"/>
      <c r="E18" s="17" t="n"/>
    </row>
    <row r="19">
      <c r="A19" s="18" t="n"/>
      <c r="B19" s="17" t="n"/>
      <c r="C19" s="17" t="n"/>
      <c r="D19" s="21" t="n"/>
      <c r="E19" s="17" t="n"/>
    </row>
    <row r="20">
      <c r="A20" s="18" t="n"/>
      <c r="B20" s="17" t="n"/>
      <c r="C20" s="17" t="n"/>
      <c r="D20" s="21" t="n"/>
      <c r="E20" s="17" t="n"/>
    </row>
    <row r="21">
      <c r="A21" s="18" t="n"/>
      <c r="B21" s="17" t="n"/>
      <c r="C21" s="17" t="n"/>
      <c r="D21" s="21" t="n"/>
      <c r="E21" s="17" t="n"/>
    </row>
    <row r="22">
      <c r="A22" s="18" t="n"/>
      <c r="B22" s="17" t="n"/>
      <c r="C22" s="17" t="n"/>
      <c r="D22" s="21" t="n"/>
      <c r="E22" s="17" t="n"/>
    </row>
    <row r="23">
      <c r="A23" s="18" t="n"/>
      <c r="B23" s="17" t="n"/>
      <c r="C23" s="17" t="n"/>
      <c r="D23" s="21" t="n"/>
      <c r="E23" s="17" t="n"/>
    </row>
    <row r="24">
      <c r="A24" s="18" t="n"/>
      <c r="B24" s="17" t="n"/>
      <c r="C24" s="17" t="n"/>
      <c r="D24" s="21" t="n"/>
      <c r="E24" s="17" t="n"/>
    </row>
    <row r="25">
      <c r="A25" s="18" t="n"/>
      <c r="B25" s="17" t="n"/>
      <c r="C25" s="17" t="n"/>
      <c r="D25" s="21" t="n"/>
      <c r="E25" s="17" t="n"/>
    </row>
    <row r="26">
      <c r="A26" s="18" t="n"/>
      <c r="B26" s="17" t="n"/>
      <c r="C26" s="17" t="n"/>
      <c r="D26" s="21" t="n"/>
      <c r="E26" s="17" t="n"/>
    </row>
    <row r="27">
      <c r="A27" s="18" t="n"/>
      <c r="B27" s="17" t="n"/>
      <c r="C27" s="17" t="n"/>
      <c r="D27" s="21" t="n"/>
      <c r="E27" s="17" t="n"/>
    </row>
    <row r="28">
      <c r="A28" s="18" t="n"/>
      <c r="B28" s="17" t="n"/>
      <c r="C28" s="17" t="n"/>
      <c r="D28" s="21" t="n"/>
      <c r="E28" s="17" t="n"/>
    </row>
    <row r="29">
      <c r="A29" s="18" t="n"/>
      <c r="B29" s="17" t="n"/>
      <c r="C29" s="17" t="n"/>
      <c r="D29" s="21" t="n"/>
      <c r="E29" s="17" t="n"/>
    </row>
    <row r="30">
      <c r="A30" s="18" t="n"/>
      <c r="B30" s="17" t="n"/>
      <c r="C30" s="17" t="n"/>
      <c r="D30" s="21" t="n"/>
      <c r="E30" s="17" t="n"/>
    </row>
    <row r="31">
      <c r="A31" s="18" t="n"/>
      <c r="B31" s="17" t="n"/>
      <c r="C31" s="17" t="n"/>
      <c r="D31" s="21" t="n"/>
      <c r="E31" s="17" t="n"/>
    </row>
    <row r="32">
      <c r="A32" s="18" t="n"/>
      <c r="B32" s="17" t="n"/>
      <c r="C32" s="17" t="n"/>
      <c r="D32" s="21" t="n"/>
      <c r="E32" s="17" t="n"/>
    </row>
    <row r="33">
      <c r="A33" s="18" t="n"/>
      <c r="B33" s="17" t="n"/>
      <c r="C33" s="17" t="n"/>
      <c r="D33" s="21" t="n"/>
      <c r="E33" s="17" t="n"/>
    </row>
    <row r="34">
      <c r="A34" s="18" t="n"/>
      <c r="B34" s="17" t="n"/>
      <c r="C34" s="17" t="n"/>
      <c r="D34" s="21" t="n"/>
      <c r="E34" s="17" t="n"/>
    </row>
    <row r="35">
      <c r="A35" s="18" t="n"/>
      <c r="B35" s="17" t="n"/>
      <c r="C35" s="17" t="n"/>
      <c r="D35" s="21" t="n"/>
      <c r="E35" s="17" t="n"/>
    </row>
    <row r="36">
      <c r="A36" s="18" t="n"/>
      <c r="B36" s="17" t="n"/>
      <c r="C36" s="17" t="n"/>
      <c r="D36" s="21" t="n"/>
      <c r="E36" s="17" t="n"/>
    </row>
    <row r="37">
      <c r="A37" s="18" t="n"/>
      <c r="B37" s="17" t="n"/>
      <c r="C37" s="17" t="n"/>
      <c r="D37" s="21" t="n"/>
      <c r="E37" s="17" t="n"/>
    </row>
    <row r="38">
      <c r="A38" s="18" t="n"/>
      <c r="B38" s="17" t="n"/>
      <c r="C38" s="17" t="n"/>
      <c r="D38" s="21" t="n"/>
      <c r="E38" s="17" t="n"/>
    </row>
    <row r="39">
      <c r="A39" s="18" t="n"/>
      <c r="B39" s="17" t="n"/>
      <c r="C39" s="17" t="n"/>
      <c r="D39" s="21" t="n"/>
      <c r="E39" s="17" t="n"/>
    </row>
    <row r="40">
      <c r="A40" s="18" t="n"/>
      <c r="B40" s="17" t="n"/>
      <c r="C40" s="17" t="n"/>
      <c r="D40" s="21" t="n"/>
      <c r="E40" s="17" t="n"/>
    </row>
    <row r="41">
      <c r="A41" s="18" t="n"/>
      <c r="B41" s="17" t="n"/>
      <c r="C41" s="17" t="n"/>
      <c r="D41" s="21" t="n"/>
      <c r="E41" s="17" t="n"/>
    </row>
    <row r="42">
      <c r="A42" s="18" t="n"/>
      <c r="B42" s="17" t="n"/>
      <c r="C42" s="17" t="n"/>
      <c r="D42" s="21" t="n"/>
      <c r="E42" s="17" t="n"/>
    </row>
    <row r="43">
      <c r="A43" s="18" t="n"/>
      <c r="B43" s="17" t="n"/>
      <c r="C43" s="17" t="n"/>
      <c r="D43" s="21" t="n"/>
      <c r="E43" s="17" t="n"/>
    </row>
    <row r="44">
      <c r="A44" s="18" t="n"/>
      <c r="B44" s="17" t="n"/>
      <c r="C44" s="17" t="n"/>
      <c r="D44" s="21" t="n"/>
      <c r="E44" s="17" t="n"/>
    </row>
    <row r="45">
      <c r="A45" s="18" t="n"/>
      <c r="B45" s="17" t="n"/>
      <c r="C45" s="17" t="n"/>
      <c r="D45" s="21" t="n"/>
      <c r="E45" s="17" t="n"/>
    </row>
    <row r="46">
      <c r="A46" s="18" t="n"/>
      <c r="B46" s="17" t="n"/>
      <c r="C46" s="17" t="n"/>
      <c r="D46" s="21" t="n"/>
      <c r="E46" s="17" t="n"/>
    </row>
    <row r="47">
      <c r="A47" s="18" t="n"/>
      <c r="B47" s="17" t="n"/>
      <c r="C47" s="17" t="n"/>
      <c r="D47" s="21" t="n"/>
      <c r="E47" s="17" t="n"/>
    </row>
    <row r="48">
      <c r="A48" s="18" t="n"/>
      <c r="B48" s="17" t="n"/>
      <c r="C48" s="17" t="n"/>
      <c r="D48" s="21" t="n"/>
      <c r="E48" s="17" t="n"/>
    </row>
    <row r="49">
      <c r="A49" s="18" t="n"/>
      <c r="B49" s="17" t="n"/>
      <c r="C49" s="17" t="n"/>
      <c r="D49" s="21" t="n"/>
      <c r="E49" s="17" t="n"/>
    </row>
    <row r="50">
      <c r="A50" s="18" t="n"/>
      <c r="B50" s="17" t="n"/>
      <c r="C50" s="17" t="n"/>
      <c r="D50" s="21" t="n"/>
      <c r="E50" s="17" t="n"/>
    </row>
    <row r="51">
      <c r="A51" s="18" t="n"/>
      <c r="B51" s="17" t="n"/>
      <c r="C51" s="17" t="n"/>
      <c r="D51" s="21" t="n"/>
      <c r="E51" s="17" t="n"/>
    </row>
    <row r="52">
      <c r="A52" s="18" t="n"/>
      <c r="B52" s="17" t="n"/>
      <c r="C52" s="17" t="n"/>
      <c r="D52" s="21" t="n"/>
      <c r="E52" s="17" t="n"/>
    </row>
    <row r="53">
      <c r="A53" s="18" t="n"/>
      <c r="B53" s="17" t="n"/>
      <c r="C53" s="17" t="n"/>
      <c r="D53" s="21" t="n"/>
      <c r="E53" s="17" t="n"/>
    </row>
    <row r="54">
      <c r="A54" s="18" t="n"/>
      <c r="B54" s="17" t="n"/>
      <c r="C54" s="17" t="n"/>
      <c r="D54" s="21" t="n"/>
      <c r="E54" s="17" t="n"/>
    </row>
    <row r="55">
      <c r="A55" s="18" t="n"/>
      <c r="B55" s="17" t="n"/>
      <c r="C55" s="17" t="n"/>
      <c r="D55" s="21" t="n"/>
      <c r="E55" s="17" t="n"/>
    </row>
    <row r="56">
      <c r="A56" s="18" t="n"/>
      <c r="B56" s="17" t="n"/>
      <c r="C56" s="17" t="n"/>
      <c r="D56" s="21" t="n"/>
      <c r="E56" s="17" t="n"/>
    </row>
    <row r="57">
      <c r="A57" s="18" t="n"/>
      <c r="B57" s="17" t="n"/>
      <c r="C57" s="17" t="n"/>
      <c r="D57" s="21" t="n"/>
      <c r="E57" s="17" t="n"/>
    </row>
    <row r="58">
      <c r="A58" s="18" t="n"/>
      <c r="B58" s="17" t="n"/>
      <c r="C58" s="17" t="n"/>
      <c r="D58" s="21" t="n"/>
      <c r="E58" s="17" t="n"/>
    </row>
    <row r="59">
      <c r="A59" s="18" t="n"/>
      <c r="B59" s="17" t="n"/>
      <c r="C59" s="17" t="n"/>
      <c r="D59" s="21" t="n"/>
      <c r="E59" s="17" t="n"/>
    </row>
    <row r="60">
      <c r="A60" s="18" t="n"/>
      <c r="B60" s="17" t="n"/>
      <c r="C60" s="17" t="n"/>
      <c r="D60" s="21" t="n"/>
      <c r="E60" s="17" t="n"/>
    </row>
    <row r="61">
      <c r="A61" s="18" t="n"/>
      <c r="B61" s="17" t="n"/>
      <c r="C61" s="17" t="n"/>
      <c r="D61" s="21" t="n"/>
      <c r="E61" s="17" t="n"/>
    </row>
    <row r="62">
      <c r="A62" s="18" t="n"/>
      <c r="B62" s="17" t="n"/>
      <c r="C62" s="17" t="n"/>
      <c r="D62" s="21" t="n"/>
      <c r="E62" s="17" t="n"/>
    </row>
    <row r="63">
      <c r="A63" s="18" t="n"/>
      <c r="B63" s="17" t="n"/>
      <c r="C63" s="17" t="n"/>
      <c r="D63" s="21" t="n"/>
      <c r="E63" s="17" t="n"/>
    </row>
    <row r="64">
      <c r="A64" s="18" t="n"/>
      <c r="B64" s="17" t="n"/>
      <c r="C64" s="17" t="n"/>
      <c r="D64" s="21" t="n"/>
      <c r="E64" s="17" t="n"/>
    </row>
  </sheetData>
  <conditionalFormatting sqref="D2:D64">
    <cfRule type="cellIs" priority="1" operator="lessThan" dxfId="0">
      <formula>0</formula>
    </cfRule>
  </conditionalFormatting>
  <dataValidations count="2">
    <dataValidation sqref="B2:B64" showDropDown="0" showInputMessage="0" showErrorMessage="0" allowBlank="1" type="list">
      <formula1>"Bücher,Kurse,Material,Sonstiges"</formula1>
    </dataValidation>
    <dataValidation sqref="E2:E64" showDropDown="0" showInputMessage="0" showErrorMessage="0" allowBlank="1" type="list">
      <formula1>"Bar,Kreditkarte,PayPal,Überweisung"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Prüfungsvorbereitungs-Budget-Tracker &amp; Lernplaner für Studierende</dc:title>
  <dcterms:created xsi:type="dcterms:W3CDTF">2026-10-16T07:19:38Z</dcterms:created>
  <dcterms:modified xsi:type="dcterms:W3CDTF">2026-10-16T07:19:38Z</dcterms:modified>
</cp:coreProperties>
</file>