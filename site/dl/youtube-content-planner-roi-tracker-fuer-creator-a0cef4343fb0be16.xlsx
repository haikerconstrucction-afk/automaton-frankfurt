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Content Kalender" sheetId="2" state="visible" r:id="rId2"/>
    <sheet name="Performance Tracking" sheetId="3" state="visible" r:id="rId3"/>
    <sheet name="ROI-Analy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YouTube Content Planner &amp; ROI-Tracker für Creator</t>
        </is>
      </c>
    </row>
    <row r="2">
      <c r="A2" t="inlineStr">
        <is>
          <t>1. Schritt 1: Tragen Sie Ihre geplanten Video-Themen im Kalender ein</t>
        </is>
      </c>
    </row>
    <row r="3">
      <c r="A3" t="inlineStr">
        <is>
          <t>2. Schritt 2: Erfassen Sie nach Veröffentlichung die tatsächlichen Video-Kennzahlen</t>
        </is>
      </c>
    </row>
    <row r="4">
      <c r="A4" t="inlineStr">
        <is>
          <t>3. Schritt 3: Analysieren Sie die automatisch berechneten ROI-Werte</t>
        </is>
      </c>
    </row>
    <row r="5">
      <c r="A5" t="inlineStr">
        <is>
          <t>4. Schritt 4: Nutzen Sie die Erkenntnisse für bessere Content-Entscheidungen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Datum</t>
        </is>
      </c>
      <c r="B1" s="2" t="inlineStr">
        <is>
          <t>Video-Titel</t>
        </is>
      </c>
      <c r="C1" s="2" t="inlineStr">
        <is>
          <t>Themen-Kategorie</t>
        </is>
      </c>
      <c r="D1" s="2" t="inlineStr">
        <is>
          <t>Status (Entwurf/Gedreht/Veröffentlicht)</t>
        </is>
      </c>
      <c r="E1" s="2" t="inlineStr">
        <is>
          <t>Geplante Veröffentlichung</t>
        </is>
      </c>
      <c r="F1" s="2" t="inlineStr">
        <is>
          <t>Tatsächliche Veröffentlichung</t>
        </is>
      </c>
      <c r="G1" s="2" t="inlineStr">
        <is>
          <t>Produktionszeit (h)</t>
        </is>
      </c>
    </row>
    <row r="2">
      <c r="A2" t="inlineStr">
        <is>
          <t>01.03.2026</t>
        </is>
      </c>
      <c r="B2" t="inlineStr">
        <is>
          <t>5 Tipps für bessere Thumbnails</t>
        </is>
      </c>
      <c r="C2" t="inlineStr">
        <is>
          <t>Tutorial</t>
        </is>
      </c>
      <c r="D2" t="inlineStr">
        <is>
          <t>Veröffentlicht</t>
        </is>
      </c>
      <c r="E2" t="inlineStr">
        <is>
          <t>01.03.2026</t>
        </is>
      </c>
      <c r="F2" t="inlineStr">
        <is>
          <t>01.03.2026</t>
        </is>
      </c>
      <c r="G2" t="n">
        <v>4</v>
      </c>
    </row>
    <row r="3">
      <c r="A3" t="inlineStr">
        <is>
          <t>15.03.2026</t>
        </is>
      </c>
      <c r="B3" t="inlineStr">
        <is>
          <t>Equipment-Update 2026</t>
        </is>
      </c>
      <c r="C3" t="inlineStr">
        <is>
          <t>Ausstattung</t>
        </is>
      </c>
      <c r="D3" t="inlineStr">
        <is>
          <t>Gedreht</t>
        </is>
      </c>
      <c r="E3" t="inlineStr">
        <is>
          <t>15.03.2026</t>
        </is>
      </c>
      <c r="F3" t="inlineStr"/>
      <c r="G3" t="n">
        <v>3</v>
      </c>
    </row>
    <row r="4">
      <c r="A4" t="inlineStr">
        <is>
          <t>22.03.2026</t>
        </is>
      </c>
      <c r="B4" t="inlineStr">
        <is>
          <t>Interview mit erfolgreichem Creator</t>
        </is>
      </c>
      <c r="C4" t="inlineStr">
        <is>
          <t>Interview</t>
        </is>
      </c>
      <c r="D4" t="inlineStr">
        <is>
          <t>Entwurf</t>
        </is>
      </c>
      <c r="E4" t="inlineStr">
        <is>
          <t>22.03.2026</t>
        </is>
      </c>
      <c r="F4" t="inlineStr"/>
      <c r="G4" t="inlineStr"/>
    </row>
    <row r="5">
      <c r="A5" t="inlineStr">
        <is>
          <t>05.04.2026</t>
        </is>
      </c>
      <c r="B5" t="inlineStr">
        <is>
          <t>Monatsrückblick März</t>
        </is>
      </c>
      <c r="C5" t="inlineStr">
        <is>
          <t>Update</t>
        </is>
      </c>
      <c r="D5" t="inlineStr">
        <is>
          <t>Geplant</t>
        </is>
      </c>
      <c r="E5" t="inlineStr">
        <is>
          <t>05.04.2026</t>
        </is>
      </c>
      <c r="F5" t="inlineStr"/>
      <c r="G5" t="inlineStr"/>
    </row>
    <row r="6">
      <c r="A6" t="inlineStr">
        <is>
          <t>12.04.2026</t>
        </is>
      </c>
      <c r="B6" t="inlineStr">
        <is>
          <t>Q&amp;A mit der Community</t>
        </is>
      </c>
      <c r="C6" t="inlineStr">
        <is>
          <t>Interaktion</t>
        </is>
      </c>
      <c r="D6" t="inlineStr">
        <is>
          <t>Geplant</t>
        </is>
      </c>
      <c r="E6" t="inlineStr">
        <is>
          <t>12.04.2026</t>
        </is>
      </c>
      <c r="F6" t="inlineStr"/>
      <c r="G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/>
      <c r="B37" s="3" t="inlineStr"/>
      <c r="C37" s="3" t="inlineStr"/>
      <c r="D37" s="3" t="inlineStr"/>
      <c r="E37" s="3" t="inlineStr"/>
      <c r="F37" s="3">
        <f>SUM(G2:G40)</f>
        <v/>
      </c>
      <c r="G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Video-Titel</t>
        </is>
      </c>
      <c r="B1" s="2" t="inlineStr">
        <is>
          <t>Veröffentlichungsdatum</t>
        </is>
      </c>
      <c r="C1" s="2" t="inlineStr">
        <is>
          <t>Views (7 Tage)</t>
        </is>
      </c>
      <c r="D1" s="2" t="inlineStr">
        <is>
          <t>Watch Time (Min)</t>
        </is>
      </c>
      <c r="E1" s="2" t="inlineStr">
        <is>
          <t>CTR (%)</t>
        </is>
      </c>
      <c r="F1" s="2" t="inlineStr">
        <is>
          <t>Einnahmen (€)</t>
        </is>
      </c>
    </row>
    <row r="2">
      <c r="A2" t="inlineStr">
        <is>
          <t>5 Tipps für bessere Thumbnails</t>
        </is>
      </c>
      <c r="B2" t="inlineStr">
        <is>
          <t>01.03.2026</t>
        </is>
      </c>
      <c r="C2" t="n">
        <v>5421</v>
      </c>
      <c r="D2" t="n">
        <v>32526</v>
      </c>
      <c r="E2" t="n">
        <v>8.199999999999999</v>
      </c>
      <c r="F2" t="n">
        <v>127.5</v>
      </c>
    </row>
    <row r="3">
      <c r="A3" t="inlineStr">
        <is>
          <t>Mein Setup 2025</t>
        </is>
      </c>
      <c r="B3" t="inlineStr">
        <is>
          <t>15.02.2026</t>
        </is>
      </c>
      <c r="C3" t="n">
        <v>12543</v>
      </c>
      <c r="D3" t="n">
        <v>75258</v>
      </c>
      <c r="E3" t="n">
        <v>6.8</v>
      </c>
      <c r="F3" t="n">
        <v>210.8</v>
      </c>
    </row>
    <row r="4">
      <c r="A4" t="inlineStr">
        <is>
          <t>Lighting Hacks für kleine Räume</t>
        </is>
      </c>
      <c r="B4" t="inlineStr">
        <is>
          <t>08.02.2026</t>
        </is>
      </c>
      <c r="C4" t="n">
        <v>8723</v>
      </c>
      <c r="D4" t="n">
        <v>52338</v>
      </c>
      <c r="E4" t="n">
        <v>9.1</v>
      </c>
      <c r="F4" t="n">
        <v>165.4</v>
      </c>
    </row>
    <row r="5">
      <c r="A5" t="inlineStr">
        <is>
          <t>Der perfekte Kanal-Trailer</t>
        </is>
      </c>
      <c r="B5" t="inlineStr">
        <is>
          <t>25.01.2026</t>
        </is>
      </c>
      <c r="C5" t="n">
        <v>3578</v>
      </c>
      <c r="D5" t="n">
        <v>21468</v>
      </c>
      <c r="E5" t="n">
        <v>5.9</v>
      </c>
      <c r="F5" t="n">
        <v>42.3</v>
      </c>
    </row>
    <row r="6">
      <c r="A6" t="inlineStr">
        <is>
          <t>Wie ich auf 10k Abos kam</t>
        </is>
      </c>
      <c r="B6" t="inlineStr">
        <is>
          <t>12.01.2026</t>
        </is>
      </c>
      <c r="C6" t="n">
        <v>12467</v>
      </c>
      <c r="D6" t="n">
        <v>74802</v>
      </c>
      <c r="E6" t="n">
        <v>7.5</v>
      </c>
      <c r="F6" t="n">
        <v>198.7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/>
      <c r="B37" s="3" t="inlineStr"/>
      <c r="C37" s="3">
        <f>SUM(C2:C40)</f>
        <v/>
      </c>
      <c r="D37" s="3">
        <f>SUM(D2:D40)</f>
        <v/>
      </c>
      <c r="E37" s="3" t="inlineStr"/>
      <c r="F37" s="3">
        <f>SUM(F2:F40)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Video-Titel</t>
        </is>
      </c>
      <c r="B1" s="2" t="inlineStr">
        <is>
          <t>Produktionszeit (h)</t>
        </is>
      </c>
      <c r="C1" s="2" t="inlineStr">
        <is>
          <t>Produktionskosten (€)</t>
        </is>
      </c>
      <c r="D1" s="2" t="inlineStr">
        <is>
          <t>Einnahmen (€)</t>
        </is>
      </c>
      <c r="E1" s="2" t="inlineStr">
        <is>
          <t>ROI (%)</t>
        </is>
      </c>
      <c r="F1" s="2" t="inlineStr">
        <is>
          <t>Wirkliche Kosten/Min</t>
        </is>
      </c>
    </row>
    <row r="2">
      <c r="A2" t="inlineStr">
        <is>
          <t>5 Tipps für bessere Thumbnails</t>
        </is>
      </c>
      <c r="B2" t="n">
        <v>4</v>
      </c>
      <c r="C2" t="n">
        <v>200</v>
      </c>
      <c r="D2" t="n">
        <v>127.5</v>
      </c>
      <c r="E2">
        <f>-((B2*25)-D2)/(B2*25)</f>
        <v/>
      </c>
      <c r="F2">
        <f>B2*25/D2</f>
        <v/>
      </c>
    </row>
    <row r="3">
      <c r="A3" t="inlineStr">
        <is>
          <t>Mein Setup 2025</t>
        </is>
      </c>
      <c r="B3" t="n">
        <v>6</v>
      </c>
      <c r="C3" t="n">
        <v>300</v>
      </c>
      <c r="D3" t="n">
        <v>210.8</v>
      </c>
      <c r="E3">
        <f>-((B3*25)-D3)/(B3*25)</f>
        <v/>
      </c>
      <c r="F3">
        <f>B2*25/D2</f>
        <v/>
      </c>
    </row>
    <row r="4">
      <c r="A4" t="inlineStr">
        <is>
          <t>Lighting Hacks für kleine Räume</t>
        </is>
      </c>
      <c r="B4" t="n">
        <v>3</v>
      </c>
      <c r="C4" t="n">
        <v>150</v>
      </c>
      <c r="D4" t="n">
        <v>165.4</v>
      </c>
      <c r="E4">
        <f>-((B4*25)-D4)/(B4*25)</f>
        <v/>
      </c>
      <c r="F4">
        <f>B2*25/D2</f>
        <v/>
      </c>
    </row>
    <row r="5">
      <c r="A5" t="inlineStr">
        <is>
          <t>Der perfekte Kanal-Trailer</t>
        </is>
      </c>
      <c r="B5" t="n">
        <v>8</v>
      </c>
      <c r="C5" t="n">
        <v>400</v>
      </c>
      <c r="D5" t="n">
        <v>42.3</v>
      </c>
      <c r="E5">
        <f>-((B5*25)-D5)/(B5*25)</f>
        <v/>
      </c>
      <c r="F5">
        <f>B2*25/D2</f>
        <v/>
      </c>
    </row>
    <row r="6">
      <c r="A6" t="inlineStr">
        <is>
          <t>Wie ich auf 10k Abos kam</t>
        </is>
      </c>
      <c r="B6" t="n">
        <v>5</v>
      </c>
      <c r="C6" t="n">
        <v>250</v>
      </c>
      <c r="D6" t="n">
        <v>198.7</v>
      </c>
      <c r="E6">
        <f>-((B6*25)-D6)/(B6*25)</f>
        <v/>
      </c>
      <c r="F6">
        <f>B2*25/D2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/>
      <c r="B37" s="3">
        <f>SUM(B2:B40)</f>
        <v/>
      </c>
      <c r="C37" s="3">
        <f>SUM(C2:C40)</f>
        <v/>
      </c>
      <c r="D37" s="3">
        <f>SUM(D2:D40)</f>
        <v/>
      </c>
      <c r="E37" s="3">
        <f>AVERAGE(E2:E40)</f>
        <v/>
      </c>
      <c r="F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2026-09-27T08:55:14Z</dcterms:created>
  <dcterms:modified xsi:type="dcterms:W3CDTF">2026-09-27T08:55:14Z</dcterms:modified>
</cp:coreProperties>
</file>