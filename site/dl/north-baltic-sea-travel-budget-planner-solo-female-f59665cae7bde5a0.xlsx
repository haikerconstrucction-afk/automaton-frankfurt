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Expenses" sheetId="3" state="visible" r:id="rId3"/>
    <sheet name="ExchangeRates" sheetId="4" state="visible" r:id="rId4"/>
    <sheet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'Overview'!$A$2:$A$5</f>
            </numRef>
          </cat>
          <val>
            <numRef>
              <f>'Overview'!$C$2:$C$5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Expenses" displayName="T_Daily_Expenses" ref="A1:F66" headerRowCount="1">
  <autoFilter ref="A1:F66"/>
  <tableColumns count="6">
    <tableColumn id="1" name="Date"/>
    <tableColumn id="2" name="Category"/>
    <tableColumn id="3" name="Description"/>
    <tableColumn id="4" name="Amount"/>
    <tableColumn id="5" name="Currency"/>
    <tableColumn id="6" name="Converted (EUR)"/>
  </tableColumns>
  <tableStyleInfo name="TableStyleMedium7" showRowStripes="1"/>
</table>
</file>

<file path=xl/tables/table2.xml><?xml version="1.0" encoding="utf-8"?>
<table xmlns="http://schemas.openxmlformats.org/spreadsheetml/2006/main" id="2" name="T_ExchangeRates" displayName="T_ExchangeRates" ref="A1:B35" headerRowCount="1">
  <autoFilter ref="A1:B35"/>
  <tableColumns count="2">
    <tableColumn id="1" name="Currency"/>
    <tableColumn id="2" name="Rate"/>
  </tableColumns>
  <tableStyleInfo name="TableStyleMedium7" showRowStripes="1"/>
</table>
</file>

<file path=xl/tables/table3.xml><?xml version="1.0" encoding="utf-8"?>
<table xmlns="http://schemas.openxmlformats.org/spreadsheetml/2006/main" id="3" name="T_Overview" displayName="T_Overview" ref="A1:D35" headerRowCount="1">
  <autoFilter ref="A1:D35"/>
  <tableColumns count="4">
    <tableColumn id="1" name="Category"/>
    <tableColumn id="2" name="Planned"/>
    <tableColumn id="3" name="Spent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Expenses'!A1" TargetMode="External" Id="rId2" /><Relationship Type="http://schemas.openxmlformats.org/officeDocument/2006/relationships/hyperlink" Target="#'ExchangeRates'!A1" TargetMode="External" Id="rId3" /><Relationship Type="http://schemas.openxmlformats.org/officeDocument/2006/relationships/hyperlink" Target="#'Overview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North &amp; Baltic Sea Travel Budget Planner for Solo Female Travelers</t>
        </is>
      </c>
    </row>
    <row r="3" ht="45" customHeight="1">
      <c r="C3" s="2" t="inlineStr">
        <is>
          <t>Track all travel expenses in one place with automated calculations. Perfect for stress-free solo travel planning along Germany's scenic coastal routes.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planned budget in the Overview sheet</t>
        </is>
      </c>
    </row>
    <row r="7" ht="18" customHeight="1">
      <c r="B7" s="4" t="inlineStr">
        <is>
          <t>2.</t>
        </is>
      </c>
      <c r="C7" s="5" t="inlineStr">
        <is>
          <t>Log expenses daily in the Tracking sheets</t>
        </is>
      </c>
    </row>
    <row r="8" ht="18" customHeight="1">
      <c r="B8" s="4" t="inlineStr">
        <is>
          <t>3.</t>
        </is>
      </c>
      <c r="C8" s="5" t="inlineStr">
        <is>
          <t>Check Dashboard for real-time spending status</t>
        </is>
      </c>
    </row>
    <row r="9" ht="18" customHeight="1">
      <c r="B9" s="4" t="inlineStr">
        <is>
          <t>4.</t>
        </is>
      </c>
      <c r="C9" s="5" t="inlineStr">
        <is>
          <t>Analyze spending patterns with visual charts</t>
        </is>
      </c>
    </row>
    <row r="10" ht="18" customHeight="1">
      <c r="B10" s="4" t="inlineStr">
        <is>
          <t>5.</t>
        </is>
      </c>
      <c r="C10" s="5" t="inlineStr">
        <is>
          <t>Export or print your final budget report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Daily Expenses</t>
        </is>
      </c>
    </row>
    <row r="17">
      <c r="C17" s="7" t="inlineStr">
        <is>
          <t>→ ExchangeRates</t>
        </is>
      </c>
    </row>
    <row r="18">
      <c r="C18" s="7" t="inlineStr">
        <is>
          <t>→ Overview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North &amp; Baltic Sea Travel Budget Planner for Solo F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SUM('Daily Expenses'!F2:F300)</f>
        <v/>
      </c>
    </row>
    <row r="6" ht="24" customHeight="1">
      <c r="B6" s="11" t="inlineStr">
        <is>
          <t>Daily Average</t>
        </is>
      </c>
      <c r="C6" s="12">
        <f>AVERAGE('Daily Expenses'!F2:F300)</f>
        <v/>
      </c>
    </row>
    <row r="7" ht="24" customHeight="1">
      <c r="B7" s="11" t="inlineStr">
        <is>
          <t>Exchange Used</t>
        </is>
      </c>
      <c r="C7" s="13">
        <f>COUNTIF('Daily Expenses'!E2:E300,"&lt;&gt;")-COUNTIF('Daily Expenses'!E2:E300,"EUR")</f>
        <v/>
      </c>
    </row>
    <row r="8" ht="24" customHeight="1">
      <c r="B8" s="11" t="inlineStr">
        <is>
          <t>Highest Expenses</t>
        </is>
      </c>
      <c r="C8" s="12">
        <f>MAX('Daily Expenses'!F2:F300)</f>
        <v/>
      </c>
    </row>
    <row r="9" ht="24" customHeight="1">
      <c r="B9" s="11" t="inlineStr">
        <is>
          <t>Most Spent Category</t>
        </is>
      </c>
      <c r="C9" s="14">
        <f>INDEX('Daily Expenses'!B2:B300,MATCH(MAX('Daily Expenses'!F2:F300),'Daily Expenses'!F2:F300,0))</f>
        <v/>
      </c>
    </row>
    <row r="10" ht="24" customHeight="1">
      <c r="B10" s="11" t="inlineStr">
        <is>
          <t>Budget Status</t>
        </is>
      </c>
      <c r="C10" s="14">
        <f>IF(SUM('Overview'!D2:D10)&gt;0,"Under budget","Over budget")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Currency</t>
        </is>
      </c>
      <c r="F1" s="15" t="inlineStr">
        <is>
          <t>Converted (EUR)</t>
        </is>
      </c>
    </row>
    <row r="2">
      <c r="A2" s="16" t="n">
        <v>46188</v>
      </c>
      <c r="B2" s="17" t="inlineStr">
        <is>
          <t>Accommodation</t>
        </is>
      </c>
      <c r="C2" s="17" t="inlineStr">
        <is>
          <t>Dunes Hostel - 2 nights</t>
        </is>
      </c>
      <c r="D2" s="18" t="n">
        <v>89</v>
      </c>
      <c r="E2" s="17" t="inlineStr">
        <is>
          <t>EUR</t>
        </is>
      </c>
      <c r="F2" s="19">
        <f>IF(E2="EUR",D2,D2*VLOOKUP(E2,ExchangeRates!A:B,2,FALSE))</f>
        <v/>
      </c>
    </row>
    <row r="3">
      <c r="A3" s="16" t="n">
        <v>46189</v>
      </c>
      <c r="B3" s="17" t="inlineStr">
        <is>
          <t>Transport</t>
        </is>
      </c>
      <c r="C3" s="17" t="inlineStr">
        <is>
          <t>Train Kiel to Lübeck</t>
        </is>
      </c>
      <c r="D3" s="18" t="n">
        <v>12.9</v>
      </c>
      <c r="E3" s="17" t="inlineStr">
        <is>
          <t>EUR</t>
        </is>
      </c>
      <c r="F3" s="19">
        <f>IF(E3="EUR",D3,D3*VLOOKUP(E3,ExchangeRates!A:B,2,FALSE))</f>
        <v/>
      </c>
    </row>
    <row r="4">
      <c r="A4" s="16" t="n">
        <v>46190</v>
      </c>
      <c r="B4" s="17" t="inlineStr">
        <is>
          <t>Food</t>
        </is>
      </c>
      <c r="C4" s="17" t="inlineStr">
        <is>
          <t>Lunch at Fischmarkt</t>
        </is>
      </c>
      <c r="D4" s="18" t="n">
        <v>15.5</v>
      </c>
      <c r="E4" s="17" t="inlineStr">
        <is>
          <t>EUR</t>
        </is>
      </c>
      <c r="F4" s="19">
        <f>IF(E4="EUR",D4,D4*VLOOKUP(E4,ExchangeRates!A:B,2,FALSE))</f>
        <v/>
      </c>
    </row>
    <row r="5">
      <c r="A5" s="16" t="n">
        <v>46191</v>
      </c>
      <c r="B5" s="17" t="inlineStr">
        <is>
          <t>Activities</t>
        </is>
      </c>
      <c r="C5" s="17" t="inlineStr">
        <is>
          <t>Boat tour Rügen</t>
        </is>
      </c>
      <c r="D5" s="18" t="n">
        <v>32</v>
      </c>
      <c r="E5" s="17" t="inlineStr">
        <is>
          <t>EUR</t>
        </is>
      </c>
      <c r="F5" s="19">
        <f>IF(E5="EUR",D5,D5*VLOOKUP(E5,ExchangeRates!A:B,2,FALSE))</f>
        <v/>
      </c>
    </row>
    <row r="6">
      <c r="A6" s="16" t="n">
        <v>46192</v>
      </c>
      <c r="B6" s="17" t="inlineStr">
        <is>
          <t>Shopping</t>
        </is>
      </c>
      <c r="C6" s="17" t="inlineStr">
        <is>
          <t>Souvenirs</t>
        </is>
      </c>
      <c r="D6" s="18" t="n">
        <v>24.99</v>
      </c>
      <c r="E6" s="17" t="inlineStr">
        <is>
          <t>EUR</t>
        </is>
      </c>
      <c r="F6" s="19">
        <f>IF(E6="EUR",D6,D6*VLOOKUP(E6,ExchangeRates!A:B,2,FALSE))</f>
        <v/>
      </c>
    </row>
    <row r="7">
      <c r="A7" s="16" t="n"/>
      <c r="B7" s="17" t="n"/>
      <c r="C7" s="17" t="n"/>
      <c r="D7" s="18" t="n"/>
      <c r="E7" s="17" t="n"/>
      <c r="F7" s="19">
        <f>IF(A7="","",IF(E7="EUR",D7,D7*VLOOKUP(E7,ExchangeRates!A:B,2,FALSE)))</f>
        <v/>
      </c>
    </row>
    <row r="8">
      <c r="A8" s="16" t="n"/>
      <c r="B8" s="17" t="n"/>
      <c r="C8" s="17" t="n"/>
      <c r="D8" s="18" t="n"/>
      <c r="E8" s="17" t="n"/>
      <c r="F8" s="19">
        <f>IF(A8="","",IF(E8="EUR",D8,D8*VLOOKUP(E8,ExchangeRates!A:B,2,FALSE)))</f>
        <v/>
      </c>
    </row>
    <row r="9">
      <c r="A9" s="16" t="n"/>
      <c r="B9" s="17" t="n"/>
      <c r="C9" s="17" t="n"/>
      <c r="D9" s="18" t="n"/>
      <c r="E9" s="17" t="n"/>
      <c r="F9" s="19">
        <f>IF(A9="","",IF(E9="EUR",D9,D9*VLOOKUP(E9,ExchangeRates!A:B,2,FALSE)))</f>
        <v/>
      </c>
    </row>
    <row r="10">
      <c r="A10" s="16" t="n"/>
      <c r="B10" s="17" t="n"/>
      <c r="C10" s="17" t="n"/>
      <c r="D10" s="18" t="n"/>
      <c r="E10" s="17" t="n"/>
      <c r="F10" s="19">
        <f>IF(A10="","",IF(E10="EUR",D10,D10*VLOOKUP(E10,ExchangeRates!A:B,2,FALSE)))</f>
        <v/>
      </c>
    </row>
    <row r="11">
      <c r="A11" s="16" t="n"/>
      <c r="B11" s="17" t="n"/>
      <c r="C11" s="17" t="n"/>
      <c r="D11" s="18" t="n"/>
      <c r="E11" s="17" t="n"/>
      <c r="F11" s="19">
        <f>IF(A11="","",IF(E11="EUR",D11,D11*VLOOKUP(E11,ExchangeRates!A:B,2,FALSE)))</f>
        <v/>
      </c>
    </row>
    <row r="12">
      <c r="A12" s="16" t="n"/>
      <c r="B12" s="17" t="n"/>
      <c r="C12" s="17" t="n"/>
      <c r="D12" s="18" t="n"/>
      <c r="E12" s="17" t="n"/>
      <c r="F12" s="19">
        <f>IF(A12="","",IF(E12="EUR",D12,D12*VLOOKUP(E12,ExchangeRates!A:B,2,FALSE)))</f>
        <v/>
      </c>
    </row>
    <row r="13">
      <c r="A13" s="16" t="n"/>
      <c r="B13" s="17" t="n"/>
      <c r="C13" s="17" t="n"/>
      <c r="D13" s="18" t="n"/>
      <c r="E13" s="17" t="n"/>
      <c r="F13" s="19">
        <f>IF(A13="","",IF(E13="EUR",D13,D13*VLOOKUP(E13,ExchangeRates!A:B,2,FALSE)))</f>
        <v/>
      </c>
    </row>
    <row r="14">
      <c r="A14" s="16" t="n"/>
      <c r="B14" s="17" t="n"/>
      <c r="C14" s="17" t="n"/>
      <c r="D14" s="18" t="n"/>
      <c r="E14" s="17" t="n"/>
      <c r="F14" s="19">
        <f>IF(A14="","",IF(E14="EUR",D14,D14*VLOOKUP(E14,ExchangeRates!A:B,2,FALSE)))</f>
        <v/>
      </c>
    </row>
    <row r="15">
      <c r="A15" s="16" t="n"/>
      <c r="B15" s="17" t="n"/>
      <c r="C15" s="17" t="n"/>
      <c r="D15" s="18" t="n"/>
      <c r="E15" s="17" t="n"/>
      <c r="F15" s="19">
        <f>IF(A15="","",IF(E15="EUR",D15,D15*VLOOKUP(E15,ExchangeRates!A:B,2,FALSE)))</f>
        <v/>
      </c>
    </row>
    <row r="16">
      <c r="A16" s="16" t="n"/>
      <c r="B16" s="17" t="n"/>
      <c r="C16" s="17" t="n"/>
      <c r="D16" s="18" t="n"/>
      <c r="E16" s="17" t="n"/>
      <c r="F16" s="19">
        <f>IF(A16="","",IF(E16="EUR",D16,D16*VLOOKUP(E16,ExchangeRates!A:B,2,FALSE)))</f>
        <v/>
      </c>
    </row>
    <row r="17">
      <c r="A17" s="16" t="n"/>
      <c r="B17" s="17" t="n"/>
      <c r="C17" s="17" t="n"/>
      <c r="D17" s="18" t="n"/>
      <c r="E17" s="17" t="n"/>
      <c r="F17" s="19">
        <f>IF(A17="","",IF(E17="EUR",D17,D17*VLOOKUP(E17,ExchangeRates!A:B,2,FALSE)))</f>
        <v/>
      </c>
    </row>
    <row r="18">
      <c r="A18" s="16" t="n"/>
      <c r="B18" s="17" t="n"/>
      <c r="C18" s="17" t="n"/>
      <c r="D18" s="18" t="n"/>
      <c r="E18" s="17" t="n"/>
      <c r="F18" s="19">
        <f>IF(A18="","",IF(E18="EUR",D18,D18*VLOOKUP(E18,ExchangeRates!A:B,2,FALSE)))</f>
        <v/>
      </c>
    </row>
    <row r="19">
      <c r="A19" s="16" t="n"/>
      <c r="B19" s="17" t="n"/>
      <c r="C19" s="17" t="n"/>
      <c r="D19" s="18" t="n"/>
      <c r="E19" s="17" t="n"/>
      <c r="F19" s="19">
        <f>IF(A19="","",IF(E19="EUR",D19,D19*VLOOKUP(E19,ExchangeRates!A:B,2,FALSE)))</f>
        <v/>
      </c>
    </row>
    <row r="20">
      <c r="A20" s="16" t="n"/>
      <c r="B20" s="17" t="n"/>
      <c r="C20" s="17" t="n"/>
      <c r="D20" s="18" t="n"/>
      <c r="E20" s="17" t="n"/>
      <c r="F20" s="19">
        <f>IF(A20="","",IF(E20="EUR",D20,D20*VLOOKUP(E20,ExchangeRates!A:B,2,FALSE)))</f>
        <v/>
      </c>
    </row>
    <row r="21">
      <c r="A21" s="16" t="n"/>
      <c r="B21" s="17" t="n"/>
      <c r="C21" s="17" t="n"/>
      <c r="D21" s="18" t="n"/>
      <c r="E21" s="17" t="n"/>
      <c r="F21" s="19">
        <f>IF(A21="","",IF(E21="EUR",D21,D21*VLOOKUP(E21,ExchangeRates!A:B,2,FALSE)))</f>
        <v/>
      </c>
    </row>
    <row r="22">
      <c r="A22" s="16" t="n"/>
      <c r="B22" s="17" t="n"/>
      <c r="C22" s="17" t="n"/>
      <c r="D22" s="18" t="n"/>
      <c r="E22" s="17" t="n"/>
      <c r="F22" s="19">
        <f>IF(A22="","",IF(E22="EUR",D22,D22*VLOOKUP(E22,ExchangeRates!A:B,2,FALSE)))</f>
        <v/>
      </c>
    </row>
    <row r="23">
      <c r="A23" s="16" t="n"/>
      <c r="B23" s="17" t="n"/>
      <c r="C23" s="17" t="n"/>
      <c r="D23" s="18" t="n"/>
      <c r="E23" s="17" t="n"/>
      <c r="F23" s="19">
        <f>IF(A23="","",IF(E23="EUR",D23,D23*VLOOKUP(E23,ExchangeRates!A:B,2,FALSE)))</f>
        <v/>
      </c>
    </row>
    <row r="24">
      <c r="A24" s="16" t="n"/>
      <c r="B24" s="17" t="n"/>
      <c r="C24" s="17" t="n"/>
      <c r="D24" s="18" t="n"/>
      <c r="E24" s="17" t="n"/>
      <c r="F24" s="19">
        <f>IF(A24="","",IF(E24="EUR",D24,D24*VLOOKUP(E24,ExchangeRates!A:B,2,FALSE)))</f>
        <v/>
      </c>
    </row>
    <row r="25">
      <c r="A25" s="16" t="n"/>
      <c r="B25" s="17" t="n"/>
      <c r="C25" s="17" t="n"/>
      <c r="D25" s="18" t="n"/>
      <c r="E25" s="17" t="n"/>
      <c r="F25" s="19">
        <f>IF(A25="","",IF(E25="EUR",D25,D25*VLOOKUP(E25,ExchangeRates!A:B,2,FALSE)))</f>
        <v/>
      </c>
    </row>
    <row r="26">
      <c r="A26" s="16" t="n"/>
      <c r="B26" s="17" t="n"/>
      <c r="C26" s="17" t="n"/>
      <c r="D26" s="18" t="n"/>
      <c r="E26" s="17" t="n"/>
      <c r="F26" s="19">
        <f>IF(A26="","",IF(E26="EUR",D26,D26*VLOOKUP(E26,ExchangeRates!A:B,2,FALSE)))</f>
        <v/>
      </c>
    </row>
    <row r="27">
      <c r="A27" s="16" t="n"/>
      <c r="B27" s="17" t="n"/>
      <c r="C27" s="17" t="n"/>
      <c r="D27" s="18" t="n"/>
      <c r="E27" s="17" t="n"/>
      <c r="F27" s="19">
        <f>IF(A27="","",IF(E27="EUR",D27,D27*VLOOKUP(E27,ExchangeRates!A:B,2,FALSE)))</f>
        <v/>
      </c>
    </row>
    <row r="28">
      <c r="A28" s="16" t="n"/>
      <c r="B28" s="17" t="n"/>
      <c r="C28" s="17" t="n"/>
      <c r="D28" s="18" t="n"/>
      <c r="E28" s="17" t="n"/>
      <c r="F28" s="19">
        <f>IF(A28="","",IF(E28="EUR",D28,D28*VLOOKUP(E28,ExchangeRates!A:B,2,FALSE)))</f>
        <v/>
      </c>
    </row>
    <row r="29">
      <c r="A29" s="16" t="n"/>
      <c r="B29" s="17" t="n"/>
      <c r="C29" s="17" t="n"/>
      <c r="D29" s="18" t="n"/>
      <c r="E29" s="17" t="n"/>
      <c r="F29" s="19">
        <f>IF(A29="","",IF(E29="EUR",D29,D29*VLOOKUP(E29,ExchangeRates!A:B,2,FALSE)))</f>
        <v/>
      </c>
    </row>
    <row r="30">
      <c r="A30" s="16" t="n"/>
      <c r="B30" s="17" t="n"/>
      <c r="C30" s="17" t="n"/>
      <c r="D30" s="18" t="n"/>
      <c r="E30" s="17" t="n"/>
      <c r="F30" s="19">
        <f>IF(A30="","",IF(E30="EUR",D30,D30*VLOOKUP(E30,ExchangeRates!A:B,2,FALSE)))</f>
        <v/>
      </c>
    </row>
    <row r="31">
      <c r="A31" s="16" t="n"/>
      <c r="B31" s="17" t="n"/>
      <c r="C31" s="17" t="n"/>
      <c r="D31" s="18" t="n"/>
      <c r="E31" s="17" t="n"/>
      <c r="F31" s="19">
        <f>IF(A31="","",IF(E31="EUR",D31,D31*VLOOKUP(E31,ExchangeRates!A:B,2,FALSE)))</f>
        <v/>
      </c>
    </row>
    <row r="32">
      <c r="A32" s="16" t="n"/>
      <c r="B32" s="17" t="n"/>
      <c r="C32" s="17" t="n"/>
      <c r="D32" s="18" t="n"/>
      <c r="E32" s="17" t="n"/>
      <c r="F32" s="19">
        <f>IF(A32="","",IF(E32="EUR",D32,D32*VLOOKUP(E32,ExchangeRates!A:B,2,FALSE)))</f>
        <v/>
      </c>
    </row>
    <row r="33">
      <c r="A33" s="16" t="n"/>
      <c r="B33" s="17" t="n"/>
      <c r="C33" s="17" t="n"/>
      <c r="D33" s="18" t="n"/>
      <c r="E33" s="17" t="n"/>
      <c r="F33" s="19">
        <f>IF(A33="","",IF(E33="EUR",D33,D33*VLOOKUP(E33,ExchangeRates!A:B,2,FALSE)))</f>
        <v/>
      </c>
    </row>
    <row r="34">
      <c r="A34" s="16" t="n"/>
      <c r="B34" s="17" t="n"/>
      <c r="C34" s="17" t="n"/>
      <c r="D34" s="18" t="n"/>
      <c r="E34" s="17" t="n"/>
      <c r="F34" s="19">
        <f>IF(A34="","",IF(E34="EUR",D34,D34*VLOOKUP(E34,ExchangeRates!A:B,2,FALSE)))</f>
        <v/>
      </c>
    </row>
    <row r="35">
      <c r="A35" s="16" t="n"/>
      <c r="B35" s="17" t="n"/>
      <c r="C35" s="17" t="n"/>
      <c r="D35" s="18" t="n"/>
      <c r="E35" s="17" t="n"/>
      <c r="F35" s="19">
        <f>IF(A35="","",IF(E35="EUR",D35,D35*VLOOKUP(E35,ExchangeRates!A:B,2,FALSE)))</f>
        <v/>
      </c>
    </row>
    <row r="36">
      <c r="A36" s="16" t="n"/>
      <c r="B36" s="17" t="n"/>
      <c r="C36" s="17" t="n"/>
      <c r="D36" s="18" t="n"/>
      <c r="E36" s="17" t="n"/>
      <c r="F36" s="19">
        <f>IF(A36="","",IF(E36="EUR",D36,D36*VLOOKUP(E36,ExchangeRates!A:B,2,FALSE)))</f>
        <v/>
      </c>
    </row>
    <row r="37">
      <c r="A37" s="16" t="n"/>
      <c r="B37" s="17" t="n"/>
      <c r="C37" s="17" t="n"/>
      <c r="D37" s="18" t="n"/>
      <c r="E37" s="17" t="n"/>
      <c r="F37" s="19">
        <f>IF(A37="","",IF(E37="EUR",D37,D37*VLOOKUP(E37,ExchangeRates!A:B,2,FALSE)))</f>
        <v/>
      </c>
    </row>
    <row r="38">
      <c r="A38" s="16" t="n"/>
      <c r="B38" s="17" t="n"/>
      <c r="C38" s="17" t="n"/>
      <c r="D38" s="18" t="n"/>
      <c r="E38" s="17" t="n"/>
      <c r="F38" s="19">
        <f>IF(A38="","",IF(E38="EUR",D38,D38*VLOOKUP(E38,ExchangeRates!A:B,2,FALSE)))</f>
        <v/>
      </c>
    </row>
    <row r="39">
      <c r="A39" s="16" t="n"/>
      <c r="B39" s="17" t="n"/>
      <c r="C39" s="17" t="n"/>
      <c r="D39" s="18" t="n"/>
      <c r="E39" s="17" t="n"/>
      <c r="F39" s="19">
        <f>IF(A39="","",IF(E39="EUR",D39,D39*VLOOKUP(E39,ExchangeRates!A:B,2,FALSE)))</f>
        <v/>
      </c>
    </row>
    <row r="40">
      <c r="A40" s="16" t="n"/>
      <c r="B40" s="17" t="n"/>
      <c r="C40" s="17" t="n"/>
      <c r="D40" s="18" t="n"/>
      <c r="E40" s="17" t="n"/>
      <c r="F40" s="19">
        <f>IF(A40="","",IF(E40="EUR",D40,D40*VLOOKUP(E40,ExchangeRates!A:B,2,FALSE)))</f>
        <v/>
      </c>
    </row>
    <row r="41">
      <c r="A41" s="16" t="n"/>
      <c r="B41" s="17" t="n"/>
      <c r="C41" s="17" t="n"/>
      <c r="D41" s="18" t="n"/>
      <c r="E41" s="17" t="n"/>
      <c r="F41" s="19">
        <f>IF(A41="","",IF(E41="EUR",D41,D41*VLOOKUP(E41,ExchangeRates!A:B,2,FALSE)))</f>
        <v/>
      </c>
    </row>
    <row r="42">
      <c r="A42" s="16" t="n"/>
      <c r="B42" s="17" t="n"/>
      <c r="C42" s="17" t="n"/>
      <c r="D42" s="18" t="n"/>
      <c r="E42" s="17" t="n"/>
      <c r="F42" s="19">
        <f>IF(A42="","",IF(E42="EUR",D42,D42*VLOOKUP(E42,ExchangeRates!A:B,2,FALSE)))</f>
        <v/>
      </c>
    </row>
    <row r="43">
      <c r="A43" s="16" t="n"/>
      <c r="B43" s="17" t="n"/>
      <c r="C43" s="17" t="n"/>
      <c r="D43" s="18" t="n"/>
      <c r="E43" s="17" t="n"/>
      <c r="F43" s="19">
        <f>IF(A43="","",IF(E43="EUR",D43,D43*VLOOKUP(E43,ExchangeRates!A:B,2,FALSE)))</f>
        <v/>
      </c>
    </row>
    <row r="44">
      <c r="A44" s="16" t="n"/>
      <c r="B44" s="17" t="n"/>
      <c r="C44" s="17" t="n"/>
      <c r="D44" s="18" t="n"/>
      <c r="E44" s="17" t="n"/>
      <c r="F44" s="19">
        <f>IF(A44="","",IF(E44="EUR",D44,D44*VLOOKUP(E44,ExchangeRates!A:B,2,FALSE)))</f>
        <v/>
      </c>
    </row>
    <row r="45">
      <c r="A45" s="16" t="n"/>
      <c r="B45" s="17" t="n"/>
      <c r="C45" s="17" t="n"/>
      <c r="D45" s="18" t="n"/>
      <c r="E45" s="17" t="n"/>
      <c r="F45" s="19">
        <f>IF(A45="","",IF(E45="EUR",D45,D45*VLOOKUP(E45,ExchangeRates!A:B,2,FALSE)))</f>
        <v/>
      </c>
    </row>
    <row r="46">
      <c r="A46" s="16" t="n"/>
      <c r="B46" s="17" t="n"/>
      <c r="C46" s="17" t="n"/>
      <c r="D46" s="18" t="n"/>
      <c r="E46" s="17" t="n"/>
      <c r="F46" s="19">
        <f>IF(A46="","",IF(E46="EUR",D46,D46*VLOOKUP(E46,ExchangeRates!A:B,2,FALSE)))</f>
        <v/>
      </c>
    </row>
    <row r="47">
      <c r="A47" s="16" t="n"/>
      <c r="B47" s="17" t="n"/>
      <c r="C47" s="17" t="n"/>
      <c r="D47" s="18" t="n"/>
      <c r="E47" s="17" t="n"/>
      <c r="F47" s="19">
        <f>IF(A47="","",IF(E47="EUR",D47,D47*VLOOKUP(E47,ExchangeRates!A:B,2,FALSE)))</f>
        <v/>
      </c>
    </row>
    <row r="48">
      <c r="A48" s="16" t="n"/>
      <c r="B48" s="17" t="n"/>
      <c r="C48" s="17" t="n"/>
      <c r="D48" s="18" t="n"/>
      <c r="E48" s="17" t="n"/>
      <c r="F48" s="19">
        <f>IF(A48="","",IF(E48="EUR",D48,D48*VLOOKUP(E48,ExchangeRates!A:B,2,FALSE)))</f>
        <v/>
      </c>
    </row>
    <row r="49">
      <c r="A49" s="16" t="n"/>
      <c r="B49" s="17" t="n"/>
      <c r="C49" s="17" t="n"/>
      <c r="D49" s="18" t="n"/>
      <c r="E49" s="17" t="n"/>
      <c r="F49" s="19">
        <f>IF(A49="","",IF(E49="EUR",D49,D49*VLOOKUP(E49,ExchangeRates!A:B,2,FALSE)))</f>
        <v/>
      </c>
    </row>
    <row r="50">
      <c r="A50" s="16" t="n"/>
      <c r="B50" s="17" t="n"/>
      <c r="C50" s="17" t="n"/>
      <c r="D50" s="18" t="n"/>
      <c r="E50" s="17" t="n"/>
      <c r="F50" s="19">
        <f>IF(A50="","",IF(E50="EUR",D50,D50*VLOOKUP(E50,ExchangeRates!A:B,2,FALSE)))</f>
        <v/>
      </c>
    </row>
    <row r="51">
      <c r="A51" s="16" t="n"/>
      <c r="B51" s="17" t="n"/>
      <c r="C51" s="17" t="n"/>
      <c r="D51" s="18" t="n"/>
      <c r="E51" s="17" t="n"/>
      <c r="F51" s="19">
        <f>IF(A51="","",IF(E51="EUR",D51,D51*VLOOKUP(E51,ExchangeRates!A:B,2,FALSE)))</f>
        <v/>
      </c>
    </row>
    <row r="52">
      <c r="A52" s="16" t="n"/>
      <c r="B52" s="17" t="n"/>
      <c r="C52" s="17" t="n"/>
      <c r="D52" s="18" t="n"/>
      <c r="E52" s="17" t="n"/>
      <c r="F52" s="19">
        <f>IF(A52="","",IF(E52="EUR",D52,D52*VLOOKUP(E52,ExchangeRates!A:B,2,FALSE)))</f>
        <v/>
      </c>
    </row>
    <row r="53">
      <c r="A53" s="16" t="n"/>
      <c r="B53" s="17" t="n"/>
      <c r="C53" s="17" t="n"/>
      <c r="D53" s="18" t="n"/>
      <c r="E53" s="17" t="n"/>
      <c r="F53" s="19">
        <f>IF(A53="","",IF(E53="EUR",D53,D53*VLOOKUP(E53,ExchangeRates!A:B,2,FALSE)))</f>
        <v/>
      </c>
    </row>
    <row r="54">
      <c r="A54" s="16" t="n"/>
      <c r="B54" s="17" t="n"/>
      <c r="C54" s="17" t="n"/>
      <c r="D54" s="18" t="n"/>
      <c r="E54" s="17" t="n"/>
      <c r="F54" s="19">
        <f>IF(A54="","",IF(E54="EUR",D54,D54*VLOOKUP(E54,ExchangeRates!A:B,2,FALSE)))</f>
        <v/>
      </c>
    </row>
    <row r="55">
      <c r="A55" s="16" t="n"/>
      <c r="B55" s="17" t="n"/>
      <c r="C55" s="17" t="n"/>
      <c r="D55" s="18" t="n"/>
      <c r="E55" s="17" t="n"/>
      <c r="F55" s="19">
        <f>IF(A55="","",IF(E55="EUR",D55,D55*VLOOKUP(E55,ExchangeRates!A:B,2,FALSE)))</f>
        <v/>
      </c>
    </row>
    <row r="56">
      <c r="A56" s="16" t="n"/>
      <c r="B56" s="17" t="n"/>
      <c r="C56" s="17" t="n"/>
      <c r="D56" s="18" t="n"/>
      <c r="E56" s="17" t="n"/>
      <c r="F56" s="19">
        <f>IF(A56="","",IF(E56="EUR",D56,D56*VLOOKUP(E56,ExchangeRates!A:B,2,FALSE)))</f>
        <v/>
      </c>
    </row>
    <row r="57">
      <c r="A57" s="16" t="n"/>
      <c r="B57" s="17" t="n"/>
      <c r="C57" s="17" t="n"/>
      <c r="D57" s="18" t="n"/>
      <c r="E57" s="17" t="n"/>
      <c r="F57" s="19">
        <f>IF(A57="","",IF(E57="EUR",D57,D57*VLOOKUP(E57,ExchangeRates!A:B,2,FALSE)))</f>
        <v/>
      </c>
    </row>
    <row r="58">
      <c r="A58" s="16" t="n"/>
      <c r="B58" s="17" t="n"/>
      <c r="C58" s="17" t="n"/>
      <c r="D58" s="18" t="n"/>
      <c r="E58" s="17" t="n"/>
      <c r="F58" s="19">
        <f>IF(A58="","",IF(E58="EUR",D58,D58*VLOOKUP(E58,ExchangeRates!A:B,2,FALSE)))</f>
        <v/>
      </c>
    </row>
    <row r="59">
      <c r="A59" s="16" t="n"/>
      <c r="B59" s="17" t="n"/>
      <c r="C59" s="17" t="n"/>
      <c r="D59" s="18" t="n"/>
      <c r="E59" s="17" t="n"/>
      <c r="F59" s="19">
        <f>IF(A59="","",IF(E59="EUR",D59,D59*VLOOKUP(E59,ExchangeRates!A:B,2,FALSE)))</f>
        <v/>
      </c>
    </row>
    <row r="60">
      <c r="A60" s="16" t="n"/>
      <c r="B60" s="17" t="n"/>
      <c r="C60" s="17" t="n"/>
      <c r="D60" s="18" t="n"/>
      <c r="E60" s="17" t="n"/>
      <c r="F60" s="19">
        <f>IF(A60="","",IF(E60="EUR",D60,D60*VLOOKUP(E60,ExchangeRates!A:B,2,FALSE)))</f>
        <v/>
      </c>
    </row>
    <row r="61">
      <c r="A61" s="16" t="n"/>
      <c r="B61" s="17" t="n"/>
      <c r="C61" s="17" t="n"/>
      <c r="D61" s="18" t="n"/>
      <c r="E61" s="17" t="n"/>
      <c r="F61" s="19">
        <f>IF(A61="","",IF(E61="EUR",D61,D61*VLOOKUP(E61,ExchangeRates!A:B,2,FALSE)))</f>
        <v/>
      </c>
    </row>
    <row r="62">
      <c r="A62" s="16" t="n"/>
      <c r="B62" s="17" t="n"/>
      <c r="C62" s="17" t="n"/>
      <c r="D62" s="18" t="n"/>
      <c r="E62" s="17" t="n"/>
      <c r="F62" s="19">
        <f>IF(A62="","",IF(E62="EUR",D62,D62*VLOOKUP(E62,ExchangeRates!A:B,2,FALSE)))</f>
        <v/>
      </c>
    </row>
    <row r="63">
      <c r="A63" s="16" t="n"/>
      <c r="B63" s="17" t="n"/>
      <c r="C63" s="17" t="n"/>
      <c r="D63" s="18" t="n"/>
      <c r="E63" s="17" t="n"/>
      <c r="F63" s="19">
        <f>IF(A63="","",IF(E63="EUR",D63,D63*VLOOKUP(E63,ExchangeRates!A:B,2,FALSE)))</f>
        <v/>
      </c>
    </row>
    <row r="64">
      <c r="A64" s="16" t="n"/>
      <c r="B64" s="17" t="n"/>
      <c r="C64" s="17" t="n"/>
      <c r="D64" s="18" t="n"/>
      <c r="E64" s="17" t="n"/>
      <c r="F64" s="19">
        <f>IF(A64="","",IF(E64="EUR",D64,D64*VLOOKUP(E64,ExchangeRates!A:B,2,FALSE)))</f>
        <v/>
      </c>
    </row>
    <row r="65">
      <c r="A65" s="16" t="n"/>
      <c r="B65" s="17" t="n"/>
      <c r="C65" s="17" t="n"/>
      <c r="D65" s="18" t="n"/>
      <c r="E65" s="17" t="n"/>
      <c r="F65" s="19">
        <f>IF(A65="","",IF(E65="EUR",D65,D65*VLOOKUP(E65,ExchangeRates!A:B,2,FALSE)))</f>
        <v/>
      </c>
    </row>
    <row r="66">
      <c r="A66" s="16" t="n"/>
      <c r="B66" s="17" t="n"/>
      <c r="C66" s="17" t="n"/>
      <c r="D66" s="18" t="n"/>
      <c r="E66" s="17" t="n"/>
      <c r="F66" s="19">
        <f>IF(A66="","",IF(E66="EUR",D66,D66*VLOOKUP(E66,ExchangeRates!A:B,2,FALSE)))</f>
        <v/>
      </c>
    </row>
  </sheetData>
  <conditionalFormatting sqref="D2:D66">
    <cfRule type="cellIs" priority="1" operator="lessThan" dxfId="0">
      <formula>0</formula>
    </cfRule>
  </conditionalFormatting>
  <conditionalFormatting sqref="F2:F66">
    <cfRule type="cellIs" priority="2" operator="lessThan" dxfId="0">
      <formula>0</formula>
    </cfRule>
  </conditionalFormatting>
  <dataValidations count="1">
    <dataValidation sqref="B2:B66" showDropDown="0" showInputMessage="0" showErrorMessage="0" allowBlank="1" type="list">
      <formula1>"Accommodation,Transport,Food,Activities,Shopping,Other"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Currency</t>
        </is>
      </c>
      <c r="B1" s="15" t="inlineStr">
        <is>
          <t>Rate</t>
        </is>
      </c>
    </row>
    <row r="2">
      <c r="A2" s="17" t="inlineStr">
        <is>
          <t>USD</t>
        </is>
      </c>
      <c r="B2" s="20" t="n">
        <v>0.92</v>
      </c>
    </row>
    <row r="3">
      <c r="A3" s="17" t="inlineStr">
        <is>
          <t>GBP</t>
        </is>
      </c>
      <c r="B3" s="20" t="n">
        <v>1.17</v>
      </c>
    </row>
    <row r="4">
      <c r="A4" s="17" t="inlineStr">
        <is>
          <t>DKK</t>
        </is>
      </c>
      <c r="B4" s="20" t="n">
        <v>0.13</v>
      </c>
    </row>
    <row r="5">
      <c r="A5" s="17" t="inlineStr">
        <is>
          <t>PLN</t>
        </is>
      </c>
      <c r="B5" s="20" t="n">
        <v>0.23</v>
      </c>
    </row>
    <row r="6">
      <c r="A6" s="17" t="n"/>
      <c r="B6" s="20" t="n"/>
    </row>
    <row r="7">
      <c r="A7" s="17" t="n"/>
      <c r="B7" s="20" t="n"/>
    </row>
    <row r="8">
      <c r="A8" s="17" t="n"/>
      <c r="B8" s="20" t="n"/>
    </row>
    <row r="9">
      <c r="A9" s="17" t="n"/>
      <c r="B9" s="20" t="n"/>
    </row>
    <row r="10">
      <c r="A10" s="17" t="n"/>
      <c r="B10" s="20" t="n"/>
    </row>
    <row r="11">
      <c r="A11" s="17" t="n"/>
      <c r="B11" s="20" t="n"/>
    </row>
    <row r="12">
      <c r="A12" s="17" t="n"/>
      <c r="B12" s="20" t="n"/>
    </row>
    <row r="13">
      <c r="A13" s="17" t="n"/>
      <c r="B13" s="20" t="n"/>
    </row>
    <row r="14">
      <c r="A14" s="17" t="n"/>
      <c r="B14" s="20" t="n"/>
    </row>
    <row r="15">
      <c r="A15" s="17" t="n"/>
      <c r="B15" s="20" t="n"/>
    </row>
    <row r="16">
      <c r="A16" s="17" t="n"/>
      <c r="B16" s="20" t="n"/>
    </row>
    <row r="17">
      <c r="A17" s="17" t="n"/>
      <c r="B17" s="20" t="n"/>
    </row>
    <row r="18">
      <c r="A18" s="17" t="n"/>
      <c r="B18" s="20" t="n"/>
    </row>
    <row r="19">
      <c r="A19" s="17" t="n"/>
      <c r="B19" s="20" t="n"/>
    </row>
    <row r="20">
      <c r="A20" s="17" t="n"/>
      <c r="B20" s="20" t="n"/>
    </row>
    <row r="21">
      <c r="A21" s="17" t="n"/>
      <c r="B21" s="20" t="n"/>
    </row>
    <row r="22">
      <c r="A22" s="17" t="n"/>
      <c r="B22" s="20" t="n"/>
    </row>
    <row r="23">
      <c r="A23" s="17" t="n"/>
      <c r="B23" s="20" t="n"/>
    </row>
    <row r="24">
      <c r="A24" s="17" t="n"/>
      <c r="B24" s="20" t="n"/>
    </row>
    <row r="25">
      <c r="A25" s="17" t="n"/>
      <c r="B25" s="20" t="n"/>
    </row>
    <row r="26">
      <c r="A26" s="17" t="n"/>
      <c r="B26" s="20" t="n"/>
    </row>
    <row r="27">
      <c r="A27" s="17" t="n"/>
      <c r="B27" s="20" t="n"/>
    </row>
    <row r="28">
      <c r="A28" s="17" t="n"/>
      <c r="B28" s="20" t="n"/>
    </row>
    <row r="29">
      <c r="A29" s="17" t="n"/>
      <c r="B29" s="20" t="n"/>
    </row>
    <row r="30">
      <c r="A30" s="17" t="n"/>
      <c r="B30" s="20" t="n"/>
    </row>
    <row r="31">
      <c r="A31" s="17" t="n"/>
      <c r="B31" s="20" t="n"/>
    </row>
    <row r="32">
      <c r="A32" s="17" t="n"/>
      <c r="B32" s="20" t="n"/>
    </row>
    <row r="33">
      <c r="A33" s="17" t="n"/>
      <c r="B33" s="20" t="n"/>
    </row>
    <row r="34">
      <c r="A34" s="17" t="n"/>
      <c r="B34" s="20" t="n"/>
    </row>
    <row r="35">
      <c r="A35" s="17" t="n"/>
      <c r="B35" s="20" t="n"/>
    </row>
  </sheetData>
  <conditionalFormatting sqref="B2:B3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5" t="inlineStr">
        <is>
          <t>Category</t>
        </is>
      </c>
      <c r="B1" s="15" t="inlineStr">
        <is>
          <t>Planned</t>
        </is>
      </c>
      <c r="C1" s="15" t="inlineStr">
        <is>
          <t>Spent</t>
        </is>
      </c>
      <c r="D1" s="15" t="inlineStr">
        <is>
          <t>Remaining</t>
        </is>
      </c>
    </row>
    <row r="2">
      <c r="A2" s="17" t="inlineStr">
        <is>
          <t>Accommodation</t>
        </is>
      </c>
      <c r="B2" s="18" t="n">
        <v>400</v>
      </c>
      <c r="C2" s="18" t="inlineStr"/>
      <c r="D2" s="19">
        <f>B2-C2</f>
        <v/>
      </c>
    </row>
    <row r="3">
      <c r="A3" s="17" t="inlineStr">
        <is>
          <t>Transport</t>
        </is>
      </c>
      <c r="B3" s="18" t="n">
        <v>150</v>
      </c>
      <c r="C3" s="18" t="inlineStr"/>
      <c r="D3" s="19">
        <f>B3-C3</f>
        <v/>
      </c>
    </row>
    <row r="4">
      <c r="A4" s="17" t="inlineStr">
        <is>
          <t>Food</t>
        </is>
      </c>
      <c r="B4" s="18" t="n">
        <v>200</v>
      </c>
      <c r="C4" s="18" t="inlineStr"/>
      <c r="D4" s="19">
        <f>B4-C4</f>
        <v/>
      </c>
    </row>
    <row r="5">
      <c r="A5" s="17" t="inlineStr">
        <is>
          <t>Activities</t>
        </is>
      </c>
      <c r="B5" s="18" t="n">
        <v>250</v>
      </c>
      <c r="C5" s="18" t="inlineStr"/>
      <c r="D5" s="19">
        <f>B5-C5</f>
        <v/>
      </c>
    </row>
    <row r="6">
      <c r="A6" s="17" t="n"/>
      <c r="B6" s="18" t="n"/>
      <c r="C6" s="18" t="n"/>
      <c r="D6" s="19">
        <f>IF(A6="","",B6-C6)</f>
        <v/>
      </c>
    </row>
    <row r="7">
      <c r="A7" s="17" t="n"/>
      <c r="B7" s="18" t="n"/>
      <c r="C7" s="18" t="n"/>
      <c r="D7" s="19">
        <f>IF(A7="","",B7-C7)</f>
        <v/>
      </c>
    </row>
    <row r="8">
      <c r="A8" s="17" t="n"/>
      <c r="B8" s="18" t="n"/>
      <c r="C8" s="18" t="n"/>
      <c r="D8" s="19">
        <f>IF(A8="","",B8-C8)</f>
        <v/>
      </c>
    </row>
    <row r="9">
      <c r="A9" s="17" t="n"/>
      <c r="B9" s="18" t="n"/>
      <c r="C9" s="18" t="n"/>
      <c r="D9" s="19">
        <f>IF(A9="","",B9-C9)</f>
        <v/>
      </c>
    </row>
    <row r="10">
      <c r="A10" s="17" t="n"/>
      <c r="B10" s="18" t="n"/>
      <c r="C10" s="18" t="n"/>
      <c r="D10" s="19">
        <f>IF(A10="","",B10-C10)</f>
        <v/>
      </c>
    </row>
    <row r="11">
      <c r="A11" s="17" t="n"/>
      <c r="B11" s="18" t="n"/>
      <c r="C11" s="18" t="n"/>
      <c r="D11" s="19">
        <f>IF(A11="","",B11-C11)</f>
        <v/>
      </c>
    </row>
    <row r="12">
      <c r="A12" s="17" t="n"/>
      <c r="B12" s="18" t="n"/>
      <c r="C12" s="18" t="n"/>
      <c r="D12" s="19">
        <f>IF(A12="","",B12-C12)</f>
        <v/>
      </c>
    </row>
    <row r="13">
      <c r="A13" s="17" t="n"/>
      <c r="B13" s="18" t="n"/>
      <c r="C13" s="18" t="n"/>
      <c r="D13" s="19">
        <f>IF(A13="","",B13-C13)</f>
        <v/>
      </c>
    </row>
    <row r="14">
      <c r="A14" s="17" t="n"/>
      <c r="B14" s="18" t="n"/>
      <c r="C14" s="18" t="n"/>
      <c r="D14" s="19">
        <f>IF(A14="","",B14-C14)</f>
        <v/>
      </c>
    </row>
    <row r="15">
      <c r="A15" s="17" t="n"/>
      <c r="B15" s="18" t="n"/>
      <c r="C15" s="18" t="n"/>
      <c r="D15" s="19">
        <f>IF(A15="","",B15-C15)</f>
        <v/>
      </c>
    </row>
    <row r="16">
      <c r="A16" s="17" t="n"/>
      <c r="B16" s="18" t="n"/>
      <c r="C16" s="18" t="n"/>
      <c r="D16" s="19">
        <f>IF(A16="","",B16-C16)</f>
        <v/>
      </c>
    </row>
    <row r="17">
      <c r="A17" s="17" t="n"/>
      <c r="B17" s="18" t="n"/>
      <c r="C17" s="18" t="n"/>
      <c r="D17" s="19">
        <f>IF(A17="","",B17-C17)</f>
        <v/>
      </c>
    </row>
    <row r="18">
      <c r="A18" s="17" t="n"/>
      <c r="B18" s="18" t="n"/>
      <c r="C18" s="18" t="n"/>
      <c r="D18" s="19">
        <f>IF(A18="","",B18-C18)</f>
        <v/>
      </c>
    </row>
    <row r="19">
      <c r="A19" s="17" t="n"/>
      <c r="B19" s="18" t="n"/>
      <c r="C19" s="18" t="n"/>
      <c r="D19" s="19">
        <f>IF(A19="","",B19-C19)</f>
        <v/>
      </c>
    </row>
    <row r="20">
      <c r="A20" s="17" t="n"/>
      <c r="B20" s="18" t="n"/>
      <c r="C20" s="18" t="n"/>
      <c r="D20" s="19">
        <f>IF(A20="","",B20-C20)</f>
        <v/>
      </c>
    </row>
    <row r="21">
      <c r="A21" s="17" t="n"/>
      <c r="B21" s="18" t="n"/>
      <c r="C21" s="18" t="n"/>
      <c r="D21" s="19">
        <f>IF(A21="","",B21-C21)</f>
        <v/>
      </c>
    </row>
    <row r="22">
      <c r="A22" s="17" t="n"/>
      <c r="B22" s="18" t="n"/>
      <c r="C22" s="18" t="n"/>
      <c r="D22" s="19">
        <f>IF(A22="","",B22-C22)</f>
        <v/>
      </c>
    </row>
    <row r="23">
      <c r="A23" s="17" t="n"/>
      <c r="B23" s="18" t="n"/>
      <c r="C23" s="18" t="n"/>
      <c r="D23" s="19">
        <f>IF(A23="","",B23-C23)</f>
        <v/>
      </c>
    </row>
    <row r="24">
      <c r="A24" s="17" t="n"/>
      <c r="B24" s="18" t="n"/>
      <c r="C24" s="18" t="n"/>
      <c r="D24" s="19">
        <f>IF(A24="","",B24-C24)</f>
        <v/>
      </c>
    </row>
    <row r="25">
      <c r="A25" s="17" t="n"/>
      <c r="B25" s="18" t="n"/>
      <c r="C25" s="18" t="n"/>
      <c r="D25" s="19">
        <f>IF(A25="","",B25-C25)</f>
        <v/>
      </c>
    </row>
    <row r="26">
      <c r="A26" s="17" t="n"/>
      <c r="B26" s="18" t="n"/>
      <c r="C26" s="18" t="n"/>
      <c r="D26" s="19">
        <f>IF(A26="","",B26-C26)</f>
        <v/>
      </c>
    </row>
    <row r="27">
      <c r="A27" s="17" t="n"/>
      <c r="B27" s="18" t="n"/>
      <c r="C27" s="18" t="n"/>
      <c r="D27" s="19">
        <f>IF(A27="","",B27-C27)</f>
        <v/>
      </c>
    </row>
    <row r="28">
      <c r="A28" s="17" t="n"/>
      <c r="B28" s="18" t="n"/>
      <c r="C28" s="18" t="n"/>
      <c r="D28" s="19">
        <f>IF(A28="","",B28-C28)</f>
        <v/>
      </c>
    </row>
    <row r="29">
      <c r="A29" s="17" t="n"/>
      <c r="B29" s="18" t="n"/>
      <c r="C29" s="18" t="n"/>
      <c r="D29" s="19">
        <f>IF(A29="","",B29-C29)</f>
        <v/>
      </c>
    </row>
    <row r="30">
      <c r="A30" s="17" t="n"/>
      <c r="B30" s="18" t="n"/>
      <c r="C30" s="18" t="n"/>
      <c r="D30" s="19">
        <f>IF(A30="","",B30-C30)</f>
        <v/>
      </c>
    </row>
    <row r="31">
      <c r="A31" s="17" t="n"/>
      <c r="B31" s="18" t="n"/>
      <c r="C31" s="18" t="n"/>
      <c r="D31" s="19">
        <f>IF(A31="","",B31-C31)</f>
        <v/>
      </c>
    </row>
    <row r="32">
      <c r="A32" s="17" t="n"/>
      <c r="B32" s="18" t="n"/>
      <c r="C32" s="18" t="n"/>
      <c r="D32" s="19">
        <f>IF(A32="","",B32-C32)</f>
        <v/>
      </c>
    </row>
    <row r="33">
      <c r="A33" s="17" t="n"/>
      <c r="B33" s="18" t="n"/>
      <c r="C33" s="18" t="n"/>
      <c r="D33" s="19">
        <f>IF(A33="","",B33-C33)</f>
        <v/>
      </c>
    </row>
    <row r="34">
      <c r="A34" s="17" t="n"/>
      <c r="B34" s="18" t="n"/>
      <c r="C34" s="18" t="n"/>
      <c r="D34" s="19">
        <f>IF(A34="","",B34-C34)</f>
        <v/>
      </c>
    </row>
    <row r="35">
      <c r="A35" s="17" t="n"/>
      <c r="B35" s="18" t="n"/>
      <c r="C35" s="18" t="n"/>
      <c r="D35" s="19">
        <f>IF(A35="","",B35-C35)</f>
        <v/>
      </c>
    </row>
  </sheetData>
  <conditionalFormatting sqref="B2:B35">
    <cfRule type="cellIs" priority="1" operator="lessThan" dxfId="0">
      <formula>0</formula>
    </cfRule>
  </conditionalFormatting>
  <conditionalFormatting sqref="C2:C35">
    <cfRule type="cellIs" priority="2" operator="lessThan" dxfId="0">
      <formula>0</formula>
    </cfRule>
  </conditionalFormatting>
  <conditionalFormatting sqref="D2:D3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North &amp; Baltic Sea Travel Budget Planner for Solo Female Travelers</dc:title>
  <dcterms:created xsi:type="dcterms:W3CDTF">2026-09-28T23:20:16Z</dcterms:created>
  <dcterms:modified xsi:type="dcterms:W3CDTF">2026-09-28T23:20:16Z</dcterms:modified>
</cp:coreProperties>
</file>