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Gastos" sheetId="3" state="visible" r:id="rId3"/>
    <sheet name="Calend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1" fontId="7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'Gastos'!$B$2:$B$5</f>
            </numRef>
          </cat>
          <val>
            <numRef>
              <f>'Gastos'!$F$2:$F$5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Gastos_2102" displayName="T_Gastos_2102" ref="A1:F105" headerRowCount="1">
  <autoFilter ref="A1:F105"/>
  <tableColumns count="6">
    <tableColumn id="1" name="Fecha"/>
    <tableColumn id="2" name="Categoría"/>
    <tableColumn id="3" name="Concepto"/>
    <tableColumn id="4" name="Cantidad"/>
    <tableColumn id="5" name="Precio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Calendario_3388" displayName="T_Calendario_3388" ref="A1:D34" headerRowCount="1">
  <autoFilter ref="A1:D34"/>
  <tableColumns count="4">
    <tableColumn id="1" name="Fecha"/>
    <tableColumn id="2" name="Hito"/>
    <tableColumn id="3" name="Días restantes"/>
    <tableColumn id="4" name="Estad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Gastos'!A1" TargetMode="External" Id="rId2" /><Relationship Type="http://schemas.openxmlformats.org/officeDocument/2006/relationships/hyperlink" Target="#'Calendario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Mudanza y Renovación Profesional: Control de Presupuesto y Tiempo</t>
        </is>
      </c>
    </row>
    <row r="3" ht="45" customHeight="1">
      <c r="C3" s="2" t="inlineStr">
        <is>
          <t>Herramienta todo en uno para controlar costes y plazos de mudanzas y renovaciones. Simplifica la gestión de presupuestos y evita sorpresas.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Registra todos los gastos en las hojas correspondientes</t>
        </is>
      </c>
    </row>
    <row r="7" ht="18" customHeight="1">
      <c r="B7" s="4" t="inlineStr">
        <is>
          <t>2.</t>
        </is>
      </c>
      <c r="C7" s="5" t="inlineStr">
        <is>
          <t>Clasifica cada entrada por categoría usando los desplegables</t>
        </is>
      </c>
    </row>
    <row r="8" ht="18" customHeight="1">
      <c r="B8" s="4" t="inlineStr">
        <is>
          <t>3.</t>
        </is>
      </c>
      <c r="C8" s="5" t="inlineStr">
        <is>
          <t>Revisa el dashboard para ver el estado actual</t>
        </is>
      </c>
    </row>
    <row r="9" ht="18" customHeight="1">
      <c r="B9" s="4" t="inlineStr">
        <is>
          <t>4.</t>
        </is>
      </c>
      <c r="C9" s="5" t="inlineStr">
        <is>
          <t>Ajusta tu presupuesto según el análisis de gastos</t>
        </is>
      </c>
    </row>
    <row r="10" ht="18" customHeight="1">
      <c r="B10" s="4" t="inlineStr">
        <is>
          <t>5.</t>
        </is>
      </c>
      <c r="C10" s="5" t="inlineStr">
        <is>
          <t>Programa fechas clave en el calendario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Gastos</t>
        </is>
      </c>
    </row>
    <row r="17">
      <c r="C17" s="7" t="inlineStr">
        <is>
          <t>→ Calendario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Mudanza y Renovación Profesional: Control de</t>
        </is>
      </c>
    </row>
    <row r="4">
      <c r="B4" s="10" t="inlineStr">
        <is>
          <t>Indicadores</t>
        </is>
      </c>
    </row>
    <row r="5" ht="24" customHeight="1">
      <c r="B5" s="11" t="inlineStr">
        <is>
          <t>Gasto total</t>
        </is>
      </c>
      <c r="C5" s="12">
        <f>SUM('Gastos'!F2:F300)</f>
        <v/>
      </c>
    </row>
    <row r="6" ht="24" customHeight="1">
      <c r="B6" s="11" t="inlineStr">
        <is>
          <t>Gasto materiales</t>
        </is>
      </c>
      <c r="C6" s="12">
        <f>SUMIF('Gastos'!B2:B300,"Material",'Gastos'!F2:F300)</f>
        <v/>
      </c>
    </row>
    <row r="7" ht="24" customHeight="1">
      <c r="B7" s="11" t="inlineStr">
        <is>
          <t>Gasto mano obra</t>
        </is>
      </c>
      <c r="C7" s="12">
        <f>SUMIF('Gastos'!B2:B300,"Mano de obra",'Gastos'!F2:F300)</f>
        <v/>
      </c>
    </row>
    <row r="8" ht="24" customHeight="1">
      <c r="B8" s="11" t="inlineStr">
        <is>
          <t>Hitos pendientes</t>
        </is>
      </c>
      <c r="C8" s="13">
        <f>COUNTIF('Calendario'!D2:D300,"Pendiente")</f>
        <v/>
      </c>
    </row>
    <row r="9" ht="24" customHeight="1">
      <c r="B9" s="11" t="inlineStr">
        <is>
          <t>Promedio diario</t>
        </is>
      </c>
      <c r="C9" s="12">
        <f>AVERAGE('Gastos'!F2:F300)</f>
        <v/>
      </c>
    </row>
    <row r="10" ht="24" customHeight="1">
      <c r="B10" s="11" t="inlineStr">
        <is>
          <t>Días hasta mudanza</t>
        </is>
      </c>
      <c r="C10" s="13">
        <f>MIN('Calendario'!A2:A300)-TODAY()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Concepto</t>
        </is>
      </c>
      <c r="D1" s="14" t="inlineStr">
        <is>
          <t>Cantidad</t>
        </is>
      </c>
      <c r="E1" s="14" t="inlineStr">
        <is>
          <t>Precio</t>
        </is>
      </c>
      <c r="F1" s="14" t="inlineStr">
        <is>
          <t>Total</t>
        </is>
      </c>
    </row>
    <row r="2">
      <c r="A2" s="15" t="n">
        <v>46091</v>
      </c>
      <c r="B2" s="16" t="inlineStr">
        <is>
          <t>Material</t>
        </is>
      </c>
      <c r="C2" s="16" t="inlineStr">
        <is>
          <t>Cajas de embalaje</t>
        </is>
      </c>
      <c r="D2" s="17" t="n">
        <v>15</v>
      </c>
      <c r="E2" s="18" t="n">
        <v>2.5</v>
      </c>
      <c r="F2" s="19">
        <f>D2*E2</f>
        <v/>
      </c>
    </row>
    <row r="3">
      <c r="A3" s="15" t="n">
        <v>46093</v>
      </c>
      <c r="B3" s="16" t="inlineStr">
        <is>
          <t>Transporte</t>
        </is>
      </c>
      <c r="C3" s="16" t="inlineStr">
        <is>
          <t>Furgoneta alquiler</t>
        </is>
      </c>
      <c r="D3" s="17" t="n">
        <v>1</v>
      </c>
      <c r="E3" s="18" t="n">
        <v>60</v>
      </c>
      <c r="F3" s="19">
        <f>D3*E3</f>
        <v/>
      </c>
    </row>
    <row r="4">
      <c r="A4" s="15" t="n">
        <v>46096</v>
      </c>
      <c r="B4" s="16" t="inlineStr">
        <is>
          <t>Mano de obra</t>
        </is>
      </c>
      <c r="C4" s="16" t="inlineStr">
        <is>
          <t>Montaje muebles</t>
        </is>
      </c>
      <c r="D4" s="17" t="n">
        <v>4</v>
      </c>
      <c r="E4" s="18" t="n">
        <v>25</v>
      </c>
      <c r="F4" s="19">
        <f>D4*E4</f>
        <v/>
      </c>
    </row>
    <row r="5">
      <c r="A5" s="15" t="n">
        <v>46099</v>
      </c>
      <c r="B5" s="16" t="inlineStr">
        <is>
          <t>Material</t>
        </is>
      </c>
      <c r="C5" s="16" t="inlineStr">
        <is>
          <t>Pintura paredes</t>
        </is>
      </c>
      <c r="D5" s="17" t="n">
        <v>5</v>
      </c>
      <c r="E5" s="18" t="n">
        <v>18.75</v>
      </c>
      <c r="F5" s="19">
        <f>D5*E5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  <row r="67">
      <c r="A67" s="15" t="n"/>
      <c r="B67" s="16" t="n"/>
      <c r="C67" s="16" t="n"/>
      <c r="D67" s="17" t="n"/>
      <c r="E67" s="18" t="n"/>
      <c r="F67" s="19">
        <f>IF(A67="","",D67*E67)</f>
        <v/>
      </c>
    </row>
    <row r="68">
      <c r="A68" s="15" t="n"/>
      <c r="B68" s="16" t="n"/>
      <c r="C68" s="16" t="n"/>
      <c r="D68" s="17" t="n"/>
      <c r="E68" s="18" t="n"/>
      <c r="F68" s="19">
        <f>IF(A68="","",D68*E68)</f>
        <v/>
      </c>
    </row>
    <row r="69">
      <c r="A69" s="15" t="n"/>
      <c r="B69" s="16" t="n"/>
      <c r="C69" s="16" t="n"/>
      <c r="D69" s="17" t="n"/>
      <c r="E69" s="18" t="n"/>
      <c r="F69" s="19">
        <f>IF(A69="","",D69*E69)</f>
        <v/>
      </c>
    </row>
    <row r="70">
      <c r="A70" s="15" t="n"/>
      <c r="B70" s="16" t="n"/>
      <c r="C70" s="16" t="n"/>
      <c r="D70" s="17" t="n"/>
      <c r="E70" s="18" t="n"/>
      <c r="F70" s="19">
        <f>IF(A70="","",D70*E70)</f>
        <v/>
      </c>
    </row>
    <row r="71">
      <c r="A71" s="15" t="n"/>
      <c r="B71" s="16" t="n"/>
      <c r="C71" s="16" t="n"/>
      <c r="D71" s="17" t="n"/>
      <c r="E71" s="18" t="n"/>
      <c r="F71" s="19">
        <f>IF(A71="","",D71*E71)</f>
        <v/>
      </c>
    </row>
    <row r="72">
      <c r="A72" s="15" t="n"/>
      <c r="B72" s="16" t="n"/>
      <c r="C72" s="16" t="n"/>
      <c r="D72" s="17" t="n"/>
      <c r="E72" s="18" t="n"/>
      <c r="F72" s="19">
        <f>IF(A72="","",D72*E72)</f>
        <v/>
      </c>
    </row>
    <row r="73">
      <c r="A73" s="15" t="n"/>
      <c r="B73" s="16" t="n"/>
      <c r="C73" s="16" t="n"/>
      <c r="D73" s="17" t="n"/>
      <c r="E73" s="18" t="n"/>
      <c r="F73" s="19">
        <f>IF(A73="","",D73*E73)</f>
        <v/>
      </c>
    </row>
    <row r="74">
      <c r="A74" s="15" t="n"/>
      <c r="B74" s="16" t="n"/>
      <c r="C74" s="16" t="n"/>
      <c r="D74" s="17" t="n"/>
      <c r="E74" s="18" t="n"/>
      <c r="F74" s="19">
        <f>IF(A74="","",D74*E74)</f>
        <v/>
      </c>
    </row>
    <row r="75">
      <c r="A75" s="15" t="n"/>
      <c r="B75" s="16" t="n"/>
      <c r="C75" s="16" t="n"/>
      <c r="D75" s="17" t="n"/>
      <c r="E75" s="18" t="n"/>
      <c r="F75" s="19">
        <f>IF(A75="","",D75*E75)</f>
        <v/>
      </c>
    </row>
    <row r="76">
      <c r="A76" s="15" t="n"/>
      <c r="B76" s="16" t="n"/>
      <c r="C76" s="16" t="n"/>
      <c r="D76" s="17" t="n"/>
      <c r="E76" s="18" t="n"/>
      <c r="F76" s="19">
        <f>IF(A76="","",D76*E76)</f>
        <v/>
      </c>
    </row>
    <row r="77">
      <c r="A77" s="15" t="n"/>
      <c r="B77" s="16" t="n"/>
      <c r="C77" s="16" t="n"/>
      <c r="D77" s="17" t="n"/>
      <c r="E77" s="18" t="n"/>
      <c r="F77" s="19">
        <f>IF(A77="","",D77*E77)</f>
        <v/>
      </c>
    </row>
    <row r="78">
      <c r="A78" s="15" t="n"/>
      <c r="B78" s="16" t="n"/>
      <c r="C78" s="16" t="n"/>
      <c r="D78" s="17" t="n"/>
      <c r="E78" s="18" t="n"/>
      <c r="F78" s="19">
        <f>IF(A78="","",D78*E78)</f>
        <v/>
      </c>
    </row>
    <row r="79">
      <c r="A79" s="15" t="n"/>
      <c r="B79" s="16" t="n"/>
      <c r="C79" s="16" t="n"/>
      <c r="D79" s="17" t="n"/>
      <c r="E79" s="18" t="n"/>
      <c r="F79" s="19">
        <f>IF(A79="","",D79*E79)</f>
        <v/>
      </c>
    </row>
    <row r="80">
      <c r="A80" s="15" t="n"/>
      <c r="B80" s="16" t="n"/>
      <c r="C80" s="16" t="n"/>
      <c r="D80" s="17" t="n"/>
      <c r="E80" s="18" t="n"/>
      <c r="F80" s="19">
        <f>IF(A80="","",D80*E80)</f>
        <v/>
      </c>
    </row>
    <row r="81">
      <c r="A81" s="15" t="n"/>
      <c r="B81" s="16" t="n"/>
      <c r="C81" s="16" t="n"/>
      <c r="D81" s="17" t="n"/>
      <c r="E81" s="18" t="n"/>
      <c r="F81" s="19">
        <f>IF(A81="","",D81*E81)</f>
        <v/>
      </c>
    </row>
    <row r="82">
      <c r="A82" s="15" t="n"/>
      <c r="B82" s="16" t="n"/>
      <c r="C82" s="16" t="n"/>
      <c r="D82" s="17" t="n"/>
      <c r="E82" s="18" t="n"/>
      <c r="F82" s="19">
        <f>IF(A82="","",D82*E82)</f>
        <v/>
      </c>
    </row>
    <row r="83">
      <c r="A83" s="15" t="n"/>
      <c r="B83" s="16" t="n"/>
      <c r="C83" s="16" t="n"/>
      <c r="D83" s="17" t="n"/>
      <c r="E83" s="18" t="n"/>
      <c r="F83" s="19">
        <f>IF(A83="","",D83*E83)</f>
        <v/>
      </c>
    </row>
    <row r="84">
      <c r="A84" s="15" t="n"/>
      <c r="B84" s="16" t="n"/>
      <c r="C84" s="16" t="n"/>
      <c r="D84" s="17" t="n"/>
      <c r="E84" s="18" t="n"/>
      <c r="F84" s="19">
        <f>IF(A84="","",D84*E84)</f>
        <v/>
      </c>
    </row>
    <row r="85">
      <c r="A85" s="15" t="n"/>
      <c r="B85" s="16" t="n"/>
      <c r="C85" s="16" t="n"/>
      <c r="D85" s="17" t="n"/>
      <c r="E85" s="18" t="n"/>
      <c r="F85" s="19">
        <f>IF(A85="","",D85*E85)</f>
        <v/>
      </c>
    </row>
    <row r="86">
      <c r="A86" s="15" t="n"/>
      <c r="B86" s="16" t="n"/>
      <c r="C86" s="16" t="n"/>
      <c r="D86" s="17" t="n"/>
      <c r="E86" s="18" t="n"/>
      <c r="F86" s="19">
        <f>IF(A86="","",D86*E86)</f>
        <v/>
      </c>
    </row>
    <row r="87">
      <c r="A87" s="15" t="n"/>
      <c r="B87" s="16" t="n"/>
      <c r="C87" s="16" t="n"/>
      <c r="D87" s="17" t="n"/>
      <c r="E87" s="18" t="n"/>
      <c r="F87" s="19">
        <f>IF(A87="","",D87*E87)</f>
        <v/>
      </c>
    </row>
    <row r="88">
      <c r="A88" s="15" t="n"/>
      <c r="B88" s="16" t="n"/>
      <c r="C88" s="16" t="n"/>
      <c r="D88" s="17" t="n"/>
      <c r="E88" s="18" t="n"/>
      <c r="F88" s="19">
        <f>IF(A88="","",D88*E88)</f>
        <v/>
      </c>
    </row>
    <row r="89">
      <c r="A89" s="15" t="n"/>
      <c r="B89" s="16" t="n"/>
      <c r="C89" s="16" t="n"/>
      <c r="D89" s="17" t="n"/>
      <c r="E89" s="18" t="n"/>
      <c r="F89" s="19">
        <f>IF(A89="","",D89*E89)</f>
        <v/>
      </c>
    </row>
    <row r="90">
      <c r="A90" s="15" t="n"/>
      <c r="B90" s="16" t="n"/>
      <c r="C90" s="16" t="n"/>
      <c r="D90" s="17" t="n"/>
      <c r="E90" s="18" t="n"/>
      <c r="F90" s="19">
        <f>IF(A90="","",D90*E90)</f>
        <v/>
      </c>
    </row>
    <row r="91">
      <c r="A91" s="15" t="n"/>
      <c r="B91" s="16" t="n"/>
      <c r="C91" s="16" t="n"/>
      <c r="D91" s="17" t="n"/>
      <c r="E91" s="18" t="n"/>
      <c r="F91" s="19">
        <f>IF(A91="","",D91*E91)</f>
        <v/>
      </c>
    </row>
    <row r="92">
      <c r="A92" s="15" t="n"/>
      <c r="B92" s="16" t="n"/>
      <c r="C92" s="16" t="n"/>
      <c r="D92" s="17" t="n"/>
      <c r="E92" s="18" t="n"/>
      <c r="F92" s="19">
        <f>IF(A92="","",D92*E92)</f>
        <v/>
      </c>
    </row>
    <row r="93">
      <c r="A93" s="15" t="n"/>
      <c r="B93" s="16" t="n"/>
      <c r="C93" s="16" t="n"/>
      <c r="D93" s="17" t="n"/>
      <c r="E93" s="18" t="n"/>
      <c r="F93" s="19">
        <f>IF(A93="","",D93*E93)</f>
        <v/>
      </c>
    </row>
    <row r="94">
      <c r="A94" s="15" t="n"/>
      <c r="B94" s="16" t="n"/>
      <c r="C94" s="16" t="n"/>
      <c r="D94" s="17" t="n"/>
      <c r="E94" s="18" t="n"/>
      <c r="F94" s="19">
        <f>IF(A94="","",D94*E94)</f>
        <v/>
      </c>
    </row>
    <row r="95">
      <c r="A95" s="15" t="n"/>
      <c r="B95" s="16" t="n"/>
      <c r="C95" s="16" t="n"/>
      <c r="D95" s="17" t="n"/>
      <c r="E95" s="18" t="n"/>
      <c r="F95" s="19">
        <f>IF(A95="","",D95*E95)</f>
        <v/>
      </c>
    </row>
    <row r="96">
      <c r="A96" s="15" t="n"/>
      <c r="B96" s="16" t="n"/>
      <c r="C96" s="16" t="n"/>
      <c r="D96" s="17" t="n"/>
      <c r="E96" s="18" t="n"/>
      <c r="F96" s="19">
        <f>IF(A96="","",D96*E96)</f>
        <v/>
      </c>
    </row>
    <row r="97">
      <c r="A97" s="15" t="n"/>
      <c r="B97" s="16" t="n"/>
      <c r="C97" s="16" t="n"/>
      <c r="D97" s="17" t="n"/>
      <c r="E97" s="18" t="n"/>
      <c r="F97" s="19">
        <f>IF(A97="","",D97*E97)</f>
        <v/>
      </c>
    </row>
    <row r="98">
      <c r="A98" s="15" t="n"/>
      <c r="B98" s="16" t="n"/>
      <c r="C98" s="16" t="n"/>
      <c r="D98" s="17" t="n"/>
      <c r="E98" s="18" t="n"/>
      <c r="F98" s="19">
        <f>IF(A98="","",D98*E98)</f>
        <v/>
      </c>
    </row>
    <row r="99">
      <c r="A99" s="15" t="n"/>
      <c r="B99" s="16" t="n"/>
      <c r="C99" s="16" t="n"/>
      <c r="D99" s="17" t="n"/>
      <c r="E99" s="18" t="n"/>
      <c r="F99" s="19">
        <f>IF(A99="","",D99*E99)</f>
        <v/>
      </c>
    </row>
    <row r="100">
      <c r="A100" s="15" t="n"/>
      <c r="B100" s="16" t="n"/>
      <c r="C100" s="16" t="n"/>
      <c r="D100" s="17" t="n"/>
      <c r="E100" s="18" t="n"/>
      <c r="F100" s="19">
        <f>IF(A100="","",D100*E100)</f>
        <v/>
      </c>
    </row>
    <row r="101">
      <c r="A101" s="15" t="n"/>
      <c r="B101" s="16" t="n"/>
      <c r="C101" s="16" t="n"/>
      <c r="D101" s="17" t="n"/>
      <c r="E101" s="18" t="n"/>
      <c r="F101" s="19">
        <f>IF(A101="","",D101*E101)</f>
        <v/>
      </c>
    </row>
    <row r="102">
      <c r="A102" s="15" t="n"/>
      <c r="B102" s="16" t="n"/>
      <c r="C102" s="16" t="n"/>
      <c r="D102" s="17" t="n"/>
      <c r="E102" s="18" t="n"/>
      <c r="F102" s="19">
        <f>IF(A102="","",D102*E102)</f>
        <v/>
      </c>
    </row>
    <row r="103">
      <c r="A103" s="15" t="n"/>
      <c r="B103" s="16" t="n"/>
      <c r="C103" s="16" t="n"/>
      <c r="D103" s="17" t="n"/>
      <c r="E103" s="18" t="n"/>
      <c r="F103" s="19">
        <f>IF(A103="","",D103*E103)</f>
        <v/>
      </c>
    </row>
    <row r="104">
      <c r="A104" s="15" t="n"/>
      <c r="B104" s="16" t="n"/>
      <c r="C104" s="16" t="n"/>
      <c r="D104" s="17" t="n"/>
      <c r="E104" s="18" t="n"/>
      <c r="F104" s="19">
        <f>IF(A104="","",D104*E104)</f>
        <v/>
      </c>
    </row>
    <row r="105">
      <c r="A105" s="15" t="n"/>
      <c r="B105" s="16" t="n"/>
      <c r="C105" s="16" t="n"/>
      <c r="D105" s="17" t="n"/>
      <c r="E105" s="18" t="n"/>
      <c r="F105" s="19">
        <f>IF(A105="","",D105*E105)</f>
        <v/>
      </c>
    </row>
  </sheetData>
  <conditionalFormatting sqref="D2:D105">
    <cfRule type="cellIs" priority="1" operator="lessThan" dxfId="0">
      <formula>0</formula>
    </cfRule>
  </conditionalFormatting>
  <conditionalFormatting sqref="E2:E105">
    <cfRule type="cellIs" priority="2" operator="lessThan" dxfId="0">
      <formula>0</formula>
    </cfRule>
  </conditionalFormatting>
  <conditionalFormatting sqref="F2:F105">
    <cfRule type="cellIs" priority="3" operator="lessThan" dxfId="0">
      <formula>0</formula>
    </cfRule>
  </conditionalFormatting>
  <dataValidations count="1">
    <dataValidation sqref="B2:B105" showDropDown="0" showInputMessage="0" showErrorMessage="0" allowBlank="1" type="list">
      <formula1>"Material,Transporte,Mano de obra,Almacenamiento,Otros"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9" customWidth="1" min="3" max="3"/>
    <col width="40" customWidth="1" min="4" max="4"/>
  </cols>
  <sheetData>
    <row r="1" ht="32" customHeight="1">
      <c r="A1" s="14" t="inlineStr">
        <is>
          <t>Fecha</t>
        </is>
      </c>
      <c r="B1" s="14" t="inlineStr">
        <is>
          <t>Hito</t>
        </is>
      </c>
      <c r="C1" s="14" t="inlineStr">
        <is>
          <t>Días restantes</t>
        </is>
      </c>
      <c r="D1" s="14" t="inlineStr">
        <is>
          <t>Estado</t>
        </is>
      </c>
    </row>
    <row r="2">
      <c r="A2" s="15" t="n">
        <v>46117</v>
      </c>
      <c r="B2" s="16" t="inlineStr">
        <is>
          <t>Finalizar embalaje</t>
        </is>
      </c>
      <c r="C2" s="20">
        <f>A2-TODAY()</f>
        <v/>
      </c>
      <c r="D2" s="21">
        <f>IF(C2&lt;0,"Atrasado",IF(C2=0,"Hoy","En plazo"))</f>
        <v/>
      </c>
    </row>
    <row r="3">
      <c r="A3" s="15" t="n">
        <v>46124</v>
      </c>
      <c r="B3" s="16" t="inlineStr">
        <is>
          <t>Entrega llaves nuevo local</t>
        </is>
      </c>
      <c r="C3" s="20">
        <f>A3-TODAY()</f>
        <v/>
      </c>
      <c r="D3" s="21">
        <f>IF(C3&lt;0,"Atrasado",IF(C3=0,"Hoy","En plazo"))</f>
        <v/>
      </c>
    </row>
    <row r="4">
      <c r="A4" s="15" t="n">
        <v>46127</v>
      </c>
      <c r="B4" s="16" t="inlineStr">
        <is>
          <t>Finalizar reformas baño</t>
        </is>
      </c>
      <c r="C4" s="20">
        <f>A4-TODAY()</f>
        <v/>
      </c>
      <c r="D4" s="21">
        <f>IF(C4&lt;0,"Atrasado",IF(C4=0,"Hoy","En plazo"))</f>
        <v/>
      </c>
    </row>
    <row r="5">
      <c r="A5" s="15" t="n"/>
      <c r="B5" s="16" t="n"/>
      <c r="C5" s="20">
        <f>IF(A5="","",A5-TODAY())</f>
        <v/>
      </c>
      <c r="D5" s="21">
        <f>IF(A5="","",IF(C5&lt;0,"Atrasado",IF(C5=0,"Hoy","En plazo")))</f>
        <v/>
      </c>
    </row>
    <row r="6">
      <c r="A6" s="15" t="n"/>
      <c r="B6" s="16" t="n"/>
      <c r="C6" s="20">
        <f>IF(A6="","",A6-TODAY())</f>
        <v/>
      </c>
      <c r="D6" s="21">
        <f>IF(A6="","",IF(C6&lt;0,"Atrasado",IF(C6=0,"Hoy","En plazo")))</f>
        <v/>
      </c>
    </row>
    <row r="7">
      <c r="A7" s="15" t="n"/>
      <c r="B7" s="16" t="n"/>
      <c r="C7" s="20">
        <f>IF(A7="","",A7-TODAY())</f>
        <v/>
      </c>
      <c r="D7" s="21">
        <f>IF(A7="","",IF(C7&lt;0,"Atrasado",IF(C7=0,"Hoy","En plazo")))</f>
        <v/>
      </c>
    </row>
    <row r="8">
      <c r="A8" s="15" t="n"/>
      <c r="B8" s="16" t="n"/>
      <c r="C8" s="20">
        <f>IF(A8="","",A8-TODAY())</f>
        <v/>
      </c>
      <c r="D8" s="21">
        <f>IF(A8="","",IF(C8&lt;0,"Atrasado",IF(C8=0,"Hoy","En plazo")))</f>
        <v/>
      </c>
    </row>
    <row r="9">
      <c r="A9" s="15" t="n"/>
      <c r="B9" s="16" t="n"/>
      <c r="C9" s="20">
        <f>IF(A9="","",A9-TODAY())</f>
        <v/>
      </c>
      <c r="D9" s="21">
        <f>IF(A9="","",IF(C9&lt;0,"Atrasado",IF(C9=0,"Hoy","En plazo")))</f>
        <v/>
      </c>
    </row>
    <row r="10">
      <c r="A10" s="15" t="n"/>
      <c r="B10" s="16" t="n"/>
      <c r="C10" s="20">
        <f>IF(A10="","",A10-TODAY())</f>
        <v/>
      </c>
      <c r="D10" s="21">
        <f>IF(A10="","",IF(C10&lt;0,"Atrasado",IF(C10=0,"Hoy","En plazo")))</f>
        <v/>
      </c>
    </row>
    <row r="11">
      <c r="A11" s="15" t="n"/>
      <c r="B11" s="16" t="n"/>
      <c r="C11" s="20">
        <f>IF(A11="","",A11-TODAY())</f>
        <v/>
      </c>
      <c r="D11" s="21">
        <f>IF(A11="","",IF(C11&lt;0,"Atrasado",IF(C11=0,"Hoy","En plazo")))</f>
        <v/>
      </c>
    </row>
    <row r="12">
      <c r="A12" s="15" t="n"/>
      <c r="B12" s="16" t="n"/>
      <c r="C12" s="20">
        <f>IF(A12="","",A12-TODAY())</f>
        <v/>
      </c>
      <c r="D12" s="21">
        <f>IF(A12="","",IF(C12&lt;0,"Atrasado",IF(C12=0,"Hoy","En plazo")))</f>
        <v/>
      </c>
    </row>
    <row r="13">
      <c r="A13" s="15" t="n"/>
      <c r="B13" s="16" t="n"/>
      <c r="C13" s="20">
        <f>IF(A13="","",A13-TODAY())</f>
        <v/>
      </c>
      <c r="D13" s="21">
        <f>IF(A13="","",IF(C13&lt;0,"Atrasado",IF(C13=0,"Hoy","En plazo")))</f>
        <v/>
      </c>
    </row>
    <row r="14">
      <c r="A14" s="15" t="n"/>
      <c r="B14" s="16" t="n"/>
      <c r="C14" s="20">
        <f>IF(A14="","",A14-TODAY())</f>
        <v/>
      </c>
      <c r="D14" s="21">
        <f>IF(A14="","",IF(C14&lt;0,"Atrasado",IF(C14=0,"Hoy","En plazo")))</f>
        <v/>
      </c>
    </row>
    <row r="15">
      <c r="A15" s="15" t="n"/>
      <c r="B15" s="16" t="n"/>
      <c r="C15" s="20">
        <f>IF(A15="","",A15-TODAY())</f>
        <v/>
      </c>
      <c r="D15" s="21">
        <f>IF(A15="","",IF(C15&lt;0,"Atrasado",IF(C15=0,"Hoy","En plazo")))</f>
        <v/>
      </c>
    </row>
    <row r="16">
      <c r="A16" s="15" t="n"/>
      <c r="B16" s="16" t="n"/>
      <c r="C16" s="20">
        <f>IF(A16="","",A16-TODAY())</f>
        <v/>
      </c>
      <c r="D16" s="21">
        <f>IF(A16="","",IF(C16&lt;0,"Atrasado",IF(C16=0,"Hoy","En plazo")))</f>
        <v/>
      </c>
    </row>
    <row r="17">
      <c r="A17" s="15" t="n"/>
      <c r="B17" s="16" t="n"/>
      <c r="C17" s="20">
        <f>IF(A17="","",A17-TODAY())</f>
        <v/>
      </c>
      <c r="D17" s="21">
        <f>IF(A17="","",IF(C17&lt;0,"Atrasado",IF(C17=0,"Hoy","En plazo")))</f>
        <v/>
      </c>
    </row>
    <row r="18">
      <c r="A18" s="15" t="n"/>
      <c r="B18" s="16" t="n"/>
      <c r="C18" s="20">
        <f>IF(A18="","",A18-TODAY())</f>
        <v/>
      </c>
      <c r="D18" s="21">
        <f>IF(A18="","",IF(C18&lt;0,"Atrasado",IF(C18=0,"Hoy","En plazo")))</f>
        <v/>
      </c>
    </row>
    <row r="19">
      <c r="A19" s="15" t="n"/>
      <c r="B19" s="16" t="n"/>
      <c r="C19" s="20">
        <f>IF(A19="","",A19-TODAY())</f>
        <v/>
      </c>
      <c r="D19" s="21">
        <f>IF(A19="","",IF(C19&lt;0,"Atrasado",IF(C19=0,"Hoy","En plazo")))</f>
        <v/>
      </c>
    </row>
    <row r="20">
      <c r="A20" s="15" t="n"/>
      <c r="B20" s="16" t="n"/>
      <c r="C20" s="20">
        <f>IF(A20="","",A20-TODAY())</f>
        <v/>
      </c>
      <c r="D20" s="21">
        <f>IF(A20="","",IF(C20&lt;0,"Atrasado",IF(C20=0,"Hoy","En plazo")))</f>
        <v/>
      </c>
    </row>
    <row r="21">
      <c r="A21" s="15" t="n"/>
      <c r="B21" s="16" t="n"/>
      <c r="C21" s="20">
        <f>IF(A21="","",A21-TODAY())</f>
        <v/>
      </c>
      <c r="D21" s="21">
        <f>IF(A21="","",IF(C21&lt;0,"Atrasado",IF(C21=0,"Hoy","En plazo")))</f>
        <v/>
      </c>
    </row>
    <row r="22">
      <c r="A22" s="15" t="n"/>
      <c r="B22" s="16" t="n"/>
      <c r="C22" s="20">
        <f>IF(A22="","",A22-TODAY())</f>
        <v/>
      </c>
      <c r="D22" s="21">
        <f>IF(A22="","",IF(C22&lt;0,"Atrasado",IF(C22=0,"Hoy","En plazo")))</f>
        <v/>
      </c>
    </row>
    <row r="23">
      <c r="A23" s="15" t="n"/>
      <c r="B23" s="16" t="n"/>
      <c r="C23" s="20">
        <f>IF(A23="","",A23-TODAY())</f>
        <v/>
      </c>
      <c r="D23" s="21">
        <f>IF(A23="","",IF(C23&lt;0,"Atrasado",IF(C23=0,"Hoy","En plazo")))</f>
        <v/>
      </c>
    </row>
    <row r="24">
      <c r="A24" s="15" t="n"/>
      <c r="B24" s="16" t="n"/>
      <c r="C24" s="20">
        <f>IF(A24="","",A24-TODAY())</f>
        <v/>
      </c>
      <c r="D24" s="21">
        <f>IF(A24="","",IF(C24&lt;0,"Atrasado",IF(C24=0,"Hoy","En plazo")))</f>
        <v/>
      </c>
    </row>
    <row r="25">
      <c r="A25" s="15" t="n"/>
      <c r="B25" s="16" t="n"/>
      <c r="C25" s="20">
        <f>IF(A25="","",A25-TODAY())</f>
        <v/>
      </c>
      <c r="D25" s="21">
        <f>IF(A25="","",IF(C25&lt;0,"Atrasado",IF(C25=0,"Hoy","En plazo")))</f>
        <v/>
      </c>
    </row>
    <row r="26">
      <c r="A26" s="15" t="n"/>
      <c r="B26" s="16" t="n"/>
      <c r="C26" s="20">
        <f>IF(A26="","",A26-TODAY())</f>
        <v/>
      </c>
      <c r="D26" s="21">
        <f>IF(A26="","",IF(C26&lt;0,"Atrasado",IF(C26=0,"Hoy","En plazo")))</f>
        <v/>
      </c>
    </row>
    <row r="27">
      <c r="A27" s="15" t="n"/>
      <c r="B27" s="16" t="n"/>
      <c r="C27" s="20">
        <f>IF(A27="","",A27-TODAY())</f>
        <v/>
      </c>
      <c r="D27" s="21">
        <f>IF(A27="","",IF(C27&lt;0,"Atrasado",IF(C27=0,"Hoy","En plazo")))</f>
        <v/>
      </c>
    </row>
    <row r="28">
      <c r="A28" s="15" t="n"/>
      <c r="B28" s="16" t="n"/>
      <c r="C28" s="20">
        <f>IF(A28="","",A28-TODAY())</f>
        <v/>
      </c>
      <c r="D28" s="21">
        <f>IF(A28="","",IF(C28&lt;0,"Atrasado",IF(C28=0,"Hoy","En plazo")))</f>
        <v/>
      </c>
    </row>
    <row r="29">
      <c r="A29" s="15" t="n"/>
      <c r="B29" s="16" t="n"/>
      <c r="C29" s="20">
        <f>IF(A29="","",A29-TODAY())</f>
        <v/>
      </c>
      <c r="D29" s="21">
        <f>IF(A29="","",IF(C29&lt;0,"Atrasado",IF(C29=0,"Hoy","En plazo")))</f>
        <v/>
      </c>
    </row>
    <row r="30">
      <c r="A30" s="15" t="n"/>
      <c r="B30" s="16" t="n"/>
      <c r="C30" s="20">
        <f>IF(A30="","",A30-TODAY())</f>
        <v/>
      </c>
      <c r="D30" s="21">
        <f>IF(A30="","",IF(C30&lt;0,"Atrasado",IF(C30=0,"Hoy","En plazo")))</f>
        <v/>
      </c>
    </row>
    <row r="31">
      <c r="A31" s="15" t="n"/>
      <c r="B31" s="16" t="n"/>
      <c r="C31" s="20">
        <f>IF(A31="","",A31-TODAY())</f>
        <v/>
      </c>
      <c r="D31" s="21">
        <f>IF(A31="","",IF(C31&lt;0,"Atrasado",IF(C31=0,"Hoy","En plazo")))</f>
        <v/>
      </c>
    </row>
    <row r="32">
      <c r="A32" s="15" t="n"/>
      <c r="B32" s="16" t="n"/>
      <c r="C32" s="20">
        <f>IF(A32="","",A32-TODAY())</f>
        <v/>
      </c>
      <c r="D32" s="21">
        <f>IF(A32="","",IF(C32&lt;0,"Atrasado",IF(C32=0,"Hoy","En plazo")))</f>
        <v/>
      </c>
    </row>
    <row r="33">
      <c r="A33" s="15" t="n"/>
      <c r="B33" s="16" t="n"/>
      <c r="C33" s="20">
        <f>IF(A33="","",A33-TODAY())</f>
        <v/>
      </c>
      <c r="D33" s="21">
        <f>IF(A33="","",IF(C33&lt;0,"Atrasado",IF(C33=0,"Hoy","En plazo")))</f>
        <v/>
      </c>
    </row>
    <row r="34">
      <c r="A34" s="15" t="n"/>
      <c r="B34" s="16" t="n"/>
      <c r="C34" s="20">
        <f>IF(A34="","",A34-TODAY())</f>
        <v/>
      </c>
      <c r="D34" s="21">
        <f>IF(A34="","",IF(C34&lt;0,"Atrasado",IF(C34=0,"Hoy","En plazo")))</f>
        <v/>
      </c>
    </row>
  </sheetData>
  <dataValidations count="1">
    <dataValidation sqref="D2:D34" showDropDown="0" showInputMessage="0" showErrorMessage="0" allowBlank="1" type="list">
      <formula1>"Pendiente,En proceso,Completado,Atrasado"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Mudanza y Renovación Profesional: Control de Presupuesto y Tiempo</dc:title>
  <dcterms:created xsi:type="dcterms:W3CDTF">2026-10-14T18:41:55Z</dcterms:created>
  <dcterms:modified xsi:type="dcterms:W3CDTF">2026-10-14T18:41:55Z</dcterms:modified>
</cp:coreProperties>
</file>