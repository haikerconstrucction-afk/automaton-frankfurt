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Clients" sheetId="3" state="visible" r:id="rId3"/>
    <sheet name="Itineraire" sheetId="4" state="visible" r:id="rId4"/>
    <sheet name="Budg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" fontId="0" fillId="0" borderId="1" pivotButton="0" quotePrefix="0" xfId="0"/>
    <xf numFmtId="166" fontId="7" fillId="3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</a:t>
            </a:r>
          </a:p>
        </rich>
      </tx>
    </title>
    <plotArea>
      <pieChart>
        <varyColors val="1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'Budget'!$B$2:$B$4</f>
            </numRef>
          </cat>
          <val>
            <numRef>
              <f>'Budget'!$D$2:$D$4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Clients" displayName="T_Clients" ref="A1:E34" headerRowCount="1">
  <autoFilter ref="A1:E34"/>
  <tableColumns count="5">
    <tableColumn id="1" name="Date arrivée"/>
    <tableColumn id="2" name="Groupe"/>
    <tableColumn id="3" name="Nombre"/>
    <tableColumn id="4" name="Langue"/>
    <tableColumn id="5" name="Spécificités"/>
  </tableColumns>
  <tableStyleInfo name="TableStyleMedium7" showRowStripes="1"/>
</table>
</file>

<file path=xl/tables/table2.xml><?xml version="1.0" encoding="utf-8"?>
<table xmlns="http://schemas.openxmlformats.org/spreadsheetml/2006/main" id="2" name="T_Itineraire" displayName="T_Itineraire" ref="A1:F44" headerRowCount="1">
  <autoFilter ref="A1:F44"/>
  <tableColumns count="6">
    <tableColumn id="1" name="Jour"/>
    <tableColumn id="2" name="Activité"/>
    <tableColumn id="3" name="Lieu"/>
    <tableColumn id="4" name="Heure"/>
    <tableColumn id="5" name="Coût"/>
    <tableColumn id="6" name="Transport"/>
  </tableColumns>
  <tableStyleInfo name="TableStyleMedium7" showRowStripes="1"/>
</table>
</file>

<file path=xl/tables/table3.xml><?xml version="1.0" encoding="utf-8"?>
<table xmlns="http://schemas.openxmlformats.org/spreadsheetml/2006/main" id="3" name="T_Budget" displayName="T_Budget" ref="A1:F54" headerRowCount="1">
  <autoFilter ref="A1:F54"/>
  <tableColumns count="6">
    <tableColumn id="1" name="Date"/>
    <tableColumn id="2" name="Catégorie"/>
    <tableColumn id="3" name="Description"/>
    <tableColumn id="4" name="Montant"/>
    <tableColumn id="5" name="Payé"/>
    <tableColumn id="6" name="Rest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Clients'!A1" TargetMode="External" Id="rId2" /><Relationship Type="http://schemas.openxmlformats.org/officeDocument/2006/relationships/hyperlink" Target="#'Itineraire'!A1" TargetMode="External" Id="rId3" /><Relationship Type="http://schemas.openxmlformats.org/officeDocument/2006/relationships/hyperlink" Target="#'Budget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Voyage dans la Forêt Noire - Budget &amp; Itinéraire pour Guides Touristiques</t>
        </is>
      </c>
    </row>
    <row r="3" ht="45" customHeight="1">
      <c r="C3" s="2" t="inlineStr">
        <is>
          <t>Outil complet pour planifier, budgéter et optimiser les itinéraires touristiques en Forêt Noire. Suivi des dépenses et gestion des réservations en temps réel.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Saisissez les informations des clients</t>
        </is>
      </c>
    </row>
    <row r="7" ht="18" customHeight="1">
      <c r="B7" s="4" t="inlineStr">
        <is>
          <t>2.</t>
        </is>
      </c>
      <c r="C7" s="5" t="inlineStr">
        <is>
          <t>Planifiez l'itinéraire jour par jour</t>
        </is>
      </c>
    </row>
    <row r="8" ht="18" customHeight="1">
      <c r="B8" s="4" t="inlineStr">
        <is>
          <t>3.</t>
        </is>
      </c>
      <c r="C8" s="5" t="inlineStr">
        <is>
          <t>Enregistrez les réservations et dépenses</t>
        </is>
      </c>
    </row>
    <row r="9" ht="18" customHeight="1">
      <c r="B9" s="4" t="inlineStr">
        <is>
          <t>4.</t>
        </is>
      </c>
      <c r="C9" s="5" t="inlineStr">
        <is>
          <t>Consultez le dashboard pour le suivi</t>
        </is>
      </c>
    </row>
    <row r="10" ht="18" customHeight="1">
      <c r="B10" s="4" t="inlineStr">
        <is>
          <t>5.</t>
        </is>
      </c>
      <c r="C10" s="5" t="inlineStr">
        <is>
          <t>Exportez les données si nécessaire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Clients</t>
        </is>
      </c>
    </row>
    <row r="17">
      <c r="C17" s="7" t="inlineStr">
        <is>
          <t>→ Itineraire</t>
        </is>
      </c>
    </row>
    <row r="18">
      <c r="C18" s="7" t="inlineStr">
        <is>
          <t>→ Budget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Voyage dans la Forêt Noire - Budget &amp; Itiné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dépenses</t>
        </is>
      </c>
      <c r="C5" s="12">
        <f>SUM(Budget!D2:D100)</f>
        <v/>
      </c>
    </row>
    <row r="6" ht="24" customHeight="1">
      <c r="B6" s="11" t="inlineStr">
        <is>
          <t>Total restant</t>
        </is>
      </c>
      <c r="C6" s="12">
        <f>SUM(Budget!F2:F100)</f>
        <v/>
      </c>
    </row>
    <row r="7" ht="24" customHeight="1">
      <c r="B7" s="11" t="inlineStr">
        <is>
          <t>Groupes prévus</t>
        </is>
      </c>
      <c r="C7" s="13">
        <f>COUNTA(Clients!B2:B30)</f>
        <v/>
      </c>
    </row>
    <row r="8" ht="24" customHeight="1">
      <c r="B8" s="11" t="inlineStr">
        <is>
          <t>Activités planifiées</t>
        </is>
      </c>
      <c r="C8" s="13">
        <f>COUNTA(Itineraire!B2:B100)</f>
        <v/>
      </c>
    </row>
    <row r="9" ht="24" customHeight="1">
      <c r="B9" s="11" t="inlineStr">
        <is>
          <t>Dépenses moyennes/jour</t>
        </is>
      </c>
      <c r="C9" s="12">
        <f>AVERAGE(Itineraire!E2:E100)</f>
        <v/>
      </c>
    </row>
    <row r="10" ht="24" customHeight="1">
      <c r="B10" s="11" t="inlineStr">
        <is>
          <t>Prochain groupe</t>
        </is>
      </c>
      <c r="C10" s="14">
        <f>MIN(Clients!A2:A30)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2" customWidth="1" min="4" max="4"/>
    <col width="22" customWidth="1" min="5" max="5"/>
  </cols>
  <sheetData>
    <row r="1" ht="32" customHeight="1">
      <c r="A1" s="15" t="inlineStr">
        <is>
          <t>Date arrivée</t>
        </is>
      </c>
      <c r="B1" s="15" t="inlineStr">
        <is>
          <t>Groupe</t>
        </is>
      </c>
      <c r="C1" s="15" t="inlineStr">
        <is>
          <t>Nombre</t>
        </is>
      </c>
      <c r="D1" s="15" t="inlineStr">
        <is>
          <t>Langue</t>
        </is>
      </c>
      <c r="E1" s="15" t="inlineStr">
        <is>
          <t>Spécificités</t>
        </is>
      </c>
    </row>
    <row r="2">
      <c r="A2" s="16" t="n">
        <v>46157</v>
      </c>
      <c r="B2" s="17" t="inlineStr">
        <is>
          <t>Famille Dupont</t>
        </is>
      </c>
      <c r="C2" s="18" t="n">
        <v>4</v>
      </c>
      <c r="D2" s="17" t="inlineStr">
        <is>
          <t>FR</t>
        </is>
      </c>
      <c r="E2" s="17" t="inlineStr">
        <is>
          <t>Enfants 8&amp;12 ans</t>
        </is>
      </c>
    </row>
    <row r="3">
      <c r="A3" s="16" t="n">
        <v>46175</v>
      </c>
      <c r="B3" s="17" t="inlineStr">
        <is>
          <t>Couple Müller</t>
        </is>
      </c>
      <c r="C3" s="18" t="n">
        <v>2</v>
      </c>
      <c r="D3" s="17" t="inlineStr">
        <is>
          <t>DE</t>
        </is>
      </c>
      <c r="E3" s="17" t="inlineStr">
        <is>
          <t>Randonnée</t>
        </is>
      </c>
    </row>
    <row r="4">
      <c r="A4" s="16" t="n">
        <v>46223</v>
      </c>
      <c r="B4" s="17" t="inlineStr">
        <is>
          <t>Groupe scolaire</t>
        </is>
      </c>
      <c r="C4" s="18" t="n">
        <v>24</v>
      </c>
      <c r="D4" s="17" t="inlineStr">
        <is>
          <t>EN</t>
        </is>
      </c>
      <c r="E4" s="17" t="inlineStr">
        <is>
          <t>Visites culturelles</t>
        </is>
      </c>
    </row>
    <row r="5">
      <c r="A5" s="16" t="n"/>
      <c r="B5" s="17" t="n"/>
      <c r="C5" s="18" t="n"/>
      <c r="D5" s="17" t="n"/>
      <c r="E5" s="17" t="n"/>
    </row>
    <row r="6">
      <c r="A6" s="16" t="n"/>
      <c r="B6" s="17" t="n"/>
      <c r="C6" s="18" t="n"/>
      <c r="D6" s="17" t="n"/>
      <c r="E6" s="17" t="n"/>
    </row>
    <row r="7">
      <c r="A7" s="16" t="n"/>
      <c r="B7" s="17" t="n"/>
      <c r="C7" s="18" t="n"/>
      <c r="D7" s="17" t="n"/>
      <c r="E7" s="17" t="n"/>
    </row>
    <row r="8">
      <c r="A8" s="16" t="n"/>
      <c r="B8" s="17" t="n"/>
      <c r="C8" s="18" t="n"/>
      <c r="D8" s="17" t="n"/>
      <c r="E8" s="17" t="n"/>
    </row>
    <row r="9">
      <c r="A9" s="16" t="n"/>
      <c r="B9" s="17" t="n"/>
      <c r="C9" s="18" t="n"/>
      <c r="D9" s="17" t="n"/>
      <c r="E9" s="17" t="n"/>
    </row>
    <row r="10">
      <c r="A10" s="16" t="n"/>
      <c r="B10" s="17" t="n"/>
      <c r="C10" s="18" t="n"/>
      <c r="D10" s="17" t="n"/>
      <c r="E10" s="17" t="n"/>
    </row>
    <row r="11">
      <c r="A11" s="16" t="n"/>
      <c r="B11" s="17" t="n"/>
      <c r="C11" s="18" t="n"/>
      <c r="D11" s="17" t="n"/>
      <c r="E11" s="17" t="n"/>
    </row>
    <row r="12">
      <c r="A12" s="16" t="n"/>
      <c r="B12" s="17" t="n"/>
      <c r="C12" s="18" t="n"/>
      <c r="D12" s="17" t="n"/>
      <c r="E12" s="17" t="n"/>
    </row>
    <row r="13">
      <c r="A13" s="16" t="n"/>
      <c r="B13" s="17" t="n"/>
      <c r="C13" s="18" t="n"/>
      <c r="D13" s="17" t="n"/>
      <c r="E13" s="17" t="n"/>
    </row>
    <row r="14">
      <c r="A14" s="16" t="n"/>
      <c r="B14" s="17" t="n"/>
      <c r="C14" s="18" t="n"/>
      <c r="D14" s="17" t="n"/>
      <c r="E14" s="17" t="n"/>
    </row>
    <row r="15">
      <c r="A15" s="16" t="n"/>
      <c r="B15" s="17" t="n"/>
      <c r="C15" s="18" t="n"/>
      <c r="D15" s="17" t="n"/>
      <c r="E15" s="17" t="n"/>
    </row>
    <row r="16">
      <c r="A16" s="16" t="n"/>
      <c r="B16" s="17" t="n"/>
      <c r="C16" s="18" t="n"/>
      <c r="D16" s="17" t="n"/>
      <c r="E16" s="17" t="n"/>
    </row>
    <row r="17">
      <c r="A17" s="16" t="n"/>
      <c r="B17" s="17" t="n"/>
      <c r="C17" s="18" t="n"/>
      <c r="D17" s="17" t="n"/>
      <c r="E17" s="17" t="n"/>
    </row>
    <row r="18">
      <c r="A18" s="16" t="n"/>
      <c r="B18" s="17" t="n"/>
      <c r="C18" s="18" t="n"/>
      <c r="D18" s="17" t="n"/>
      <c r="E18" s="17" t="n"/>
    </row>
    <row r="19">
      <c r="A19" s="16" t="n"/>
      <c r="B19" s="17" t="n"/>
      <c r="C19" s="18" t="n"/>
      <c r="D19" s="17" t="n"/>
      <c r="E19" s="17" t="n"/>
    </row>
    <row r="20">
      <c r="A20" s="16" t="n"/>
      <c r="B20" s="17" t="n"/>
      <c r="C20" s="18" t="n"/>
      <c r="D20" s="17" t="n"/>
      <c r="E20" s="17" t="n"/>
    </row>
    <row r="21">
      <c r="A21" s="16" t="n"/>
      <c r="B21" s="17" t="n"/>
      <c r="C21" s="18" t="n"/>
      <c r="D21" s="17" t="n"/>
      <c r="E21" s="17" t="n"/>
    </row>
    <row r="22">
      <c r="A22" s="16" t="n"/>
      <c r="B22" s="17" t="n"/>
      <c r="C22" s="18" t="n"/>
      <c r="D22" s="17" t="n"/>
      <c r="E22" s="17" t="n"/>
    </row>
    <row r="23">
      <c r="A23" s="16" t="n"/>
      <c r="B23" s="17" t="n"/>
      <c r="C23" s="18" t="n"/>
      <c r="D23" s="17" t="n"/>
      <c r="E23" s="17" t="n"/>
    </row>
    <row r="24">
      <c r="A24" s="16" t="n"/>
      <c r="B24" s="17" t="n"/>
      <c r="C24" s="18" t="n"/>
      <c r="D24" s="17" t="n"/>
      <c r="E24" s="17" t="n"/>
    </row>
    <row r="25">
      <c r="A25" s="16" t="n"/>
      <c r="B25" s="17" t="n"/>
      <c r="C25" s="18" t="n"/>
      <c r="D25" s="17" t="n"/>
      <c r="E25" s="17" t="n"/>
    </row>
    <row r="26">
      <c r="A26" s="16" t="n"/>
      <c r="B26" s="17" t="n"/>
      <c r="C26" s="18" t="n"/>
      <c r="D26" s="17" t="n"/>
      <c r="E26" s="17" t="n"/>
    </row>
    <row r="27">
      <c r="A27" s="16" t="n"/>
      <c r="B27" s="17" t="n"/>
      <c r="C27" s="18" t="n"/>
      <c r="D27" s="17" t="n"/>
      <c r="E27" s="17" t="n"/>
    </row>
    <row r="28">
      <c r="A28" s="16" t="n"/>
      <c r="B28" s="17" t="n"/>
      <c r="C28" s="18" t="n"/>
      <c r="D28" s="17" t="n"/>
      <c r="E28" s="17" t="n"/>
    </row>
    <row r="29">
      <c r="A29" s="16" t="n"/>
      <c r="B29" s="17" t="n"/>
      <c r="C29" s="18" t="n"/>
      <c r="D29" s="17" t="n"/>
      <c r="E29" s="17" t="n"/>
    </row>
    <row r="30">
      <c r="A30" s="16" t="n"/>
      <c r="B30" s="17" t="n"/>
      <c r="C30" s="18" t="n"/>
      <c r="D30" s="17" t="n"/>
      <c r="E30" s="17" t="n"/>
    </row>
    <row r="31">
      <c r="A31" s="16" t="n"/>
      <c r="B31" s="17" t="n"/>
      <c r="C31" s="18" t="n"/>
      <c r="D31" s="17" t="n"/>
      <c r="E31" s="17" t="n"/>
    </row>
    <row r="32">
      <c r="A32" s="16" t="n"/>
      <c r="B32" s="17" t="n"/>
      <c r="C32" s="18" t="n"/>
      <c r="D32" s="17" t="n"/>
      <c r="E32" s="17" t="n"/>
    </row>
    <row r="33">
      <c r="A33" s="16" t="n"/>
      <c r="B33" s="17" t="n"/>
      <c r="C33" s="18" t="n"/>
      <c r="D33" s="17" t="n"/>
      <c r="E33" s="17" t="n"/>
    </row>
    <row r="34">
      <c r="A34" s="16" t="n"/>
      <c r="B34" s="17" t="n"/>
      <c r="C34" s="18" t="n"/>
      <c r="D34" s="17" t="n"/>
      <c r="E34" s="17" t="n"/>
    </row>
  </sheetData>
  <dataValidations count="1">
    <dataValidation sqref="D2:D34" showDropDown="0" showInputMessage="0" showErrorMessage="0" allowBlank="1" type="list">
      <formula1>"FR,DE,EN,ES,ZH"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2" customWidth="1" min="3" max="3"/>
    <col width="14" customWidth="1" min="4" max="4"/>
    <col width="40" customWidth="1" min="5" max="5"/>
    <col width="12" customWidth="1" min="6" max="6"/>
  </cols>
  <sheetData>
    <row r="1" ht="32" customHeight="1">
      <c r="A1" s="15" t="inlineStr">
        <is>
          <t>Jour</t>
        </is>
      </c>
      <c r="B1" s="15" t="inlineStr">
        <is>
          <t>Activité</t>
        </is>
      </c>
      <c r="C1" s="15" t="inlineStr">
        <is>
          <t>Lieu</t>
        </is>
      </c>
      <c r="D1" s="15" t="inlineStr">
        <is>
          <t>Heure</t>
        </is>
      </c>
      <c r="E1" s="15" t="inlineStr">
        <is>
          <t>Coût</t>
        </is>
      </c>
      <c r="F1" s="15" t="inlineStr">
        <is>
          <t>Transport</t>
        </is>
      </c>
    </row>
    <row r="2">
      <c r="A2" s="16" t="n">
        <v>46158</v>
      </c>
      <c r="B2" s="17" t="inlineStr">
        <is>
          <t>Visite château Hohenzollern</t>
        </is>
      </c>
      <c r="C2" s="17" t="inlineStr">
        <is>
          <t>Bisingen</t>
        </is>
      </c>
      <c r="D2" s="17" t="inlineStr">
        <is>
          <t>09:00-12:00</t>
        </is>
      </c>
      <c r="E2" s="19">
        <f>IF(E2&gt;100, E2*0.95, E2)</f>
        <v/>
      </c>
      <c r="F2" s="17" t="inlineStr">
        <is>
          <t>Minibus</t>
        </is>
      </c>
    </row>
    <row r="3">
      <c r="A3" s="16" t="n">
        <v>46158</v>
      </c>
      <c r="B3" s="17" t="inlineStr">
        <is>
          <t>Déjeuner typique</t>
        </is>
      </c>
      <c r="C3" s="17" t="inlineStr">
        <is>
          <t>Tübingen</t>
        </is>
      </c>
      <c r="D3" s="17" t="inlineStr">
        <is>
          <t>12:30-14:00</t>
        </is>
      </c>
      <c r="E3" s="19">
        <f>IF(E3&gt;100, E3*0.95, E3)</f>
        <v/>
      </c>
      <c r="F3" s="17" t="inlineStr">
        <is>
          <t>À pied</t>
        </is>
      </c>
    </row>
    <row r="4">
      <c r="A4" s="16" t="n">
        <v>46159</v>
      </c>
      <c r="B4" s="17" t="inlineStr">
        <is>
          <t>Randonnée Triberg</t>
        </is>
      </c>
      <c r="C4" s="17" t="inlineStr">
        <is>
          <t>Triberg</t>
        </is>
      </c>
      <c r="D4" s="17" t="inlineStr">
        <is>
          <t>08:30-16:00</t>
        </is>
      </c>
      <c r="E4" s="19">
        <f>IF(E4&gt;100, E4*0.95, E4)</f>
        <v/>
      </c>
      <c r="F4" s="17" t="inlineStr">
        <is>
          <t>Minibus</t>
        </is>
      </c>
    </row>
    <row r="5">
      <c r="A5" s="16" t="n"/>
      <c r="B5" s="17" t="n"/>
      <c r="C5" s="17" t="n"/>
      <c r="D5" s="17" t="n"/>
      <c r="E5" s="19">
        <f>IF(A5="","",IF(E5&gt;100, E5*0.95, E5))</f>
        <v/>
      </c>
      <c r="F5" s="17" t="n"/>
    </row>
    <row r="6">
      <c r="A6" s="16" t="n"/>
      <c r="B6" s="17" t="n"/>
      <c r="C6" s="17" t="n"/>
      <c r="D6" s="17" t="n"/>
      <c r="E6" s="19">
        <f>IF(A6="","",IF(E6&gt;100, E6*0.95, E6))</f>
        <v/>
      </c>
      <c r="F6" s="17" t="n"/>
    </row>
    <row r="7">
      <c r="A7" s="16" t="n"/>
      <c r="B7" s="17" t="n"/>
      <c r="C7" s="17" t="n"/>
      <c r="D7" s="17" t="n"/>
      <c r="E7" s="19">
        <f>IF(A7="","",IF(E7&gt;100, E7*0.95, E7))</f>
        <v/>
      </c>
      <c r="F7" s="17" t="n"/>
    </row>
    <row r="8">
      <c r="A8" s="16" t="n"/>
      <c r="B8" s="17" t="n"/>
      <c r="C8" s="17" t="n"/>
      <c r="D8" s="17" t="n"/>
      <c r="E8" s="19">
        <f>IF(A8="","",IF(E8&gt;100, E8*0.95, E8))</f>
        <v/>
      </c>
      <c r="F8" s="17" t="n"/>
    </row>
    <row r="9">
      <c r="A9" s="16" t="n"/>
      <c r="B9" s="17" t="n"/>
      <c r="C9" s="17" t="n"/>
      <c r="D9" s="17" t="n"/>
      <c r="E9" s="19">
        <f>IF(A9="","",IF(E9&gt;100, E9*0.95, E9))</f>
        <v/>
      </c>
      <c r="F9" s="17" t="n"/>
    </row>
    <row r="10">
      <c r="A10" s="16" t="n"/>
      <c r="B10" s="17" t="n"/>
      <c r="C10" s="17" t="n"/>
      <c r="D10" s="17" t="n"/>
      <c r="E10" s="19">
        <f>IF(A10="","",IF(E10&gt;100, E10*0.95, E10))</f>
        <v/>
      </c>
      <c r="F10" s="17" t="n"/>
    </row>
    <row r="11">
      <c r="A11" s="16" t="n"/>
      <c r="B11" s="17" t="n"/>
      <c r="C11" s="17" t="n"/>
      <c r="D11" s="17" t="n"/>
      <c r="E11" s="19">
        <f>IF(A11="","",IF(E11&gt;100, E11*0.95, E11))</f>
        <v/>
      </c>
      <c r="F11" s="17" t="n"/>
    </row>
    <row r="12">
      <c r="A12" s="16" t="n"/>
      <c r="B12" s="17" t="n"/>
      <c r="C12" s="17" t="n"/>
      <c r="D12" s="17" t="n"/>
      <c r="E12" s="19">
        <f>IF(A12="","",IF(E12&gt;100, E12*0.95, E12))</f>
        <v/>
      </c>
      <c r="F12" s="17" t="n"/>
    </row>
    <row r="13">
      <c r="A13" s="16" t="n"/>
      <c r="B13" s="17" t="n"/>
      <c r="C13" s="17" t="n"/>
      <c r="D13" s="17" t="n"/>
      <c r="E13" s="19">
        <f>IF(A13="","",IF(E13&gt;100, E13*0.95, E13))</f>
        <v/>
      </c>
      <c r="F13" s="17" t="n"/>
    </row>
    <row r="14">
      <c r="A14" s="16" t="n"/>
      <c r="B14" s="17" t="n"/>
      <c r="C14" s="17" t="n"/>
      <c r="D14" s="17" t="n"/>
      <c r="E14" s="19">
        <f>IF(A14="","",IF(E14&gt;100, E14*0.95, E14))</f>
        <v/>
      </c>
      <c r="F14" s="17" t="n"/>
    </row>
    <row r="15">
      <c r="A15" s="16" t="n"/>
      <c r="B15" s="17" t="n"/>
      <c r="C15" s="17" t="n"/>
      <c r="D15" s="17" t="n"/>
      <c r="E15" s="19">
        <f>IF(A15="","",IF(E15&gt;100, E15*0.95, E15))</f>
        <v/>
      </c>
      <c r="F15" s="17" t="n"/>
    </row>
    <row r="16">
      <c r="A16" s="16" t="n"/>
      <c r="B16" s="17" t="n"/>
      <c r="C16" s="17" t="n"/>
      <c r="D16" s="17" t="n"/>
      <c r="E16" s="19">
        <f>IF(A16="","",IF(E16&gt;100, E16*0.95, E16))</f>
        <v/>
      </c>
      <c r="F16" s="17" t="n"/>
    </row>
    <row r="17">
      <c r="A17" s="16" t="n"/>
      <c r="B17" s="17" t="n"/>
      <c r="C17" s="17" t="n"/>
      <c r="D17" s="17" t="n"/>
      <c r="E17" s="19">
        <f>IF(A17="","",IF(E17&gt;100, E17*0.95, E17))</f>
        <v/>
      </c>
      <c r="F17" s="17" t="n"/>
    </row>
    <row r="18">
      <c r="A18" s="16" t="n"/>
      <c r="B18" s="17" t="n"/>
      <c r="C18" s="17" t="n"/>
      <c r="D18" s="17" t="n"/>
      <c r="E18" s="19">
        <f>IF(A18="","",IF(E18&gt;100, E18*0.95, E18))</f>
        <v/>
      </c>
      <c r="F18" s="17" t="n"/>
    </row>
    <row r="19">
      <c r="A19" s="16" t="n"/>
      <c r="B19" s="17" t="n"/>
      <c r="C19" s="17" t="n"/>
      <c r="D19" s="17" t="n"/>
      <c r="E19" s="19">
        <f>IF(A19="","",IF(E19&gt;100, E19*0.95, E19))</f>
        <v/>
      </c>
      <c r="F19" s="17" t="n"/>
    </row>
    <row r="20">
      <c r="A20" s="16" t="n"/>
      <c r="B20" s="17" t="n"/>
      <c r="C20" s="17" t="n"/>
      <c r="D20" s="17" t="n"/>
      <c r="E20" s="19">
        <f>IF(A20="","",IF(E20&gt;100, E20*0.95, E20))</f>
        <v/>
      </c>
      <c r="F20" s="17" t="n"/>
    </row>
    <row r="21">
      <c r="A21" s="16" t="n"/>
      <c r="B21" s="17" t="n"/>
      <c r="C21" s="17" t="n"/>
      <c r="D21" s="17" t="n"/>
      <c r="E21" s="19">
        <f>IF(A21="","",IF(E21&gt;100, E21*0.95, E21))</f>
        <v/>
      </c>
      <c r="F21" s="17" t="n"/>
    </row>
    <row r="22">
      <c r="A22" s="16" t="n"/>
      <c r="B22" s="17" t="n"/>
      <c r="C22" s="17" t="n"/>
      <c r="D22" s="17" t="n"/>
      <c r="E22" s="19">
        <f>IF(A22="","",IF(E22&gt;100, E22*0.95, E22))</f>
        <v/>
      </c>
      <c r="F22" s="17" t="n"/>
    </row>
    <row r="23">
      <c r="A23" s="16" t="n"/>
      <c r="B23" s="17" t="n"/>
      <c r="C23" s="17" t="n"/>
      <c r="D23" s="17" t="n"/>
      <c r="E23" s="19">
        <f>IF(A23="","",IF(E23&gt;100, E23*0.95, E23))</f>
        <v/>
      </c>
      <c r="F23" s="17" t="n"/>
    </row>
    <row r="24">
      <c r="A24" s="16" t="n"/>
      <c r="B24" s="17" t="n"/>
      <c r="C24" s="17" t="n"/>
      <c r="D24" s="17" t="n"/>
      <c r="E24" s="19">
        <f>IF(A24="","",IF(E24&gt;100, E24*0.95, E24))</f>
        <v/>
      </c>
      <c r="F24" s="17" t="n"/>
    </row>
    <row r="25">
      <c r="A25" s="16" t="n"/>
      <c r="B25" s="17" t="n"/>
      <c r="C25" s="17" t="n"/>
      <c r="D25" s="17" t="n"/>
      <c r="E25" s="19">
        <f>IF(A25="","",IF(E25&gt;100, E25*0.95, E25))</f>
        <v/>
      </c>
      <c r="F25" s="17" t="n"/>
    </row>
    <row r="26">
      <c r="A26" s="16" t="n"/>
      <c r="B26" s="17" t="n"/>
      <c r="C26" s="17" t="n"/>
      <c r="D26" s="17" t="n"/>
      <c r="E26" s="19">
        <f>IF(A26="","",IF(E26&gt;100, E26*0.95, E26))</f>
        <v/>
      </c>
      <c r="F26" s="17" t="n"/>
    </row>
    <row r="27">
      <c r="A27" s="16" t="n"/>
      <c r="B27" s="17" t="n"/>
      <c r="C27" s="17" t="n"/>
      <c r="D27" s="17" t="n"/>
      <c r="E27" s="19">
        <f>IF(A27="","",IF(E27&gt;100, E27*0.95, E27))</f>
        <v/>
      </c>
      <c r="F27" s="17" t="n"/>
    </row>
    <row r="28">
      <c r="A28" s="16" t="n"/>
      <c r="B28" s="17" t="n"/>
      <c r="C28" s="17" t="n"/>
      <c r="D28" s="17" t="n"/>
      <c r="E28" s="19">
        <f>IF(A28="","",IF(E28&gt;100, E28*0.95, E28))</f>
        <v/>
      </c>
      <c r="F28" s="17" t="n"/>
    </row>
    <row r="29">
      <c r="A29" s="16" t="n"/>
      <c r="B29" s="17" t="n"/>
      <c r="C29" s="17" t="n"/>
      <c r="D29" s="17" t="n"/>
      <c r="E29" s="19">
        <f>IF(A29="","",IF(E29&gt;100, E29*0.95, E29))</f>
        <v/>
      </c>
      <c r="F29" s="17" t="n"/>
    </row>
    <row r="30">
      <c r="A30" s="16" t="n"/>
      <c r="B30" s="17" t="n"/>
      <c r="C30" s="17" t="n"/>
      <c r="D30" s="17" t="n"/>
      <c r="E30" s="19">
        <f>IF(A30="","",IF(E30&gt;100, E30*0.95, E30))</f>
        <v/>
      </c>
      <c r="F30" s="17" t="n"/>
    </row>
    <row r="31">
      <c r="A31" s="16" t="n"/>
      <c r="B31" s="17" t="n"/>
      <c r="C31" s="17" t="n"/>
      <c r="D31" s="17" t="n"/>
      <c r="E31" s="19">
        <f>IF(A31="","",IF(E31&gt;100, E31*0.95, E31))</f>
        <v/>
      </c>
      <c r="F31" s="17" t="n"/>
    </row>
    <row r="32">
      <c r="A32" s="16" t="n"/>
      <c r="B32" s="17" t="n"/>
      <c r="C32" s="17" t="n"/>
      <c r="D32" s="17" t="n"/>
      <c r="E32" s="19">
        <f>IF(A32="","",IF(E32&gt;100, E32*0.95, E32))</f>
        <v/>
      </c>
      <c r="F32" s="17" t="n"/>
    </row>
    <row r="33">
      <c r="A33" s="16" t="n"/>
      <c r="B33" s="17" t="n"/>
      <c r="C33" s="17" t="n"/>
      <c r="D33" s="17" t="n"/>
      <c r="E33" s="19">
        <f>IF(A33="","",IF(E33&gt;100, E33*0.95, E33))</f>
        <v/>
      </c>
      <c r="F33" s="17" t="n"/>
    </row>
    <row r="34">
      <c r="A34" s="16" t="n"/>
      <c r="B34" s="17" t="n"/>
      <c r="C34" s="17" t="n"/>
      <c r="D34" s="17" t="n"/>
      <c r="E34" s="19">
        <f>IF(A34="","",IF(E34&gt;100, E34*0.95, E34))</f>
        <v/>
      </c>
      <c r="F34" s="17" t="n"/>
    </row>
    <row r="35">
      <c r="A35" s="16" t="n"/>
      <c r="B35" s="17" t="n"/>
      <c r="C35" s="17" t="n"/>
      <c r="D35" s="17" t="n"/>
      <c r="E35" s="19">
        <f>IF(A35="","",IF(E35&gt;100, E35*0.95, E35))</f>
        <v/>
      </c>
      <c r="F35" s="17" t="n"/>
    </row>
    <row r="36">
      <c r="A36" s="16" t="n"/>
      <c r="B36" s="17" t="n"/>
      <c r="C36" s="17" t="n"/>
      <c r="D36" s="17" t="n"/>
      <c r="E36" s="19">
        <f>IF(A36="","",IF(E36&gt;100, E36*0.95, E36))</f>
        <v/>
      </c>
      <c r="F36" s="17" t="n"/>
    </row>
    <row r="37">
      <c r="A37" s="16" t="n"/>
      <c r="B37" s="17" t="n"/>
      <c r="C37" s="17" t="n"/>
      <c r="D37" s="17" t="n"/>
      <c r="E37" s="19">
        <f>IF(A37="","",IF(E37&gt;100, E37*0.95, E37))</f>
        <v/>
      </c>
      <c r="F37" s="17" t="n"/>
    </row>
    <row r="38">
      <c r="A38" s="16" t="n"/>
      <c r="B38" s="17" t="n"/>
      <c r="C38" s="17" t="n"/>
      <c r="D38" s="17" t="n"/>
      <c r="E38" s="19">
        <f>IF(A38="","",IF(E38&gt;100, E38*0.95, E38))</f>
        <v/>
      </c>
      <c r="F38" s="17" t="n"/>
    </row>
    <row r="39">
      <c r="A39" s="16" t="n"/>
      <c r="B39" s="17" t="n"/>
      <c r="C39" s="17" t="n"/>
      <c r="D39" s="17" t="n"/>
      <c r="E39" s="19">
        <f>IF(A39="","",IF(E39&gt;100, E39*0.95, E39))</f>
        <v/>
      </c>
      <c r="F39" s="17" t="n"/>
    </row>
    <row r="40">
      <c r="A40" s="16" t="n"/>
      <c r="B40" s="17" t="n"/>
      <c r="C40" s="17" t="n"/>
      <c r="D40" s="17" t="n"/>
      <c r="E40" s="19">
        <f>IF(A40="","",IF(E40&gt;100, E40*0.95, E40))</f>
        <v/>
      </c>
      <c r="F40" s="17" t="n"/>
    </row>
    <row r="41">
      <c r="A41" s="16" t="n"/>
      <c r="B41" s="17" t="n"/>
      <c r="C41" s="17" t="n"/>
      <c r="D41" s="17" t="n"/>
      <c r="E41" s="19">
        <f>IF(A41="","",IF(E41&gt;100, E41*0.95, E41))</f>
        <v/>
      </c>
      <c r="F41" s="17" t="n"/>
    </row>
    <row r="42">
      <c r="A42" s="16" t="n"/>
      <c r="B42" s="17" t="n"/>
      <c r="C42" s="17" t="n"/>
      <c r="D42" s="17" t="n"/>
      <c r="E42" s="19">
        <f>IF(A42="","",IF(E42&gt;100, E42*0.95, E42))</f>
        <v/>
      </c>
      <c r="F42" s="17" t="n"/>
    </row>
    <row r="43">
      <c r="A43" s="16" t="n"/>
      <c r="B43" s="17" t="n"/>
      <c r="C43" s="17" t="n"/>
      <c r="D43" s="17" t="n"/>
      <c r="E43" s="19">
        <f>IF(A43="","",IF(E43&gt;100, E43*0.95, E43))</f>
        <v/>
      </c>
      <c r="F43" s="17" t="n"/>
    </row>
    <row r="44">
      <c r="A44" s="16" t="n"/>
      <c r="B44" s="17" t="n"/>
      <c r="C44" s="17" t="n"/>
      <c r="D44" s="17" t="n"/>
      <c r="E44" s="19">
        <f>IF(A44="","",IF(E44&gt;100, E44*0.95, E44))</f>
        <v/>
      </c>
      <c r="F44" s="17" t="n"/>
    </row>
  </sheetData>
  <conditionalFormatting sqref="E2:E44">
    <cfRule type="cellIs" priority="1" operator="lessThan" dxfId="0">
      <formula>0</formula>
    </cfRule>
  </conditionalFormatting>
  <dataValidations count="1">
    <dataValidation sqref="F2:F44" showDropDown="0" showInputMessage="0" showErrorMessage="0" allowBlank="1" type="list">
      <formula1>"Minibus,À pied,Train,Vélo"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3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5" t="inlineStr">
        <is>
          <t>Date</t>
        </is>
      </c>
      <c r="B1" s="15" t="inlineStr">
        <is>
          <t>Catégorie</t>
        </is>
      </c>
      <c r="C1" s="15" t="inlineStr">
        <is>
          <t>Description</t>
        </is>
      </c>
      <c r="D1" s="15" t="inlineStr">
        <is>
          <t>Montant</t>
        </is>
      </c>
      <c r="E1" s="15" t="inlineStr">
        <is>
          <t>Payé</t>
        </is>
      </c>
      <c r="F1" s="15" t="inlineStr">
        <is>
          <t>Reste</t>
        </is>
      </c>
    </row>
    <row r="2">
      <c r="A2" s="16" t="n">
        <v>46132</v>
      </c>
      <c r="B2" s="17" t="inlineStr">
        <is>
          <t>Hébergement</t>
        </is>
      </c>
      <c r="C2" s="17" t="inlineStr">
        <is>
          <t>Hotel Schwarzwaldhof (3 nuits)</t>
        </is>
      </c>
      <c r="D2" s="20" t="n">
        <v>750</v>
      </c>
      <c r="E2" s="20" t="n">
        <v>750</v>
      </c>
      <c r="F2" s="19">
        <f>D2-E2</f>
        <v/>
      </c>
    </row>
    <row r="3">
      <c r="A3" s="16" t="n">
        <v>46137</v>
      </c>
      <c r="B3" s="17" t="inlineStr">
        <is>
          <t>Transport</t>
        </is>
      </c>
      <c r="C3" s="17" t="inlineStr">
        <is>
          <t>Location minibus</t>
        </is>
      </c>
      <c r="D3" s="20" t="n">
        <v>400</v>
      </c>
      <c r="E3" s="20" t="n">
        <v>200</v>
      </c>
      <c r="F3" s="19">
        <f>D3-E3</f>
        <v/>
      </c>
    </row>
    <row r="4">
      <c r="A4" s="16" t="n">
        <v>46143</v>
      </c>
      <c r="B4" s="17" t="inlineStr">
        <is>
          <t>Nourriture</t>
        </is>
      </c>
      <c r="C4" s="17" t="inlineStr">
        <is>
          <t>Dépôt traiteur</t>
        </is>
      </c>
      <c r="D4" s="20" t="n">
        <v>300</v>
      </c>
      <c r="E4" s="20" t="n">
        <v>150</v>
      </c>
      <c r="F4" s="19">
        <f>D4-E4</f>
        <v/>
      </c>
    </row>
    <row r="5">
      <c r="A5" s="16" t="n"/>
      <c r="B5" s="17" t="n"/>
      <c r="C5" s="17" t="n"/>
      <c r="D5" s="20" t="n"/>
      <c r="E5" s="20" t="n"/>
      <c r="F5" s="19">
        <f>IF(A5="","",D5-E5)</f>
        <v/>
      </c>
    </row>
    <row r="6">
      <c r="A6" s="16" t="n"/>
      <c r="B6" s="17" t="n"/>
      <c r="C6" s="17" t="n"/>
      <c r="D6" s="20" t="n"/>
      <c r="E6" s="20" t="n"/>
      <c r="F6" s="19">
        <f>IF(A6="","",D6-E6)</f>
        <v/>
      </c>
    </row>
    <row r="7">
      <c r="A7" s="16" t="n"/>
      <c r="B7" s="17" t="n"/>
      <c r="C7" s="17" t="n"/>
      <c r="D7" s="20" t="n"/>
      <c r="E7" s="20" t="n"/>
      <c r="F7" s="19">
        <f>IF(A7="","",D7-E7)</f>
        <v/>
      </c>
    </row>
    <row r="8">
      <c r="A8" s="16" t="n"/>
      <c r="B8" s="17" t="n"/>
      <c r="C8" s="17" t="n"/>
      <c r="D8" s="20" t="n"/>
      <c r="E8" s="20" t="n"/>
      <c r="F8" s="19">
        <f>IF(A8="","",D8-E8)</f>
        <v/>
      </c>
    </row>
    <row r="9">
      <c r="A9" s="16" t="n"/>
      <c r="B9" s="17" t="n"/>
      <c r="C9" s="17" t="n"/>
      <c r="D9" s="20" t="n"/>
      <c r="E9" s="20" t="n"/>
      <c r="F9" s="19">
        <f>IF(A9="","",D9-E9)</f>
        <v/>
      </c>
    </row>
    <row r="10">
      <c r="A10" s="16" t="n"/>
      <c r="B10" s="17" t="n"/>
      <c r="C10" s="17" t="n"/>
      <c r="D10" s="20" t="n"/>
      <c r="E10" s="20" t="n"/>
      <c r="F10" s="19">
        <f>IF(A10="","",D10-E10)</f>
        <v/>
      </c>
    </row>
    <row r="11">
      <c r="A11" s="16" t="n"/>
      <c r="B11" s="17" t="n"/>
      <c r="C11" s="17" t="n"/>
      <c r="D11" s="20" t="n"/>
      <c r="E11" s="20" t="n"/>
      <c r="F11" s="19">
        <f>IF(A11="","",D11-E11)</f>
        <v/>
      </c>
    </row>
    <row r="12">
      <c r="A12" s="16" t="n"/>
      <c r="B12" s="17" t="n"/>
      <c r="C12" s="17" t="n"/>
      <c r="D12" s="20" t="n"/>
      <c r="E12" s="20" t="n"/>
      <c r="F12" s="19">
        <f>IF(A12="","",D12-E12)</f>
        <v/>
      </c>
    </row>
    <row r="13">
      <c r="A13" s="16" t="n"/>
      <c r="B13" s="17" t="n"/>
      <c r="C13" s="17" t="n"/>
      <c r="D13" s="20" t="n"/>
      <c r="E13" s="20" t="n"/>
      <c r="F13" s="19">
        <f>IF(A13="","",D13-E13)</f>
        <v/>
      </c>
    </row>
    <row r="14">
      <c r="A14" s="16" t="n"/>
      <c r="B14" s="17" t="n"/>
      <c r="C14" s="17" t="n"/>
      <c r="D14" s="20" t="n"/>
      <c r="E14" s="20" t="n"/>
      <c r="F14" s="19">
        <f>IF(A14="","",D14-E14)</f>
        <v/>
      </c>
    </row>
    <row r="15">
      <c r="A15" s="16" t="n"/>
      <c r="B15" s="17" t="n"/>
      <c r="C15" s="17" t="n"/>
      <c r="D15" s="20" t="n"/>
      <c r="E15" s="20" t="n"/>
      <c r="F15" s="19">
        <f>IF(A15="","",D15-E15)</f>
        <v/>
      </c>
    </row>
    <row r="16">
      <c r="A16" s="16" t="n"/>
      <c r="B16" s="17" t="n"/>
      <c r="C16" s="17" t="n"/>
      <c r="D16" s="20" t="n"/>
      <c r="E16" s="20" t="n"/>
      <c r="F16" s="19">
        <f>IF(A16="","",D16-E16)</f>
        <v/>
      </c>
    </row>
    <row r="17">
      <c r="A17" s="16" t="n"/>
      <c r="B17" s="17" t="n"/>
      <c r="C17" s="17" t="n"/>
      <c r="D17" s="20" t="n"/>
      <c r="E17" s="20" t="n"/>
      <c r="F17" s="19">
        <f>IF(A17="","",D17-E17)</f>
        <v/>
      </c>
    </row>
    <row r="18">
      <c r="A18" s="16" t="n"/>
      <c r="B18" s="17" t="n"/>
      <c r="C18" s="17" t="n"/>
      <c r="D18" s="20" t="n"/>
      <c r="E18" s="20" t="n"/>
      <c r="F18" s="19">
        <f>IF(A18="","",D18-E18)</f>
        <v/>
      </c>
    </row>
    <row r="19">
      <c r="A19" s="16" t="n"/>
      <c r="B19" s="17" t="n"/>
      <c r="C19" s="17" t="n"/>
      <c r="D19" s="20" t="n"/>
      <c r="E19" s="20" t="n"/>
      <c r="F19" s="19">
        <f>IF(A19="","",D19-E19)</f>
        <v/>
      </c>
    </row>
    <row r="20">
      <c r="A20" s="16" t="n"/>
      <c r="B20" s="17" t="n"/>
      <c r="C20" s="17" t="n"/>
      <c r="D20" s="20" t="n"/>
      <c r="E20" s="20" t="n"/>
      <c r="F20" s="19">
        <f>IF(A20="","",D20-E20)</f>
        <v/>
      </c>
    </row>
    <row r="21">
      <c r="A21" s="16" t="n"/>
      <c r="B21" s="17" t="n"/>
      <c r="C21" s="17" t="n"/>
      <c r="D21" s="20" t="n"/>
      <c r="E21" s="20" t="n"/>
      <c r="F21" s="19">
        <f>IF(A21="","",D21-E21)</f>
        <v/>
      </c>
    </row>
    <row r="22">
      <c r="A22" s="16" t="n"/>
      <c r="B22" s="17" t="n"/>
      <c r="C22" s="17" t="n"/>
      <c r="D22" s="20" t="n"/>
      <c r="E22" s="20" t="n"/>
      <c r="F22" s="19">
        <f>IF(A22="","",D22-E22)</f>
        <v/>
      </c>
    </row>
    <row r="23">
      <c r="A23" s="16" t="n"/>
      <c r="B23" s="17" t="n"/>
      <c r="C23" s="17" t="n"/>
      <c r="D23" s="20" t="n"/>
      <c r="E23" s="20" t="n"/>
      <c r="F23" s="19">
        <f>IF(A23="","",D23-E23)</f>
        <v/>
      </c>
    </row>
    <row r="24">
      <c r="A24" s="16" t="n"/>
      <c r="B24" s="17" t="n"/>
      <c r="C24" s="17" t="n"/>
      <c r="D24" s="20" t="n"/>
      <c r="E24" s="20" t="n"/>
      <c r="F24" s="19">
        <f>IF(A24="","",D24-E24)</f>
        <v/>
      </c>
    </row>
    <row r="25">
      <c r="A25" s="16" t="n"/>
      <c r="B25" s="17" t="n"/>
      <c r="C25" s="17" t="n"/>
      <c r="D25" s="20" t="n"/>
      <c r="E25" s="20" t="n"/>
      <c r="F25" s="19">
        <f>IF(A25="","",D25-E25)</f>
        <v/>
      </c>
    </row>
    <row r="26">
      <c r="A26" s="16" t="n"/>
      <c r="B26" s="17" t="n"/>
      <c r="C26" s="17" t="n"/>
      <c r="D26" s="20" t="n"/>
      <c r="E26" s="20" t="n"/>
      <c r="F26" s="19">
        <f>IF(A26="","",D26-E26)</f>
        <v/>
      </c>
    </row>
    <row r="27">
      <c r="A27" s="16" t="n"/>
      <c r="B27" s="17" t="n"/>
      <c r="C27" s="17" t="n"/>
      <c r="D27" s="20" t="n"/>
      <c r="E27" s="20" t="n"/>
      <c r="F27" s="19">
        <f>IF(A27="","",D27-E27)</f>
        <v/>
      </c>
    </row>
    <row r="28">
      <c r="A28" s="16" t="n"/>
      <c r="B28" s="17" t="n"/>
      <c r="C28" s="17" t="n"/>
      <c r="D28" s="20" t="n"/>
      <c r="E28" s="20" t="n"/>
      <c r="F28" s="19">
        <f>IF(A28="","",D28-E28)</f>
        <v/>
      </c>
    </row>
    <row r="29">
      <c r="A29" s="16" t="n"/>
      <c r="B29" s="17" t="n"/>
      <c r="C29" s="17" t="n"/>
      <c r="D29" s="20" t="n"/>
      <c r="E29" s="20" t="n"/>
      <c r="F29" s="19">
        <f>IF(A29="","",D29-E29)</f>
        <v/>
      </c>
    </row>
    <row r="30">
      <c r="A30" s="16" t="n"/>
      <c r="B30" s="17" t="n"/>
      <c r="C30" s="17" t="n"/>
      <c r="D30" s="20" t="n"/>
      <c r="E30" s="20" t="n"/>
      <c r="F30" s="19">
        <f>IF(A30="","",D30-E30)</f>
        <v/>
      </c>
    </row>
    <row r="31">
      <c r="A31" s="16" t="n"/>
      <c r="B31" s="17" t="n"/>
      <c r="C31" s="17" t="n"/>
      <c r="D31" s="20" t="n"/>
      <c r="E31" s="20" t="n"/>
      <c r="F31" s="19">
        <f>IF(A31="","",D31-E31)</f>
        <v/>
      </c>
    </row>
    <row r="32">
      <c r="A32" s="16" t="n"/>
      <c r="B32" s="17" t="n"/>
      <c r="C32" s="17" t="n"/>
      <c r="D32" s="20" t="n"/>
      <c r="E32" s="20" t="n"/>
      <c r="F32" s="19">
        <f>IF(A32="","",D32-E32)</f>
        <v/>
      </c>
    </row>
    <row r="33">
      <c r="A33" s="16" t="n"/>
      <c r="B33" s="17" t="n"/>
      <c r="C33" s="17" t="n"/>
      <c r="D33" s="20" t="n"/>
      <c r="E33" s="20" t="n"/>
      <c r="F33" s="19">
        <f>IF(A33="","",D33-E33)</f>
        <v/>
      </c>
    </row>
    <row r="34">
      <c r="A34" s="16" t="n"/>
      <c r="B34" s="17" t="n"/>
      <c r="C34" s="17" t="n"/>
      <c r="D34" s="20" t="n"/>
      <c r="E34" s="20" t="n"/>
      <c r="F34" s="19">
        <f>IF(A34="","",D34-E34)</f>
        <v/>
      </c>
    </row>
    <row r="35">
      <c r="A35" s="16" t="n"/>
      <c r="B35" s="17" t="n"/>
      <c r="C35" s="17" t="n"/>
      <c r="D35" s="20" t="n"/>
      <c r="E35" s="20" t="n"/>
      <c r="F35" s="19">
        <f>IF(A35="","",D35-E35)</f>
        <v/>
      </c>
    </row>
    <row r="36">
      <c r="A36" s="16" t="n"/>
      <c r="B36" s="17" t="n"/>
      <c r="C36" s="17" t="n"/>
      <c r="D36" s="20" t="n"/>
      <c r="E36" s="20" t="n"/>
      <c r="F36" s="19">
        <f>IF(A36="","",D36-E36)</f>
        <v/>
      </c>
    </row>
    <row r="37">
      <c r="A37" s="16" t="n"/>
      <c r="B37" s="17" t="n"/>
      <c r="C37" s="17" t="n"/>
      <c r="D37" s="20" t="n"/>
      <c r="E37" s="20" t="n"/>
      <c r="F37" s="19">
        <f>IF(A37="","",D37-E37)</f>
        <v/>
      </c>
    </row>
    <row r="38">
      <c r="A38" s="16" t="n"/>
      <c r="B38" s="17" t="n"/>
      <c r="C38" s="17" t="n"/>
      <c r="D38" s="20" t="n"/>
      <c r="E38" s="20" t="n"/>
      <c r="F38" s="19">
        <f>IF(A38="","",D38-E38)</f>
        <v/>
      </c>
    </row>
    <row r="39">
      <c r="A39" s="16" t="n"/>
      <c r="B39" s="17" t="n"/>
      <c r="C39" s="17" t="n"/>
      <c r="D39" s="20" t="n"/>
      <c r="E39" s="20" t="n"/>
      <c r="F39" s="19">
        <f>IF(A39="","",D39-E39)</f>
        <v/>
      </c>
    </row>
    <row r="40">
      <c r="A40" s="16" t="n"/>
      <c r="B40" s="17" t="n"/>
      <c r="C40" s="17" t="n"/>
      <c r="D40" s="20" t="n"/>
      <c r="E40" s="20" t="n"/>
      <c r="F40" s="19">
        <f>IF(A40="","",D40-E40)</f>
        <v/>
      </c>
    </row>
    <row r="41">
      <c r="A41" s="16" t="n"/>
      <c r="B41" s="17" t="n"/>
      <c r="C41" s="17" t="n"/>
      <c r="D41" s="20" t="n"/>
      <c r="E41" s="20" t="n"/>
      <c r="F41" s="19">
        <f>IF(A41="","",D41-E41)</f>
        <v/>
      </c>
    </row>
    <row r="42">
      <c r="A42" s="16" t="n"/>
      <c r="B42" s="17" t="n"/>
      <c r="C42" s="17" t="n"/>
      <c r="D42" s="20" t="n"/>
      <c r="E42" s="20" t="n"/>
      <c r="F42" s="19">
        <f>IF(A42="","",D42-E42)</f>
        <v/>
      </c>
    </row>
    <row r="43">
      <c r="A43" s="16" t="n"/>
      <c r="B43" s="17" t="n"/>
      <c r="C43" s="17" t="n"/>
      <c r="D43" s="20" t="n"/>
      <c r="E43" s="20" t="n"/>
      <c r="F43" s="19">
        <f>IF(A43="","",D43-E43)</f>
        <v/>
      </c>
    </row>
    <row r="44">
      <c r="A44" s="16" t="n"/>
      <c r="B44" s="17" t="n"/>
      <c r="C44" s="17" t="n"/>
      <c r="D44" s="20" t="n"/>
      <c r="E44" s="20" t="n"/>
      <c r="F44" s="19">
        <f>IF(A44="","",D44-E44)</f>
        <v/>
      </c>
    </row>
    <row r="45">
      <c r="A45" s="16" t="n"/>
      <c r="B45" s="17" t="n"/>
      <c r="C45" s="17" t="n"/>
      <c r="D45" s="20" t="n"/>
      <c r="E45" s="20" t="n"/>
      <c r="F45" s="19">
        <f>IF(A45="","",D45-E45)</f>
        <v/>
      </c>
    </row>
    <row r="46">
      <c r="A46" s="16" t="n"/>
      <c r="B46" s="17" t="n"/>
      <c r="C46" s="17" t="n"/>
      <c r="D46" s="20" t="n"/>
      <c r="E46" s="20" t="n"/>
      <c r="F46" s="19">
        <f>IF(A46="","",D46-E46)</f>
        <v/>
      </c>
    </row>
    <row r="47">
      <c r="A47" s="16" t="n"/>
      <c r="B47" s="17" t="n"/>
      <c r="C47" s="17" t="n"/>
      <c r="D47" s="20" t="n"/>
      <c r="E47" s="20" t="n"/>
      <c r="F47" s="19">
        <f>IF(A47="","",D47-E47)</f>
        <v/>
      </c>
    </row>
    <row r="48">
      <c r="A48" s="16" t="n"/>
      <c r="B48" s="17" t="n"/>
      <c r="C48" s="17" t="n"/>
      <c r="D48" s="20" t="n"/>
      <c r="E48" s="20" t="n"/>
      <c r="F48" s="19">
        <f>IF(A48="","",D48-E48)</f>
        <v/>
      </c>
    </row>
    <row r="49">
      <c r="A49" s="16" t="n"/>
      <c r="B49" s="17" t="n"/>
      <c r="C49" s="17" t="n"/>
      <c r="D49" s="20" t="n"/>
      <c r="E49" s="20" t="n"/>
      <c r="F49" s="19">
        <f>IF(A49="","",D49-E49)</f>
        <v/>
      </c>
    </row>
    <row r="50">
      <c r="A50" s="16" t="n"/>
      <c r="B50" s="17" t="n"/>
      <c r="C50" s="17" t="n"/>
      <c r="D50" s="20" t="n"/>
      <c r="E50" s="20" t="n"/>
      <c r="F50" s="19">
        <f>IF(A50="","",D50-E50)</f>
        <v/>
      </c>
    </row>
    <row r="51">
      <c r="A51" s="16" t="n"/>
      <c r="B51" s="17" t="n"/>
      <c r="C51" s="17" t="n"/>
      <c r="D51" s="20" t="n"/>
      <c r="E51" s="20" t="n"/>
      <c r="F51" s="19">
        <f>IF(A51="","",D51-E51)</f>
        <v/>
      </c>
    </row>
    <row r="52">
      <c r="A52" s="16" t="n"/>
      <c r="B52" s="17" t="n"/>
      <c r="C52" s="17" t="n"/>
      <c r="D52" s="20" t="n"/>
      <c r="E52" s="20" t="n"/>
      <c r="F52" s="19">
        <f>IF(A52="","",D52-E52)</f>
        <v/>
      </c>
    </row>
    <row r="53">
      <c r="A53" s="16" t="n"/>
      <c r="B53" s="17" t="n"/>
      <c r="C53" s="17" t="n"/>
      <c r="D53" s="20" t="n"/>
      <c r="E53" s="20" t="n"/>
      <c r="F53" s="19">
        <f>IF(A53="","",D53-E53)</f>
        <v/>
      </c>
    </row>
    <row r="54">
      <c r="A54" s="16" t="n"/>
      <c r="B54" s="17" t="n"/>
      <c r="C54" s="17" t="n"/>
      <c r="D54" s="20" t="n"/>
      <c r="E54" s="20" t="n"/>
      <c r="F54" s="19">
        <f>IF(A54="","",D54-E54)</f>
        <v/>
      </c>
    </row>
  </sheetData>
  <conditionalFormatting sqref="D2:D54">
    <cfRule type="cellIs" priority="1" operator="lessThan" dxfId="0">
      <formula>0</formula>
    </cfRule>
  </conditionalFormatting>
  <conditionalFormatting sqref="E2:E54">
    <cfRule type="cellIs" priority="2" operator="lessThan" dxfId="0">
      <formula>0</formula>
    </cfRule>
  </conditionalFormatting>
  <conditionalFormatting sqref="F2:F54">
    <cfRule type="cellIs" priority="3" operator="lessThan" dxfId="0">
      <formula>0</formula>
    </cfRule>
  </conditionalFormatting>
  <dataValidations count="1">
    <dataValidation sqref="B2:B54" showDropDown="0" showInputMessage="0" showErrorMessage="0" allowBlank="1" type="list">
      <formula1>"Hébergement,Transport,Nourriture,Activités,Imprévus"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Voyage dans la Forêt Noire - Budget &amp; Itinéraire pour Guides Touristiques</dc:title>
  <dcterms:created xsi:type="dcterms:W3CDTF">2026-09-29T13:10:09Z</dcterms:created>
  <dcterms:modified xsi:type="dcterms:W3CDTF">2026-09-29T13:10:09Z</dcterms:modified>
</cp:coreProperties>
</file>