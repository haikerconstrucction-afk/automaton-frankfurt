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Ruta" sheetId="4" state="visible" r:id="rId4"/>
    <sheet name="Activi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'Presupuesto'!$B$2:$B$5</f>
            </numRef>
          </cat>
          <val>
            <numRef>
              <f>'Presupuesto'!$E$2:$E$5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224" displayName="T_Presupuesto_2224" ref="A1:E65" headerRowCount="1">
  <autoFilter ref="A1:E65"/>
  <tableColumns count="5">
    <tableColumn id="1" name="Fecha"/>
    <tableColumn id="2" name="Categoría"/>
    <tableColumn id="3" name="Cantidad"/>
    <tableColumn id="4" name="Precio"/>
    <tableColumn id="5" name="Total"/>
  </tableColumns>
  <tableStyleInfo name="TableStyleMedium7" showRowStripes="1"/>
</table>
</file>

<file path=xl/tables/table2.xml><?xml version="1.0" encoding="utf-8"?>
<table xmlns="http://schemas.openxmlformats.org/spreadsheetml/2006/main" id="2" name="T_Ruta_3164" displayName="T_Ruta_3164" ref="A1:E63" headerRowCount="1">
  <autoFilter ref="A1:E63"/>
  <tableColumns count="5">
    <tableColumn id="1" name="Fecha"/>
    <tableColumn id="2" name="Hora"/>
    <tableColumn id="3" name="Lugar"/>
    <tableColumn id="4" name="Actividad"/>
    <tableColumn id="5" name="Notas"/>
  </tableColumns>
  <tableStyleInfo name="TableStyleMedium7" showRowStripes="1"/>
</table>
</file>

<file path=xl/tables/table3.xml><?xml version="1.0" encoding="utf-8"?>
<table xmlns="http://schemas.openxmlformats.org/spreadsheetml/2006/main" id="3" name="T_Actividades_4169" displayName="T_Actividades_4169" ref="A1:D23" headerRowCount="1">
  <autoFilter ref="A1:D23"/>
  <tableColumns count="4">
    <tableColumn id="1" name="Fecha"/>
    <tableColumn id="2" name="Actividad"/>
    <tableColumn id="3" name="Descripción"/>
    <tableColumn id="4" name="Cost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Ruta'!A1" TargetMode="External" Id="rId3" /><Relationship Type="http://schemas.openxmlformats.org/officeDocument/2006/relationships/hyperlink" Target="#'Actividad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Presupuesto y Ruta para el Bosque Negro: Tracker Profesional para Viajeros Masculinos</t>
        </is>
      </c>
    </row>
    <row r="3" ht="45" customHeight="1">
      <c r="C3" s="2" t="inlineStr">
        <is>
          <t>Optimiza tu viaje al Bosque Negro con esta herramienta profesional que te permite gestionar tu presupuesto y planificar tu ruta de manera eficiente.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tus gastos diarios en la hoja de Presupuesto.</t>
        </is>
      </c>
    </row>
    <row r="7" ht="18" customHeight="1">
      <c r="B7" s="4" t="inlineStr">
        <is>
          <t>2.</t>
        </is>
      </c>
      <c r="C7" s="5" t="inlineStr">
        <is>
          <t>Planifica tu ruta diaria en la hoja de Ruta.</t>
        </is>
      </c>
    </row>
    <row r="8" ht="18" customHeight="1">
      <c r="B8" s="4" t="inlineStr">
        <is>
          <t>3.</t>
        </is>
      </c>
      <c r="C8" s="5" t="inlineStr">
        <is>
          <t>Registra las actividades que deseas realizar en la hoja de Actividades.</t>
        </is>
      </c>
    </row>
    <row r="9" ht="18" customHeight="1">
      <c r="B9" s="4" t="inlineStr">
        <is>
          <t>4.</t>
        </is>
      </c>
      <c r="C9" s="5" t="inlineStr">
        <is>
          <t>Revisa el dashboard para ver el resumen de tu viaje.</t>
        </is>
      </c>
    </row>
    <row r="10" ht="18" customHeight="1">
      <c r="B10" s="4" t="inlineStr">
        <is>
          <t>5.</t>
        </is>
      </c>
      <c r="C10" s="5" t="inlineStr">
        <is>
          <t>Ajusta tu planación según tus necesidades.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Presupuesto</t>
        </is>
      </c>
    </row>
    <row r="17">
      <c r="C17" s="7" t="inlineStr">
        <is>
          <t>→ Ruta</t>
        </is>
      </c>
    </row>
    <row r="18">
      <c r="C18" s="7" t="inlineStr">
        <is>
          <t>→ Actividades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Presupuesto y Ruta para el Bosque Negro: Tra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Gastos</t>
        </is>
      </c>
      <c r="C5" s="12">
        <f>SUM('Presupuesto'!E2:E300)</f>
        <v/>
      </c>
    </row>
    <row r="6" ht="24" customHeight="1">
      <c r="B6" s="11" t="inlineStr">
        <is>
          <t>Actividades Planeadas</t>
        </is>
      </c>
      <c r="C6" s="13">
        <f>COUNTA('Actividades'!B2:B300)</f>
        <v/>
      </c>
    </row>
    <row r="7" ht="24" customHeight="1">
      <c r="B7" s="11" t="inlineStr">
        <is>
          <t>Actividades Gratuitas</t>
        </is>
      </c>
      <c r="C7" s="13">
        <f>COUNTIF('Actividades'!D2:D300, "0")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Cantidad</t>
        </is>
      </c>
      <c r="D1" s="14" t="inlineStr">
        <is>
          <t>Precio</t>
        </is>
      </c>
      <c r="E1" s="14" t="inlineStr">
        <is>
          <t>Total</t>
        </is>
      </c>
    </row>
    <row r="2">
      <c r="A2" s="15" t="n">
        <v>46204</v>
      </c>
      <c r="B2" s="16" t="inlineStr">
        <is>
          <t>Transporte</t>
        </is>
      </c>
      <c r="C2" s="17" t="n">
        <v>1</v>
      </c>
      <c r="D2" s="18" t="n">
        <v>50</v>
      </c>
      <c r="E2" s="19">
        <f>C2*D2</f>
        <v/>
      </c>
    </row>
    <row r="3">
      <c r="A3" s="15" t="n">
        <v>46204</v>
      </c>
      <c r="B3" s="16" t="inlineStr">
        <is>
          <t>Alojamiento</t>
        </is>
      </c>
      <c r="C3" s="17" t="n">
        <v>1</v>
      </c>
      <c r="D3" s="18" t="n">
        <v>80</v>
      </c>
      <c r="E3" s="19">
        <f>C3*D3</f>
        <v/>
      </c>
    </row>
    <row r="4">
      <c r="A4" s="15" t="n">
        <v>46205</v>
      </c>
      <c r="B4" s="16" t="inlineStr">
        <is>
          <t>Comida</t>
        </is>
      </c>
      <c r="C4" s="17" t="n">
        <v>2</v>
      </c>
      <c r="D4" s="18" t="n">
        <v>30</v>
      </c>
      <c r="E4" s="19">
        <f>C4*D4</f>
        <v/>
      </c>
    </row>
    <row r="5">
      <c r="A5" s="15" t="n">
        <v>46205</v>
      </c>
      <c r="B5" s="16" t="inlineStr">
        <is>
          <t>Actividades</t>
        </is>
      </c>
      <c r="C5" s="17" t="n">
        <v>1</v>
      </c>
      <c r="D5" s="18" t="n">
        <v>20</v>
      </c>
      <c r="E5" s="19">
        <f>C5*D5</f>
        <v/>
      </c>
    </row>
    <row r="6">
      <c r="A6" s="15" t="n"/>
      <c r="B6" s="16" t="n"/>
      <c r="C6" s="17" t="n"/>
      <c r="D6" s="18" t="n"/>
      <c r="E6" s="19">
        <f>IF(A6="","",C6*D6)</f>
        <v/>
      </c>
    </row>
    <row r="7">
      <c r="A7" s="15" t="n"/>
      <c r="B7" s="16" t="n"/>
      <c r="C7" s="17" t="n"/>
      <c r="D7" s="18" t="n"/>
      <c r="E7" s="19">
        <f>IF(A7="","",C7*D7)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  <row r="65">
      <c r="A65" s="15" t="n"/>
      <c r="B65" s="16" t="n"/>
      <c r="C65" s="17" t="n"/>
      <c r="D65" s="18" t="n"/>
      <c r="E65" s="19">
        <f>IF(A65="","",C65*D65)</f>
        <v/>
      </c>
    </row>
  </sheetData>
  <conditionalFormatting sqref="C2:C65">
    <cfRule type="cellIs" priority="1" operator="lessThan" dxfId="0">
      <formula>0</formula>
    </cfRule>
  </conditionalFormatting>
  <conditionalFormatting sqref="D2:D65">
    <cfRule type="cellIs" priority="2" operator="lessThan" dxfId="0">
      <formula>0</formula>
    </cfRule>
  </conditionalFormatting>
  <conditionalFormatting sqref="E2:E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"Transporte,Alojamiento,Comida,Actividades,Otros"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28" customWidth="1" min="5" max="5"/>
  </cols>
  <sheetData>
    <row r="1" ht="32" customHeight="1">
      <c r="A1" s="14" t="inlineStr">
        <is>
          <t>Fecha</t>
        </is>
      </c>
      <c r="B1" s="14" t="inlineStr">
        <is>
          <t>Hora</t>
        </is>
      </c>
      <c r="C1" s="14" t="inlineStr">
        <is>
          <t>Lugar</t>
        </is>
      </c>
      <c r="D1" s="14" t="inlineStr">
        <is>
          <t>Actividad</t>
        </is>
      </c>
      <c r="E1" s="14" t="inlineStr">
        <is>
          <t>Notas</t>
        </is>
      </c>
    </row>
    <row r="2">
      <c r="A2" s="15" t="n">
        <v>46204</v>
      </c>
      <c r="B2" s="16" t="inlineStr">
        <is>
          <t>09:00</t>
        </is>
      </c>
      <c r="C2" s="16" t="inlineStr">
        <is>
          <t>Titisee</t>
        </is>
      </c>
      <c r="D2" s="16" t="inlineStr">
        <is>
          <t>Paseo en bote</t>
        </is>
      </c>
      <c r="E2" s="16" t="inlineStr">
        <is>
          <t>Reservar con anticipación</t>
        </is>
      </c>
    </row>
    <row r="3">
      <c r="A3" s="15" t="n">
        <v>46204</v>
      </c>
      <c r="B3" s="16" t="inlineStr">
        <is>
          <t>12:00</t>
        </is>
      </c>
      <c r="C3" s="16" t="inlineStr">
        <is>
          <t>Friburgo</t>
        </is>
      </c>
      <c r="D3" s="16" t="inlineStr">
        <is>
          <t>Comida en el centro</t>
        </is>
      </c>
      <c r="E3" s="16" t="inlineStr"/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7" customWidth="1" min="3" max="3"/>
    <col width="12" customWidth="1" min="4" max="4"/>
  </cols>
  <sheetData>
    <row r="1" ht="32" customHeight="1">
      <c r="A1" s="14" t="inlineStr">
        <is>
          <t>Fecha</t>
        </is>
      </c>
      <c r="B1" s="14" t="inlineStr">
        <is>
          <t>Actividad</t>
        </is>
      </c>
      <c r="C1" s="14" t="inlineStr">
        <is>
          <t>Descripción</t>
        </is>
      </c>
      <c r="D1" s="14" t="inlineStr">
        <is>
          <t>Costo</t>
        </is>
      </c>
    </row>
    <row r="2">
      <c r="A2" s="15" t="n">
        <v>46205</v>
      </c>
      <c r="B2" s="16" t="inlineStr">
        <is>
          <t>Senderismo</t>
        </is>
      </c>
      <c r="C2" s="16" t="inlineStr">
        <is>
          <t>Ruta por el Bosque Negro</t>
        </is>
      </c>
      <c r="D2" s="18" t="n">
        <v>0</v>
      </c>
    </row>
    <row r="3">
      <c r="A3" s="15" t="n">
        <v>46205</v>
      </c>
      <c r="B3" s="16" t="inlineStr">
        <is>
          <t>Visita Castillo</t>
        </is>
      </c>
      <c r="C3" s="16" t="inlineStr">
        <is>
          <t>Castillo Hohenzollern</t>
        </is>
      </c>
      <c r="D3" s="18" t="n">
        <v>15</v>
      </c>
    </row>
    <row r="4">
      <c r="A4" s="15" t="n"/>
      <c r="B4" s="16" t="n"/>
      <c r="C4" s="16" t="n"/>
      <c r="D4" s="18" t="n"/>
    </row>
    <row r="5">
      <c r="A5" s="15" t="n"/>
      <c r="B5" s="16" t="n"/>
      <c r="C5" s="16" t="n"/>
      <c r="D5" s="18" t="n"/>
    </row>
    <row r="6">
      <c r="A6" s="15" t="n"/>
      <c r="B6" s="16" t="n"/>
      <c r="C6" s="16" t="n"/>
      <c r="D6" s="18" t="n"/>
    </row>
    <row r="7">
      <c r="A7" s="15" t="n"/>
      <c r="B7" s="16" t="n"/>
      <c r="C7" s="16" t="n"/>
      <c r="D7" s="18" t="n"/>
    </row>
    <row r="8">
      <c r="A8" s="15" t="n"/>
      <c r="B8" s="16" t="n"/>
      <c r="C8" s="16" t="n"/>
      <c r="D8" s="18" t="n"/>
    </row>
    <row r="9">
      <c r="A9" s="15" t="n"/>
      <c r="B9" s="16" t="n"/>
      <c r="C9" s="16" t="n"/>
      <c r="D9" s="18" t="n"/>
    </row>
    <row r="10">
      <c r="A10" s="15" t="n"/>
      <c r="B10" s="16" t="n"/>
      <c r="C10" s="16" t="n"/>
      <c r="D10" s="18" t="n"/>
    </row>
    <row r="11">
      <c r="A11" s="15" t="n"/>
      <c r="B11" s="16" t="n"/>
      <c r="C11" s="16" t="n"/>
      <c r="D11" s="18" t="n"/>
    </row>
    <row r="12">
      <c r="A12" s="15" t="n"/>
      <c r="B12" s="16" t="n"/>
      <c r="C12" s="16" t="n"/>
      <c r="D12" s="18" t="n"/>
    </row>
    <row r="13">
      <c r="A13" s="15" t="n"/>
      <c r="B13" s="16" t="n"/>
      <c r="C13" s="16" t="n"/>
      <c r="D13" s="18" t="n"/>
    </row>
    <row r="14">
      <c r="A14" s="15" t="n"/>
      <c r="B14" s="16" t="n"/>
      <c r="C14" s="16" t="n"/>
      <c r="D14" s="18" t="n"/>
    </row>
    <row r="15">
      <c r="A15" s="15" t="n"/>
      <c r="B15" s="16" t="n"/>
      <c r="C15" s="16" t="n"/>
      <c r="D15" s="18" t="n"/>
    </row>
    <row r="16">
      <c r="A16" s="15" t="n"/>
      <c r="B16" s="16" t="n"/>
      <c r="C16" s="16" t="n"/>
      <c r="D16" s="18" t="n"/>
    </row>
    <row r="17">
      <c r="A17" s="15" t="n"/>
      <c r="B17" s="16" t="n"/>
      <c r="C17" s="16" t="n"/>
      <c r="D17" s="18" t="n"/>
    </row>
    <row r="18">
      <c r="A18" s="15" t="n"/>
      <c r="B18" s="16" t="n"/>
      <c r="C18" s="16" t="n"/>
      <c r="D18" s="18" t="n"/>
    </row>
    <row r="19">
      <c r="A19" s="15" t="n"/>
      <c r="B19" s="16" t="n"/>
      <c r="C19" s="16" t="n"/>
      <c r="D19" s="18" t="n"/>
    </row>
    <row r="20">
      <c r="A20" s="15" t="n"/>
      <c r="B20" s="16" t="n"/>
      <c r="C20" s="16" t="n"/>
      <c r="D20" s="18" t="n"/>
    </row>
    <row r="21">
      <c r="A21" s="15" t="n"/>
      <c r="B21" s="16" t="n"/>
      <c r="C21" s="16" t="n"/>
      <c r="D21" s="18" t="n"/>
    </row>
    <row r="22">
      <c r="A22" s="15" t="n"/>
      <c r="B22" s="16" t="n"/>
      <c r="C22" s="16" t="n"/>
      <c r="D22" s="18" t="n"/>
    </row>
    <row r="23">
      <c r="A23" s="15" t="n"/>
      <c r="B23" s="16" t="n"/>
      <c r="C23" s="16" t="n"/>
      <c r="D23" s="18" t="n"/>
    </row>
  </sheetData>
  <conditionalFormatting sqref="D2:D2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Presupuesto y Ruta para el Bosque Negro: Tracker Profesional para Viajeros Masculinos</dc:title>
  <dcterms:created xsi:type="dcterms:W3CDTF">2026-10-07T01:41:29Z</dcterms:created>
  <dcterms:modified xsi:type="dcterms:W3CDTF">2026-10-07T01:41:29Z</dcterms:modified>
</cp:coreProperties>
</file>