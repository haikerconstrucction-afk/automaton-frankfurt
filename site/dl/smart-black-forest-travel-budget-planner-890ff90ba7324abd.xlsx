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行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消费类别分布</a:t>
            </a:r>
          </a:p>
        </rich>
      </tx>
    </title>
    <plotArea>
      <pieChart>
        <varyColors val="1"/>
        <ser>
          <idx val="0"/>
          <order val="0"/>
          <tx>
            <strRef>
              <f>'预算'!F1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'预算'!$B$2:$B$5</f>
            </numRef>
          </cat>
          <val>
            <numRef>
              <f>'预算'!$F$2:$F$5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304" displayName="T____2304" ref="A1:F65" headerRowCount="1">
  <autoFilter ref="A1:F65"/>
  <tableColumns count="6">
    <tableColumn id="1" name="日期"/>
    <tableColumn id="2" name="类别"/>
    <tableColumn id="3" name="项目"/>
    <tableColumn id="4" name="金额"/>
    <tableColumn id="5" name="货币"/>
    <tableColumn id="6" name="本地金额"/>
  </tableColumns>
  <tableStyleInfo name="TableStyleMedium7" showRowStripes="1"/>
</table>
</file>

<file path=xl/tables/table2.xml><?xml version="1.0" encoding="utf-8"?>
<table xmlns="http://schemas.openxmlformats.org/spreadsheetml/2006/main" id="2" name="T____3229" displayName="T____3229" ref="A1:F33" headerRowCount="1">
  <autoFilter ref="A1:F33"/>
  <tableColumns count="6">
    <tableColumn id="1" name="日期"/>
    <tableColumn id="2" name="时间"/>
    <tableColumn id="3" name="地点"/>
    <tableColumn id="4" name="活动"/>
    <tableColumn id="5" name="预算"/>
    <tableColumn id="6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4892;&#31243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智能黑森林旅行预算追踪与行程规划器</t>
        </is>
      </c>
    </row>
    <row r="3" ht="45" customHeight="1">
      <c r="C3" s="2" t="inlineStr">
        <is>
          <t>专业旅行规划工具，轻松掌控您的黑森林之旅所有开支与行程，让旅行更高效无忧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在'预算'表中记录所有旅行开支</t>
        </is>
      </c>
    </row>
    <row r="7" ht="18" customHeight="1">
      <c r="B7" s="4" t="inlineStr">
        <is>
          <t>2.</t>
        </is>
      </c>
      <c r="C7" s="5" t="inlineStr">
        <is>
          <t>在'行程'表中规划每日活动</t>
        </is>
      </c>
    </row>
    <row r="8" ht="18" customHeight="1">
      <c r="B8" s="4" t="inlineStr">
        <is>
          <t>3.</t>
        </is>
      </c>
      <c r="C8" s="5" t="inlineStr">
        <is>
          <t>使用'景点'表标记必看地点</t>
        </is>
      </c>
    </row>
    <row r="9" ht="18" customHeight="1">
      <c r="B9" s="4" t="inlineStr">
        <is>
          <t>4.</t>
        </is>
      </c>
      <c r="C9" s="5" t="inlineStr">
        <is>
          <t>查看仪表盘获取实时统计</t>
        </is>
      </c>
    </row>
    <row r="10" ht="18" customHeight="1">
      <c r="B10" s="4" t="inlineStr">
        <is>
          <t>5.</t>
        </is>
      </c>
      <c r="C10" s="5" t="inlineStr">
        <is>
          <t>根据数据调整旅行计划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预算</t>
        </is>
      </c>
    </row>
    <row r="17">
      <c r="C17" s="7" t="inlineStr">
        <is>
          <t>→ 行程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智能黑森林旅行预算追踪与行程规划器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SUM('预算'!F2:F300)</f>
        <v/>
      </c>
    </row>
    <row r="6" ht="24" customHeight="1">
      <c r="B6" s="11" t="inlineStr">
        <is>
          <t>交通支出占比</t>
        </is>
      </c>
      <c r="C6" s="13">
        <f>SUMIF('预算'!B2:B300,"交通",'预算'!F2:F300)/SUM('预算'!F2:F300)</f>
        <v/>
      </c>
    </row>
    <row r="7" ht="24" customHeight="1">
      <c r="B7" s="11" t="inlineStr">
        <is>
          <t>行程天数</t>
        </is>
      </c>
      <c r="C7" s="14">
        <f>MAX('行程'!A2:A300)-MIN('行程'!A2:A300)+1</f>
        <v/>
      </c>
    </row>
    <row r="8" ht="24" customHeight="1">
      <c r="B8" s="11" t="inlineStr">
        <is>
          <t>日均消费</t>
        </is>
      </c>
      <c r="C8" s="12">
        <f>SUM('预算'!F2:F300)/(MAX('行程'!A2:A300)-MIN('行程'!A2:A300)+1)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日期</t>
        </is>
      </c>
      <c r="B1" s="15" t="inlineStr">
        <is>
          <t>类别</t>
        </is>
      </c>
      <c r="C1" s="15" t="inlineStr">
        <is>
          <t>项目</t>
        </is>
      </c>
      <c r="D1" s="15" t="inlineStr">
        <is>
          <t>金额</t>
        </is>
      </c>
      <c r="E1" s="15" t="inlineStr">
        <is>
          <t>货币</t>
        </is>
      </c>
      <c r="F1" s="15" t="inlineStr">
        <is>
          <t>本地金额</t>
        </is>
      </c>
    </row>
    <row r="2">
      <c r="A2" s="16" t="n">
        <v>46162</v>
      </c>
      <c r="B2" s="17" t="inlineStr">
        <is>
          <t>交通</t>
        </is>
      </c>
      <c r="C2" s="17" t="inlineStr">
        <is>
          <t>慕尼黑到弗赖堡火车票</t>
        </is>
      </c>
      <c r="D2" s="18" t="n">
        <v>89</v>
      </c>
      <c r="E2" s="17" t="inlineStr">
        <is>
          <t>EUR</t>
        </is>
      </c>
      <c r="F2" s="19">
        <f>IF(E2="CNY",D2/7.8,IF(E2="USD",D2*0.9,D2))</f>
        <v/>
      </c>
    </row>
    <row r="3">
      <c r="A3" s="16" t="n">
        <v>46163</v>
      </c>
      <c r="B3" s="17" t="inlineStr">
        <is>
          <t>住宿</t>
        </is>
      </c>
      <c r="C3" s="17" t="inlineStr">
        <is>
          <t>Triburg小镇民宿</t>
        </is>
      </c>
      <c r="D3" s="18" t="n">
        <v>65</v>
      </c>
      <c r="E3" s="17" t="inlineStr">
        <is>
          <t>EUR</t>
        </is>
      </c>
      <c r="F3" s="19">
        <f>IF(E3="CNY",D3/7.8,IF(E3="USD",D3*0.9,D3))</f>
        <v/>
      </c>
    </row>
    <row r="4">
      <c r="A4" s="16" t="n">
        <v>46164</v>
      </c>
      <c r="B4" s="17" t="inlineStr">
        <is>
          <t>餐饮</t>
        </is>
      </c>
      <c r="C4" s="17" t="inlineStr">
        <is>
          <t>黑森林蛋糕品尝</t>
        </is>
      </c>
      <c r="D4" s="18" t="n">
        <v>24</v>
      </c>
      <c r="E4" s="17" t="inlineStr">
        <is>
          <t>EUR</t>
        </is>
      </c>
      <c r="F4" s="19">
        <f>IF(E4="CNY",D4/7.8,IF(E4="USD",D4*0.9,D4))</f>
        <v/>
      </c>
    </row>
    <row r="5">
      <c r="A5" s="16" t="n">
        <v>46165</v>
      </c>
      <c r="B5" s="17" t="inlineStr">
        <is>
          <t>活动</t>
        </is>
      </c>
      <c r="C5" s="17" t="inlineStr">
        <is>
          <t>Titisee游船</t>
        </is>
      </c>
      <c r="D5" s="18" t="n">
        <v>18</v>
      </c>
      <c r="E5" s="17" t="inlineStr">
        <is>
          <t>EUR</t>
        </is>
      </c>
      <c r="F5" s="19">
        <f>IF(E5="CNY",D5/7.8,IF(E5="USD",D5*0.9,D5))</f>
        <v/>
      </c>
    </row>
    <row r="6">
      <c r="A6" s="16" t="n"/>
      <c r="B6" s="17" t="n"/>
      <c r="C6" s="17" t="n"/>
      <c r="D6" s="18" t="n"/>
      <c r="E6" s="17" t="n"/>
      <c r="F6" s="19">
        <f>IF(A6="","",IF(E6="CNY",D6/7.8,IF(E6="USD",D6*0.9,D6)))</f>
        <v/>
      </c>
    </row>
    <row r="7">
      <c r="A7" s="16" t="n"/>
      <c r="B7" s="17" t="n"/>
      <c r="C7" s="17" t="n"/>
      <c r="D7" s="18" t="n"/>
      <c r="E7" s="17" t="n"/>
      <c r="F7" s="19">
        <f>IF(A7="","",IF(E7="CNY",D7/7.8,IF(E7="USD",D7*0.9,D7)))</f>
        <v/>
      </c>
    </row>
    <row r="8">
      <c r="A8" s="16" t="n"/>
      <c r="B8" s="17" t="n"/>
      <c r="C8" s="17" t="n"/>
      <c r="D8" s="18" t="n"/>
      <c r="E8" s="17" t="n"/>
      <c r="F8" s="19">
        <f>IF(A8="","",IF(E8="CNY",D8/7.8,IF(E8="USD",D8*0.9,D8)))</f>
        <v/>
      </c>
    </row>
    <row r="9">
      <c r="A9" s="16" t="n"/>
      <c r="B9" s="17" t="n"/>
      <c r="C9" s="17" t="n"/>
      <c r="D9" s="18" t="n"/>
      <c r="E9" s="17" t="n"/>
      <c r="F9" s="19">
        <f>IF(A9="","",IF(E9="CNY",D9/7.8,IF(E9="USD",D9*0.9,D9)))</f>
        <v/>
      </c>
    </row>
    <row r="10">
      <c r="A10" s="16" t="n"/>
      <c r="B10" s="17" t="n"/>
      <c r="C10" s="17" t="n"/>
      <c r="D10" s="18" t="n"/>
      <c r="E10" s="17" t="n"/>
      <c r="F10" s="19">
        <f>IF(A10="","",IF(E10="CNY",D10/7.8,IF(E10="USD",D10*0.9,D10)))</f>
        <v/>
      </c>
    </row>
    <row r="11">
      <c r="A11" s="16" t="n"/>
      <c r="B11" s="17" t="n"/>
      <c r="C11" s="17" t="n"/>
      <c r="D11" s="18" t="n"/>
      <c r="E11" s="17" t="n"/>
      <c r="F11" s="19">
        <f>IF(A11="","",IF(E11="CNY",D11/7.8,IF(E11="USD",D11*0.9,D11)))</f>
        <v/>
      </c>
    </row>
    <row r="12">
      <c r="A12" s="16" t="n"/>
      <c r="B12" s="17" t="n"/>
      <c r="C12" s="17" t="n"/>
      <c r="D12" s="18" t="n"/>
      <c r="E12" s="17" t="n"/>
      <c r="F12" s="19">
        <f>IF(A12="","",IF(E12="CNY",D12/7.8,IF(E12="USD",D12*0.9,D12)))</f>
        <v/>
      </c>
    </row>
    <row r="13">
      <c r="A13" s="16" t="n"/>
      <c r="B13" s="17" t="n"/>
      <c r="C13" s="17" t="n"/>
      <c r="D13" s="18" t="n"/>
      <c r="E13" s="17" t="n"/>
      <c r="F13" s="19">
        <f>IF(A13="","",IF(E13="CNY",D13/7.8,IF(E13="USD",D13*0.9,D13)))</f>
        <v/>
      </c>
    </row>
    <row r="14">
      <c r="A14" s="16" t="n"/>
      <c r="B14" s="17" t="n"/>
      <c r="C14" s="17" t="n"/>
      <c r="D14" s="18" t="n"/>
      <c r="E14" s="17" t="n"/>
      <c r="F14" s="19">
        <f>IF(A14="","",IF(E14="CNY",D14/7.8,IF(E14="USD",D14*0.9,D14)))</f>
        <v/>
      </c>
    </row>
    <row r="15">
      <c r="A15" s="16" t="n"/>
      <c r="B15" s="17" t="n"/>
      <c r="C15" s="17" t="n"/>
      <c r="D15" s="18" t="n"/>
      <c r="E15" s="17" t="n"/>
      <c r="F15" s="19">
        <f>IF(A15="","",IF(E15="CNY",D15/7.8,IF(E15="USD",D15*0.9,D15)))</f>
        <v/>
      </c>
    </row>
    <row r="16">
      <c r="A16" s="16" t="n"/>
      <c r="B16" s="17" t="n"/>
      <c r="C16" s="17" t="n"/>
      <c r="D16" s="18" t="n"/>
      <c r="E16" s="17" t="n"/>
      <c r="F16" s="19">
        <f>IF(A16="","",IF(E16="CNY",D16/7.8,IF(E16="USD",D16*0.9,D16)))</f>
        <v/>
      </c>
    </row>
    <row r="17">
      <c r="A17" s="16" t="n"/>
      <c r="B17" s="17" t="n"/>
      <c r="C17" s="17" t="n"/>
      <c r="D17" s="18" t="n"/>
      <c r="E17" s="17" t="n"/>
      <c r="F17" s="19">
        <f>IF(A17="","",IF(E17="CNY",D17/7.8,IF(E17="USD",D17*0.9,D17)))</f>
        <v/>
      </c>
    </row>
    <row r="18">
      <c r="A18" s="16" t="n"/>
      <c r="B18" s="17" t="n"/>
      <c r="C18" s="17" t="n"/>
      <c r="D18" s="18" t="n"/>
      <c r="E18" s="17" t="n"/>
      <c r="F18" s="19">
        <f>IF(A18="","",IF(E18="CNY",D18/7.8,IF(E18="USD",D18*0.9,D18)))</f>
        <v/>
      </c>
    </row>
    <row r="19">
      <c r="A19" s="16" t="n"/>
      <c r="B19" s="17" t="n"/>
      <c r="C19" s="17" t="n"/>
      <c r="D19" s="18" t="n"/>
      <c r="E19" s="17" t="n"/>
      <c r="F19" s="19">
        <f>IF(A19="","",IF(E19="CNY",D19/7.8,IF(E19="USD",D19*0.9,D19)))</f>
        <v/>
      </c>
    </row>
    <row r="20">
      <c r="A20" s="16" t="n"/>
      <c r="B20" s="17" t="n"/>
      <c r="C20" s="17" t="n"/>
      <c r="D20" s="18" t="n"/>
      <c r="E20" s="17" t="n"/>
      <c r="F20" s="19">
        <f>IF(A20="","",IF(E20="CNY",D20/7.8,IF(E20="USD",D20*0.9,D20)))</f>
        <v/>
      </c>
    </row>
    <row r="21">
      <c r="A21" s="16" t="n"/>
      <c r="B21" s="17" t="n"/>
      <c r="C21" s="17" t="n"/>
      <c r="D21" s="18" t="n"/>
      <c r="E21" s="17" t="n"/>
      <c r="F21" s="19">
        <f>IF(A21="","",IF(E21="CNY",D21/7.8,IF(E21="USD",D21*0.9,D21)))</f>
        <v/>
      </c>
    </row>
    <row r="22">
      <c r="A22" s="16" t="n"/>
      <c r="B22" s="17" t="n"/>
      <c r="C22" s="17" t="n"/>
      <c r="D22" s="18" t="n"/>
      <c r="E22" s="17" t="n"/>
      <c r="F22" s="19">
        <f>IF(A22="","",IF(E22="CNY",D22/7.8,IF(E22="USD",D22*0.9,D22)))</f>
        <v/>
      </c>
    </row>
    <row r="23">
      <c r="A23" s="16" t="n"/>
      <c r="B23" s="17" t="n"/>
      <c r="C23" s="17" t="n"/>
      <c r="D23" s="18" t="n"/>
      <c r="E23" s="17" t="n"/>
      <c r="F23" s="19">
        <f>IF(A23="","",IF(E23="CNY",D23/7.8,IF(E23="USD",D23*0.9,D23)))</f>
        <v/>
      </c>
    </row>
    <row r="24">
      <c r="A24" s="16" t="n"/>
      <c r="B24" s="17" t="n"/>
      <c r="C24" s="17" t="n"/>
      <c r="D24" s="18" t="n"/>
      <c r="E24" s="17" t="n"/>
      <c r="F24" s="19">
        <f>IF(A24="","",IF(E24="CNY",D24/7.8,IF(E24="USD",D24*0.9,D24)))</f>
        <v/>
      </c>
    </row>
    <row r="25">
      <c r="A25" s="16" t="n"/>
      <c r="B25" s="17" t="n"/>
      <c r="C25" s="17" t="n"/>
      <c r="D25" s="18" t="n"/>
      <c r="E25" s="17" t="n"/>
      <c r="F25" s="19">
        <f>IF(A25="","",IF(E25="CNY",D25/7.8,IF(E25="USD",D25*0.9,D25)))</f>
        <v/>
      </c>
    </row>
    <row r="26">
      <c r="A26" s="16" t="n"/>
      <c r="B26" s="17" t="n"/>
      <c r="C26" s="17" t="n"/>
      <c r="D26" s="18" t="n"/>
      <c r="E26" s="17" t="n"/>
      <c r="F26" s="19">
        <f>IF(A26="","",IF(E26="CNY",D26/7.8,IF(E26="USD",D26*0.9,D26)))</f>
        <v/>
      </c>
    </row>
    <row r="27">
      <c r="A27" s="16" t="n"/>
      <c r="B27" s="17" t="n"/>
      <c r="C27" s="17" t="n"/>
      <c r="D27" s="18" t="n"/>
      <c r="E27" s="17" t="n"/>
      <c r="F27" s="19">
        <f>IF(A27="","",IF(E27="CNY",D27/7.8,IF(E27="USD",D27*0.9,D27)))</f>
        <v/>
      </c>
    </row>
    <row r="28">
      <c r="A28" s="16" t="n"/>
      <c r="B28" s="17" t="n"/>
      <c r="C28" s="17" t="n"/>
      <c r="D28" s="18" t="n"/>
      <c r="E28" s="17" t="n"/>
      <c r="F28" s="19">
        <f>IF(A28="","",IF(E28="CNY",D28/7.8,IF(E28="USD",D28*0.9,D28)))</f>
        <v/>
      </c>
    </row>
    <row r="29">
      <c r="A29" s="16" t="n"/>
      <c r="B29" s="17" t="n"/>
      <c r="C29" s="17" t="n"/>
      <c r="D29" s="18" t="n"/>
      <c r="E29" s="17" t="n"/>
      <c r="F29" s="19">
        <f>IF(A29="","",IF(E29="CNY",D29/7.8,IF(E29="USD",D29*0.9,D29)))</f>
        <v/>
      </c>
    </row>
    <row r="30">
      <c r="A30" s="16" t="n"/>
      <c r="B30" s="17" t="n"/>
      <c r="C30" s="17" t="n"/>
      <c r="D30" s="18" t="n"/>
      <c r="E30" s="17" t="n"/>
      <c r="F30" s="19">
        <f>IF(A30="","",IF(E30="CNY",D30/7.8,IF(E30="USD",D30*0.9,D30)))</f>
        <v/>
      </c>
    </row>
    <row r="31">
      <c r="A31" s="16" t="n"/>
      <c r="B31" s="17" t="n"/>
      <c r="C31" s="17" t="n"/>
      <c r="D31" s="18" t="n"/>
      <c r="E31" s="17" t="n"/>
      <c r="F31" s="19">
        <f>IF(A31="","",IF(E31="CNY",D31/7.8,IF(E31="USD",D31*0.9,D31)))</f>
        <v/>
      </c>
    </row>
    <row r="32">
      <c r="A32" s="16" t="n"/>
      <c r="B32" s="17" t="n"/>
      <c r="C32" s="17" t="n"/>
      <c r="D32" s="18" t="n"/>
      <c r="E32" s="17" t="n"/>
      <c r="F32" s="19">
        <f>IF(A32="","",IF(E32="CNY",D32/7.8,IF(E32="USD",D32*0.9,D32)))</f>
        <v/>
      </c>
    </row>
    <row r="33">
      <c r="A33" s="16" t="n"/>
      <c r="B33" s="17" t="n"/>
      <c r="C33" s="17" t="n"/>
      <c r="D33" s="18" t="n"/>
      <c r="E33" s="17" t="n"/>
      <c r="F33" s="19">
        <f>IF(A33="","",IF(E33="CNY",D33/7.8,IF(E33="USD",D33*0.9,D33)))</f>
        <v/>
      </c>
    </row>
    <row r="34">
      <c r="A34" s="16" t="n"/>
      <c r="B34" s="17" t="n"/>
      <c r="C34" s="17" t="n"/>
      <c r="D34" s="18" t="n"/>
      <c r="E34" s="17" t="n"/>
      <c r="F34" s="19">
        <f>IF(A34="","",IF(E34="CNY",D34/7.8,IF(E34="USD",D34*0.9,D34)))</f>
        <v/>
      </c>
    </row>
    <row r="35">
      <c r="A35" s="16" t="n"/>
      <c r="B35" s="17" t="n"/>
      <c r="C35" s="17" t="n"/>
      <c r="D35" s="18" t="n"/>
      <c r="E35" s="17" t="n"/>
      <c r="F35" s="19">
        <f>IF(A35="","",IF(E35="CNY",D35/7.8,IF(E35="USD",D35*0.9,D35)))</f>
        <v/>
      </c>
    </row>
    <row r="36">
      <c r="A36" s="16" t="n"/>
      <c r="B36" s="17" t="n"/>
      <c r="C36" s="17" t="n"/>
      <c r="D36" s="18" t="n"/>
      <c r="E36" s="17" t="n"/>
      <c r="F36" s="19">
        <f>IF(A36="","",IF(E36="CNY",D36/7.8,IF(E36="USD",D36*0.9,D36)))</f>
        <v/>
      </c>
    </row>
    <row r="37">
      <c r="A37" s="16" t="n"/>
      <c r="B37" s="17" t="n"/>
      <c r="C37" s="17" t="n"/>
      <c r="D37" s="18" t="n"/>
      <c r="E37" s="17" t="n"/>
      <c r="F37" s="19">
        <f>IF(A37="","",IF(E37="CNY",D37/7.8,IF(E37="USD",D37*0.9,D37)))</f>
        <v/>
      </c>
    </row>
    <row r="38">
      <c r="A38" s="16" t="n"/>
      <c r="B38" s="17" t="n"/>
      <c r="C38" s="17" t="n"/>
      <c r="D38" s="18" t="n"/>
      <c r="E38" s="17" t="n"/>
      <c r="F38" s="19">
        <f>IF(A38="","",IF(E38="CNY",D38/7.8,IF(E38="USD",D38*0.9,D38)))</f>
        <v/>
      </c>
    </row>
    <row r="39">
      <c r="A39" s="16" t="n"/>
      <c r="B39" s="17" t="n"/>
      <c r="C39" s="17" t="n"/>
      <c r="D39" s="18" t="n"/>
      <c r="E39" s="17" t="n"/>
      <c r="F39" s="19">
        <f>IF(A39="","",IF(E39="CNY",D39/7.8,IF(E39="USD",D39*0.9,D39)))</f>
        <v/>
      </c>
    </row>
    <row r="40">
      <c r="A40" s="16" t="n"/>
      <c r="B40" s="17" t="n"/>
      <c r="C40" s="17" t="n"/>
      <c r="D40" s="18" t="n"/>
      <c r="E40" s="17" t="n"/>
      <c r="F40" s="19">
        <f>IF(A40="","",IF(E40="CNY",D40/7.8,IF(E40="USD",D40*0.9,D40)))</f>
        <v/>
      </c>
    </row>
    <row r="41">
      <c r="A41" s="16" t="n"/>
      <c r="B41" s="17" t="n"/>
      <c r="C41" s="17" t="n"/>
      <c r="D41" s="18" t="n"/>
      <c r="E41" s="17" t="n"/>
      <c r="F41" s="19">
        <f>IF(A41="","",IF(E41="CNY",D41/7.8,IF(E41="USD",D41*0.9,D41)))</f>
        <v/>
      </c>
    </row>
    <row r="42">
      <c r="A42" s="16" t="n"/>
      <c r="B42" s="17" t="n"/>
      <c r="C42" s="17" t="n"/>
      <c r="D42" s="18" t="n"/>
      <c r="E42" s="17" t="n"/>
      <c r="F42" s="19">
        <f>IF(A42="","",IF(E42="CNY",D42/7.8,IF(E42="USD",D42*0.9,D42)))</f>
        <v/>
      </c>
    </row>
    <row r="43">
      <c r="A43" s="16" t="n"/>
      <c r="B43" s="17" t="n"/>
      <c r="C43" s="17" t="n"/>
      <c r="D43" s="18" t="n"/>
      <c r="E43" s="17" t="n"/>
      <c r="F43" s="19">
        <f>IF(A43="","",IF(E43="CNY",D43/7.8,IF(E43="USD",D43*0.9,D43)))</f>
        <v/>
      </c>
    </row>
    <row r="44">
      <c r="A44" s="16" t="n"/>
      <c r="B44" s="17" t="n"/>
      <c r="C44" s="17" t="n"/>
      <c r="D44" s="18" t="n"/>
      <c r="E44" s="17" t="n"/>
      <c r="F44" s="19">
        <f>IF(A44="","",IF(E44="CNY",D44/7.8,IF(E44="USD",D44*0.9,D44)))</f>
        <v/>
      </c>
    </row>
    <row r="45">
      <c r="A45" s="16" t="n"/>
      <c r="B45" s="17" t="n"/>
      <c r="C45" s="17" t="n"/>
      <c r="D45" s="18" t="n"/>
      <c r="E45" s="17" t="n"/>
      <c r="F45" s="19">
        <f>IF(A45="","",IF(E45="CNY",D45/7.8,IF(E45="USD",D45*0.9,D45)))</f>
        <v/>
      </c>
    </row>
    <row r="46">
      <c r="A46" s="16" t="n"/>
      <c r="B46" s="17" t="n"/>
      <c r="C46" s="17" t="n"/>
      <c r="D46" s="18" t="n"/>
      <c r="E46" s="17" t="n"/>
      <c r="F46" s="19">
        <f>IF(A46="","",IF(E46="CNY",D46/7.8,IF(E46="USD",D46*0.9,D46)))</f>
        <v/>
      </c>
    </row>
    <row r="47">
      <c r="A47" s="16" t="n"/>
      <c r="B47" s="17" t="n"/>
      <c r="C47" s="17" t="n"/>
      <c r="D47" s="18" t="n"/>
      <c r="E47" s="17" t="n"/>
      <c r="F47" s="19">
        <f>IF(A47="","",IF(E47="CNY",D47/7.8,IF(E47="USD",D47*0.9,D47)))</f>
        <v/>
      </c>
    </row>
    <row r="48">
      <c r="A48" s="16" t="n"/>
      <c r="B48" s="17" t="n"/>
      <c r="C48" s="17" t="n"/>
      <c r="D48" s="18" t="n"/>
      <c r="E48" s="17" t="n"/>
      <c r="F48" s="19">
        <f>IF(A48="","",IF(E48="CNY",D48/7.8,IF(E48="USD",D48*0.9,D48)))</f>
        <v/>
      </c>
    </row>
    <row r="49">
      <c r="A49" s="16" t="n"/>
      <c r="B49" s="17" t="n"/>
      <c r="C49" s="17" t="n"/>
      <c r="D49" s="18" t="n"/>
      <c r="E49" s="17" t="n"/>
      <c r="F49" s="19">
        <f>IF(A49="","",IF(E49="CNY",D49/7.8,IF(E49="USD",D49*0.9,D49)))</f>
        <v/>
      </c>
    </row>
    <row r="50">
      <c r="A50" s="16" t="n"/>
      <c r="B50" s="17" t="n"/>
      <c r="C50" s="17" t="n"/>
      <c r="D50" s="18" t="n"/>
      <c r="E50" s="17" t="n"/>
      <c r="F50" s="19">
        <f>IF(A50="","",IF(E50="CNY",D50/7.8,IF(E50="USD",D50*0.9,D50)))</f>
        <v/>
      </c>
    </row>
    <row r="51">
      <c r="A51" s="16" t="n"/>
      <c r="B51" s="17" t="n"/>
      <c r="C51" s="17" t="n"/>
      <c r="D51" s="18" t="n"/>
      <c r="E51" s="17" t="n"/>
      <c r="F51" s="19">
        <f>IF(A51="","",IF(E51="CNY",D51/7.8,IF(E51="USD",D51*0.9,D51)))</f>
        <v/>
      </c>
    </row>
    <row r="52">
      <c r="A52" s="16" t="n"/>
      <c r="B52" s="17" t="n"/>
      <c r="C52" s="17" t="n"/>
      <c r="D52" s="18" t="n"/>
      <c r="E52" s="17" t="n"/>
      <c r="F52" s="19">
        <f>IF(A52="","",IF(E52="CNY",D52/7.8,IF(E52="USD",D52*0.9,D52)))</f>
        <v/>
      </c>
    </row>
    <row r="53">
      <c r="A53" s="16" t="n"/>
      <c r="B53" s="17" t="n"/>
      <c r="C53" s="17" t="n"/>
      <c r="D53" s="18" t="n"/>
      <c r="E53" s="17" t="n"/>
      <c r="F53" s="19">
        <f>IF(A53="","",IF(E53="CNY",D53/7.8,IF(E53="USD",D53*0.9,D53)))</f>
        <v/>
      </c>
    </row>
    <row r="54">
      <c r="A54" s="16" t="n"/>
      <c r="B54" s="17" t="n"/>
      <c r="C54" s="17" t="n"/>
      <c r="D54" s="18" t="n"/>
      <c r="E54" s="17" t="n"/>
      <c r="F54" s="19">
        <f>IF(A54="","",IF(E54="CNY",D54/7.8,IF(E54="USD",D54*0.9,D54)))</f>
        <v/>
      </c>
    </row>
    <row r="55">
      <c r="A55" s="16" t="n"/>
      <c r="B55" s="17" t="n"/>
      <c r="C55" s="17" t="n"/>
      <c r="D55" s="18" t="n"/>
      <c r="E55" s="17" t="n"/>
      <c r="F55" s="19">
        <f>IF(A55="","",IF(E55="CNY",D55/7.8,IF(E55="USD",D55*0.9,D55)))</f>
        <v/>
      </c>
    </row>
    <row r="56">
      <c r="A56" s="16" t="n"/>
      <c r="B56" s="17" t="n"/>
      <c r="C56" s="17" t="n"/>
      <c r="D56" s="18" t="n"/>
      <c r="E56" s="17" t="n"/>
      <c r="F56" s="19">
        <f>IF(A56="","",IF(E56="CNY",D56/7.8,IF(E56="USD",D56*0.9,D56)))</f>
        <v/>
      </c>
    </row>
    <row r="57">
      <c r="A57" s="16" t="n"/>
      <c r="B57" s="17" t="n"/>
      <c r="C57" s="17" t="n"/>
      <c r="D57" s="18" t="n"/>
      <c r="E57" s="17" t="n"/>
      <c r="F57" s="19">
        <f>IF(A57="","",IF(E57="CNY",D57/7.8,IF(E57="USD",D57*0.9,D57)))</f>
        <v/>
      </c>
    </row>
    <row r="58">
      <c r="A58" s="16" t="n"/>
      <c r="B58" s="17" t="n"/>
      <c r="C58" s="17" t="n"/>
      <c r="D58" s="18" t="n"/>
      <c r="E58" s="17" t="n"/>
      <c r="F58" s="19">
        <f>IF(A58="","",IF(E58="CNY",D58/7.8,IF(E58="USD",D58*0.9,D58)))</f>
        <v/>
      </c>
    </row>
    <row r="59">
      <c r="A59" s="16" t="n"/>
      <c r="B59" s="17" t="n"/>
      <c r="C59" s="17" t="n"/>
      <c r="D59" s="18" t="n"/>
      <c r="E59" s="17" t="n"/>
      <c r="F59" s="19">
        <f>IF(A59="","",IF(E59="CNY",D59/7.8,IF(E59="USD",D59*0.9,D59)))</f>
        <v/>
      </c>
    </row>
    <row r="60">
      <c r="A60" s="16" t="n"/>
      <c r="B60" s="17" t="n"/>
      <c r="C60" s="17" t="n"/>
      <c r="D60" s="18" t="n"/>
      <c r="E60" s="17" t="n"/>
      <c r="F60" s="19">
        <f>IF(A60="","",IF(E60="CNY",D60/7.8,IF(E60="USD",D60*0.9,D60)))</f>
        <v/>
      </c>
    </row>
    <row r="61">
      <c r="A61" s="16" t="n"/>
      <c r="B61" s="17" t="n"/>
      <c r="C61" s="17" t="n"/>
      <c r="D61" s="18" t="n"/>
      <c r="E61" s="17" t="n"/>
      <c r="F61" s="19">
        <f>IF(A61="","",IF(E61="CNY",D61/7.8,IF(E61="USD",D61*0.9,D61)))</f>
        <v/>
      </c>
    </row>
    <row r="62">
      <c r="A62" s="16" t="n"/>
      <c r="B62" s="17" t="n"/>
      <c r="C62" s="17" t="n"/>
      <c r="D62" s="18" t="n"/>
      <c r="E62" s="17" t="n"/>
      <c r="F62" s="19">
        <f>IF(A62="","",IF(E62="CNY",D62/7.8,IF(E62="USD",D62*0.9,D62)))</f>
        <v/>
      </c>
    </row>
    <row r="63">
      <c r="A63" s="16" t="n"/>
      <c r="B63" s="17" t="n"/>
      <c r="C63" s="17" t="n"/>
      <c r="D63" s="18" t="n"/>
      <c r="E63" s="17" t="n"/>
      <c r="F63" s="19">
        <f>IF(A63="","",IF(E63="CNY",D63/7.8,IF(E63="USD",D63*0.9,D63)))</f>
        <v/>
      </c>
    </row>
    <row r="64">
      <c r="A64" s="16" t="n"/>
      <c r="B64" s="17" t="n"/>
      <c r="C64" s="17" t="n"/>
      <c r="D64" s="18" t="n"/>
      <c r="E64" s="17" t="n"/>
      <c r="F64" s="19">
        <f>IF(A64="","",IF(E64="CNY",D64/7.8,IF(E64="USD",D64*0.9,D64)))</f>
        <v/>
      </c>
    </row>
    <row r="65">
      <c r="A65" s="16" t="n"/>
      <c r="B65" s="17" t="n"/>
      <c r="C65" s="17" t="n"/>
      <c r="D65" s="18" t="n"/>
      <c r="E65" s="17" t="n"/>
      <c r="F65" s="19">
        <f>IF(A65="","",IF(E65="CNY",D65/7.8,IF(E65="USD",D65*0.9,D65)))</f>
        <v/>
      </c>
    </row>
  </sheetData>
  <conditionalFormatting sqref="D2:D65">
    <cfRule type="cellIs" priority="1" operator="lessThan" dxfId="0">
      <formula>0</formula>
    </cfRule>
  </conditionalFormatting>
  <conditionalFormatting sqref="F2:F65">
    <cfRule type="cellIs" priority="2" operator="lessThan" dxfId="0">
      <formula>0</formula>
    </cfRule>
  </conditionalFormatting>
  <dataValidations count="1">
    <dataValidation sqref="B2:B65" showDropDown="0" showInputMessage="0" showErrorMessage="0" allowBlank="1" type="list">
      <formula1>"交通,住宿,餐饮,活动,购物,其他"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5" t="inlineStr">
        <is>
          <t>日期</t>
        </is>
      </c>
      <c r="B1" s="15" t="inlineStr">
        <is>
          <t>时间</t>
        </is>
      </c>
      <c r="C1" s="15" t="inlineStr">
        <is>
          <t>地点</t>
        </is>
      </c>
      <c r="D1" s="15" t="inlineStr">
        <is>
          <t>活动</t>
        </is>
      </c>
      <c r="E1" s="15" t="inlineStr">
        <is>
          <t>预算</t>
        </is>
      </c>
      <c r="F1" s="15" t="inlineStr">
        <is>
          <t>备注</t>
        </is>
      </c>
    </row>
    <row r="2">
      <c r="A2" s="16" t="n">
        <v>46162</v>
      </c>
      <c r="B2" s="17" t="inlineStr">
        <is>
          <t>09:00-12:00</t>
        </is>
      </c>
      <c r="C2" s="17" t="inlineStr">
        <is>
          <t>慕尼黑</t>
        </is>
      </c>
      <c r="D2" s="17" t="inlineStr">
        <is>
          <t>乘火车前往弗赖堡</t>
        </is>
      </c>
      <c r="E2" s="20" t="inlineStr"/>
      <c r="F2" s="17" t="inlineStr">
        <is>
          <t>提前在线购票</t>
        </is>
      </c>
    </row>
    <row r="3">
      <c r="A3" s="16" t="n">
        <v>46163</v>
      </c>
      <c r="B3" s="17" t="inlineStr">
        <is>
          <t>14:00-17:00</t>
        </is>
      </c>
      <c r="C3" s="17" t="inlineStr">
        <is>
          <t>Triburg</t>
        </is>
      </c>
      <c r="D3" s="17" t="inlineStr">
        <is>
          <t>参观黑森林博物馆</t>
        </is>
      </c>
      <c r="E3" s="20" t="n">
        <v>15</v>
      </c>
      <c r="F3" s="17" t="inlineStr">
        <is>
          <t>周三半价</t>
        </is>
      </c>
    </row>
    <row r="4">
      <c r="A4" s="16" t="n"/>
      <c r="B4" s="17" t="n"/>
      <c r="C4" s="17" t="n"/>
      <c r="D4" s="17" t="n"/>
      <c r="E4" s="20" t="n"/>
      <c r="F4" s="17" t="n"/>
    </row>
    <row r="5">
      <c r="A5" s="16" t="n"/>
      <c r="B5" s="17" t="n"/>
      <c r="C5" s="17" t="n"/>
      <c r="D5" s="17" t="n"/>
      <c r="E5" s="20" t="n"/>
      <c r="F5" s="17" t="n"/>
    </row>
    <row r="6">
      <c r="A6" s="16" t="n"/>
      <c r="B6" s="17" t="n"/>
      <c r="C6" s="17" t="n"/>
      <c r="D6" s="17" t="n"/>
      <c r="E6" s="20" t="n"/>
      <c r="F6" s="17" t="n"/>
    </row>
    <row r="7">
      <c r="A7" s="16" t="n"/>
      <c r="B7" s="17" t="n"/>
      <c r="C7" s="17" t="n"/>
      <c r="D7" s="17" t="n"/>
      <c r="E7" s="20" t="n"/>
      <c r="F7" s="17" t="n"/>
    </row>
    <row r="8">
      <c r="A8" s="16" t="n"/>
      <c r="B8" s="17" t="n"/>
      <c r="C8" s="17" t="n"/>
      <c r="D8" s="17" t="n"/>
      <c r="E8" s="20" t="n"/>
      <c r="F8" s="17" t="n"/>
    </row>
    <row r="9">
      <c r="A9" s="16" t="n"/>
      <c r="B9" s="17" t="n"/>
      <c r="C9" s="17" t="n"/>
      <c r="D9" s="17" t="n"/>
      <c r="E9" s="20" t="n"/>
      <c r="F9" s="17" t="n"/>
    </row>
    <row r="10">
      <c r="A10" s="16" t="n"/>
      <c r="B10" s="17" t="n"/>
      <c r="C10" s="17" t="n"/>
      <c r="D10" s="17" t="n"/>
      <c r="E10" s="20" t="n"/>
      <c r="F10" s="17" t="n"/>
    </row>
    <row r="11">
      <c r="A11" s="16" t="n"/>
      <c r="B11" s="17" t="n"/>
      <c r="C11" s="17" t="n"/>
      <c r="D11" s="17" t="n"/>
      <c r="E11" s="20" t="n"/>
      <c r="F11" s="17" t="n"/>
    </row>
    <row r="12">
      <c r="A12" s="16" t="n"/>
      <c r="B12" s="17" t="n"/>
      <c r="C12" s="17" t="n"/>
      <c r="D12" s="17" t="n"/>
      <c r="E12" s="20" t="n"/>
      <c r="F12" s="17" t="n"/>
    </row>
    <row r="13">
      <c r="A13" s="16" t="n"/>
      <c r="B13" s="17" t="n"/>
      <c r="C13" s="17" t="n"/>
      <c r="D13" s="17" t="n"/>
      <c r="E13" s="20" t="n"/>
      <c r="F13" s="17" t="n"/>
    </row>
    <row r="14">
      <c r="A14" s="16" t="n"/>
      <c r="B14" s="17" t="n"/>
      <c r="C14" s="17" t="n"/>
      <c r="D14" s="17" t="n"/>
      <c r="E14" s="20" t="n"/>
      <c r="F14" s="17" t="n"/>
    </row>
    <row r="15">
      <c r="A15" s="16" t="n"/>
      <c r="B15" s="17" t="n"/>
      <c r="C15" s="17" t="n"/>
      <c r="D15" s="17" t="n"/>
      <c r="E15" s="20" t="n"/>
      <c r="F15" s="17" t="n"/>
    </row>
    <row r="16">
      <c r="A16" s="16" t="n"/>
      <c r="B16" s="17" t="n"/>
      <c r="C16" s="17" t="n"/>
      <c r="D16" s="17" t="n"/>
      <c r="E16" s="20" t="n"/>
      <c r="F16" s="17" t="n"/>
    </row>
    <row r="17">
      <c r="A17" s="16" t="n"/>
      <c r="B17" s="17" t="n"/>
      <c r="C17" s="17" t="n"/>
      <c r="D17" s="17" t="n"/>
      <c r="E17" s="20" t="n"/>
      <c r="F17" s="17" t="n"/>
    </row>
    <row r="18">
      <c r="A18" s="16" t="n"/>
      <c r="B18" s="17" t="n"/>
      <c r="C18" s="17" t="n"/>
      <c r="D18" s="17" t="n"/>
      <c r="E18" s="20" t="n"/>
      <c r="F18" s="17" t="n"/>
    </row>
    <row r="19">
      <c r="A19" s="16" t="n"/>
      <c r="B19" s="17" t="n"/>
      <c r="C19" s="17" t="n"/>
      <c r="D19" s="17" t="n"/>
      <c r="E19" s="20" t="n"/>
      <c r="F19" s="17" t="n"/>
    </row>
    <row r="20">
      <c r="A20" s="16" t="n"/>
      <c r="B20" s="17" t="n"/>
      <c r="C20" s="17" t="n"/>
      <c r="D20" s="17" t="n"/>
      <c r="E20" s="20" t="n"/>
      <c r="F20" s="17" t="n"/>
    </row>
    <row r="21">
      <c r="A21" s="16" t="n"/>
      <c r="B21" s="17" t="n"/>
      <c r="C21" s="17" t="n"/>
      <c r="D21" s="17" t="n"/>
      <c r="E21" s="20" t="n"/>
      <c r="F21" s="17" t="n"/>
    </row>
    <row r="22">
      <c r="A22" s="16" t="n"/>
      <c r="B22" s="17" t="n"/>
      <c r="C22" s="17" t="n"/>
      <c r="D22" s="17" t="n"/>
      <c r="E22" s="20" t="n"/>
      <c r="F22" s="17" t="n"/>
    </row>
    <row r="23">
      <c r="A23" s="16" t="n"/>
      <c r="B23" s="17" t="n"/>
      <c r="C23" s="17" t="n"/>
      <c r="D23" s="17" t="n"/>
      <c r="E23" s="20" t="n"/>
      <c r="F23" s="17" t="n"/>
    </row>
    <row r="24">
      <c r="A24" s="16" t="n"/>
      <c r="B24" s="17" t="n"/>
      <c r="C24" s="17" t="n"/>
      <c r="D24" s="17" t="n"/>
      <c r="E24" s="20" t="n"/>
      <c r="F24" s="17" t="n"/>
    </row>
    <row r="25">
      <c r="A25" s="16" t="n"/>
      <c r="B25" s="17" t="n"/>
      <c r="C25" s="17" t="n"/>
      <c r="D25" s="17" t="n"/>
      <c r="E25" s="20" t="n"/>
      <c r="F25" s="17" t="n"/>
    </row>
    <row r="26">
      <c r="A26" s="16" t="n"/>
      <c r="B26" s="17" t="n"/>
      <c r="C26" s="17" t="n"/>
      <c r="D26" s="17" t="n"/>
      <c r="E26" s="20" t="n"/>
      <c r="F26" s="17" t="n"/>
    </row>
    <row r="27">
      <c r="A27" s="16" t="n"/>
      <c r="B27" s="17" t="n"/>
      <c r="C27" s="17" t="n"/>
      <c r="D27" s="17" t="n"/>
      <c r="E27" s="20" t="n"/>
      <c r="F27" s="17" t="n"/>
    </row>
    <row r="28">
      <c r="A28" s="16" t="n"/>
      <c r="B28" s="17" t="n"/>
      <c r="C28" s="17" t="n"/>
      <c r="D28" s="17" t="n"/>
      <c r="E28" s="20" t="n"/>
      <c r="F28" s="17" t="n"/>
    </row>
    <row r="29">
      <c r="A29" s="16" t="n"/>
      <c r="B29" s="17" t="n"/>
      <c r="C29" s="17" t="n"/>
      <c r="D29" s="17" t="n"/>
      <c r="E29" s="20" t="n"/>
      <c r="F29" s="17" t="n"/>
    </row>
    <row r="30">
      <c r="A30" s="16" t="n"/>
      <c r="B30" s="17" t="n"/>
      <c r="C30" s="17" t="n"/>
      <c r="D30" s="17" t="n"/>
      <c r="E30" s="20" t="n"/>
      <c r="F30" s="17" t="n"/>
    </row>
    <row r="31">
      <c r="A31" s="16" t="n"/>
      <c r="B31" s="17" t="n"/>
      <c r="C31" s="17" t="n"/>
      <c r="D31" s="17" t="n"/>
      <c r="E31" s="20" t="n"/>
      <c r="F31" s="17" t="n"/>
    </row>
    <row r="32">
      <c r="A32" s="16" t="n"/>
      <c r="B32" s="17" t="n"/>
      <c r="C32" s="17" t="n"/>
      <c r="D32" s="17" t="n"/>
      <c r="E32" s="20" t="n"/>
      <c r="F32" s="17" t="n"/>
    </row>
    <row r="33">
      <c r="A33" s="16" t="n"/>
      <c r="B33" s="17" t="n"/>
      <c r="C33" s="17" t="n"/>
      <c r="D33" s="17" t="n"/>
      <c r="E33" s="20" t="n"/>
      <c r="F33" s="17" t="n"/>
    </row>
  </sheetData>
  <conditionalFormatting sqref="E2:E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智能黑森林旅行预算追踪与行程规划器</dc:title>
  <dcterms:created xsi:type="dcterms:W3CDTF">2026-10-23T13:39:17Z</dcterms:created>
  <dcterms:modified xsi:type="dcterms:W3CDTF">2026-10-23T13:39:17Z</dcterms:modified>
</cp:coreProperties>
</file>