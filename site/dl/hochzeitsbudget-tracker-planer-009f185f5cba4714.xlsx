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Ausgaben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'Ausgaben'!F1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'Ausgaben'!$B$2:$B$9</f>
            </numRef>
          </cat>
          <val>
            <numRef>
              <f>'Ausgaben'!$F$2:$F$9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Ausgaben" displayName="T_Ausgaben" ref="A1:F69" headerRowCount="1">
  <autoFilter ref="A1:F69"/>
  <tableColumns count="6">
    <tableColumn id="1" name="Datum"/>
    <tableColumn id="2" name="Kategorie"/>
    <tableColumn id="3" name="Beschreibung"/>
    <tableColumn id="4" name="Menge"/>
    <tableColumn id="5" name="Preis"/>
    <tableColumn id="6" name="Summe"/>
  </tableColumns>
  <tableStyleInfo name="TableStyleMedium7" showRowStripes="1"/>
</table>
</file>

<file path=xl/tables/table2.xml><?xml version="1.0" encoding="utf-8"?>
<table xmlns="http://schemas.openxmlformats.org/spreadsheetml/2006/main" id="2" name="T_Budget" displayName="T_Budget" ref="A1:D19" headerRowCount="1">
  <autoFilter ref="A1:D19"/>
  <tableColumns count="4">
    <tableColumn id="1" name="Kategorie"/>
    <tableColumn id="2" name="Budgetiert"/>
    <tableColumn id="3" name="Ausgegeben"/>
    <tableColumn id="4" name="Differenz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Ausgaben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Hochzeitsbudget-Tracker &amp; Planer für Paare</t>
        </is>
      </c>
    </row>
    <row r="3" ht="45" customHeight="1">
      <c r="C3" s="2" t="inlineStr">
        <is>
          <t>Einfach und professionell das Hochzeitsbudget planen und überwachen – für eine stressfreie Organisation.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 deine Ausgaben in das Blatt 'Ausgaben' ein.</t>
        </is>
      </c>
    </row>
    <row r="7" ht="18" customHeight="1">
      <c r="B7" s="4" t="inlineStr">
        <is>
          <t>2.</t>
        </is>
      </c>
      <c r="C7" s="5" t="inlineStr">
        <is>
          <t>Verwende Dropdowns für Kategorien wie 'Location', 'Catering' usw.</t>
        </is>
      </c>
    </row>
    <row r="8" ht="18" customHeight="1">
      <c r="B8" s="4" t="inlineStr">
        <is>
          <t>3.</t>
        </is>
      </c>
      <c r="C8" s="5" t="inlineStr">
        <is>
          <t>Sieh dir die automatisch berechnete Gesamtsumme an.</t>
        </is>
      </c>
    </row>
    <row r="9" ht="18" customHeight="1">
      <c r="B9" s="4" t="inlineStr">
        <is>
          <t>4.</t>
        </is>
      </c>
      <c r="C9" s="5" t="inlineStr">
        <is>
          <t>Nutze das Dashboard für einen schnellen Überblick.</t>
        </is>
      </c>
    </row>
    <row r="10" ht="18" customHeight="1">
      <c r="B10" s="4" t="inlineStr">
        <is>
          <t>5.</t>
        </is>
      </c>
      <c r="C10" s="5" t="inlineStr">
        <is>
          <t>Passe die Vorlage nach Bedarf an.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Ausgaben</t>
        </is>
      </c>
    </row>
    <row r="17">
      <c r="C17" s="7" t="inlineStr">
        <is>
          <t>→ Budget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Hochzeitsbudget-Tracker &amp; Planer für Paare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Gesamtbudget</t>
        </is>
      </c>
      <c r="C5" s="12">
        <f>SUM('Budget'!B2:B10)</f>
        <v/>
      </c>
    </row>
    <row r="6" ht="24" customHeight="1">
      <c r="B6" s="11" t="inlineStr">
        <is>
          <t>Gesamtausgaben</t>
        </is>
      </c>
      <c r="C6" s="12">
        <f>SUM('Ausgaben'!F2:F300)</f>
        <v/>
      </c>
    </row>
    <row r="7" ht="24" customHeight="1">
      <c r="B7" s="11" t="inlineStr">
        <is>
          <t>Anzahl Ausgaben</t>
        </is>
      </c>
      <c r="C7" s="13">
        <f>COUNTA('Ausgaben'!A2:A300)</f>
        <v/>
      </c>
    </row>
    <row r="8" ht="24" customHeight="1">
      <c r="B8" s="11" t="inlineStr">
        <is>
          <t>Durchschnittliche Ausgabe</t>
        </is>
      </c>
      <c r="C8" s="12">
        <f>AVERAGE('Ausgaben'!F2:F300)</f>
        <v/>
      </c>
    </row>
    <row r="9" ht="24" customHeight="1">
      <c r="B9" s="11" t="inlineStr">
        <is>
          <t>Größte Ausgabe</t>
        </is>
      </c>
      <c r="C9" s="12">
        <f>MAX('Ausgaben'!F2:F300)</f>
        <v/>
      </c>
    </row>
    <row r="10" ht="24" customHeight="1">
      <c r="B10" s="11" t="inlineStr">
        <is>
          <t>Restbudget</t>
        </is>
      </c>
      <c r="C10" s="12">
        <f>SUM('Budget'!B2:B10)-SUM('Ausgaben'!F2:F300)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5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Menge</t>
        </is>
      </c>
      <c r="E1" s="14" t="inlineStr">
        <is>
          <t>Preis</t>
        </is>
      </c>
      <c r="F1" s="14" t="inlineStr">
        <is>
          <t>Summe</t>
        </is>
      </c>
    </row>
    <row r="2">
      <c r="A2" s="15" t="n">
        <v>46157</v>
      </c>
      <c r="B2" s="16" t="inlineStr">
        <is>
          <t>Location</t>
        </is>
      </c>
      <c r="C2" s="16" t="inlineStr">
        <is>
          <t>Mietkosten Saal</t>
        </is>
      </c>
      <c r="D2" s="17" t="n">
        <v>1</v>
      </c>
      <c r="E2" s="18" t="n">
        <v>1500</v>
      </c>
      <c r="F2" s="19">
        <f>D2*E2</f>
        <v/>
      </c>
    </row>
    <row r="3">
      <c r="A3" s="15" t="n">
        <v>46162</v>
      </c>
      <c r="B3" s="16" t="inlineStr">
        <is>
          <t>Catering</t>
        </is>
      </c>
      <c r="C3" s="16" t="inlineStr">
        <is>
          <t>Buffet pro Person</t>
        </is>
      </c>
      <c r="D3" s="17" t="n">
        <v>100</v>
      </c>
      <c r="E3" s="18" t="n">
        <v>25</v>
      </c>
      <c r="F3" s="19">
        <f>D3*E3</f>
        <v/>
      </c>
    </row>
    <row r="4">
      <c r="A4" s="15" t="n">
        <v>46167</v>
      </c>
      <c r="B4" s="16" t="inlineStr">
        <is>
          <t>Dekoration</t>
        </is>
      </c>
      <c r="C4" s="16" t="inlineStr">
        <is>
          <t>Blumenarrangements</t>
        </is>
      </c>
      <c r="D4" s="17" t="n">
        <v>10</v>
      </c>
      <c r="E4" s="18" t="n">
        <v>80</v>
      </c>
      <c r="F4" s="19">
        <f>D4*E4</f>
        <v/>
      </c>
    </row>
    <row r="5">
      <c r="A5" s="15" t="n">
        <v>46174</v>
      </c>
      <c r="B5" s="16" t="inlineStr">
        <is>
          <t>Fotografie</t>
        </is>
      </c>
      <c r="C5" s="16" t="inlineStr">
        <is>
          <t>Fotograf für 8 Stunden</t>
        </is>
      </c>
      <c r="D5" s="17" t="n">
        <v>1</v>
      </c>
      <c r="E5" s="18" t="n">
        <v>800</v>
      </c>
      <c r="F5" s="19">
        <f>D5*E5</f>
        <v/>
      </c>
    </row>
    <row r="6">
      <c r="A6" s="15" t="n">
        <v>46178</v>
      </c>
      <c r="B6" s="16" t="inlineStr">
        <is>
          <t>Kleidung</t>
        </is>
      </c>
      <c r="C6" s="16" t="inlineStr">
        <is>
          <t>Brautkleid</t>
        </is>
      </c>
      <c r="D6" s="17" t="n">
        <v>1</v>
      </c>
      <c r="E6" s="18" t="n">
        <v>1200</v>
      </c>
      <c r="F6" s="19">
        <f>D6*E6</f>
        <v/>
      </c>
    </row>
    <row r="7">
      <c r="A7" s="15" t="n">
        <v>46183</v>
      </c>
      <c r="B7" s="16" t="inlineStr">
        <is>
          <t>Musik</t>
        </is>
      </c>
      <c r="C7" s="16" t="inlineStr">
        <is>
          <t>DJ</t>
        </is>
      </c>
      <c r="D7" s="17" t="n">
        <v>1</v>
      </c>
      <c r="E7" s="18" t="n">
        <v>500</v>
      </c>
      <c r="F7" s="19">
        <f>D7*E7</f>
        <v/>
      </c>
    </row>
    <row r="8">
      <c r="A8" s="15" t="n">
        <v>46188</v>
      </c>
      <c r="B8" s="16" t="inlineStr">
        <is>
          <t>Sonstiges</t>
        </is>
      </c>
      <c r="C8" s="16" t="inlineStr">
        <is>
          <t>Einladungen</t>
        </is>
      </c>
      <c r="D8" s="17" t="n">
        <v>50</v>
      </c>
      <c r="E8" s="18" t="n">
        <v>2</v>
      </c>
      <c r="F8" s="19">
        <f>D8*E8</f>
        <v/>
      </c>
    </row>
    <row r="9">
      <c r="A9" s="15" t="n">
        <v>46193</v>
      </c>
      <c r="B9" s="16" t="inlineStr">
        <is>
          <t>Transport</t>
        </is>
      </c>
      <c r="C9" s="16" t="inlineStr">
        <is>
          <t>Limousine</t>
        </is>
      </c>
      <c r="D9" s="17" t="n">
        <v>1</v>
      </c>
      <c r="E9" s="18" t="n">
        <v>300</v>
      </c>
      <c r="F9" s="19">
        <f>D9*E9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  <row r="67">
      <c r="A67" s="15" t="n"/>
      <c r="B67" s="16" t="n"/>
      <c r="C67" s="16" t="n"/>
      <c r="D67" s="17" t="n"/>
      <c r="E67" s="18" t="n"/>
      <c r="F67" s="19">
        <f>IF(A67="","",D67*E67)</f>
        <v/>
      </c>
    </row>
    <row r="68">
      <c r="A68" s="15" t="n"/>
      <c r="B68" s="16" t="n"/>
      <c r="C68" s="16" t="n"/>
      <c r="D68" s="17" t="n"/>
      <c r="E68" s="18" t="n"/>
      <c r="F68" s="19">
        <f>IF(A68="","",D68*E68)</f>
        <v/>
      </c>
    </row>
    <row r="69">
      <c r="A69" s="15" t="n"/>
      <c r="B69" s="16" t="n"/>
      <c r="C69" s="16" t="n"/>
      <c r="D69" s="17" t="n"/>
      <c r="E69" s="18" t="n"/>
      <c r="F69" s="19">
        <f>IF(A69="","",D69*E69)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"Location,Catering,Dekoration,Fotografie,Kleidung,Musik,Transport,Sonstiges"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5" customWidth="1" min="4" max="4"/>
  </cols>
  <sheetData>
    <row r="1" ht="32" customHeight="1">
      <c r="A1" s="14" t="inlineStr">
        <is>
          <t>Kategorie</t>
        </is>
      </c>
      <c r="B1" s="14" t="inlineStr">
        <is>
          <t>Budgetiert</t>
        </is>
      </c>
      <c r="C1" s="14" t="inlineStr">
        <is>
          <t>Ausgegeben</t>
        </is>
      </c>
      <c r="D1" s="14" t="inlineStr">
        <is>
          <t>Differenz</t>
        </is>
      </c>
    </row>
    <row r="2">
      <c r="A2" s="16" t="inlineStr">
        <is>
          <t>Location</t>
        </is>
      </c>
      <c r="B2" s="18" t="n">
        <v>2000</v>
      </c>
      <c r="C2" s="18" t="inlineStr"/>
      <c r="D2" s="19">
        <f>B2-C2</f>
        <v/>
      </c>
    </row>
    <row r="3">
      <c r="A3" s="16" t="inlineStr">
        <is>
          <t>Catering</t>
        </is>
      </c>
      <c r="B3" s="18" t="n">
        <v>2500</v>
      </c>
      <c r="C3" s="18" t="inlineStr"/>
      <c r="D3" s="19">
        <f>B3-C3</f>
        <v/>
      </c>
    </row>
    <row r="4">
      <c r="A4" s="16" t="inlineStr">
        <is>
          <t>Dekoration</t>
        </is>
      </c>
      <c r="B4" s="18" t="n">
        <v>800</v>
      </c>
      <c r="C4" s="18" t="inlineStr"/>
      <c r="D4" s="19">
        <f>B4-C4</f>
        <v/>
      </c>
    </row>
    <row r="5">
      <c r="A5" s="16" t="inlineStr">
        <is>
          <t>Fotografie</t>
        </is>
      </c>
      <c r="B5" s="18" t="n">
        <v>1000</v>
      </c>
      <c r="C5" s="18" t="inlineStr"/>
      <c r="D5" s="19">
        <f>B5-C5</f>
        <v/>
      </c>
    </row>
    <row r="6">
      <c r="A6" s="16" t="inlineStr">
        <is>
          <t>Kleidung</t>
        </is>
      </c>
      <c r="B6" s="18" t="n">
        <v>1500</v>
      </c>
      <c r="C6" s="18" t="inlineStr"/>
      <c r="D6" s="19">
        <f>B6-C6</f>
        <v/>
      </c>
    </row>
    <row r="7">
      <c r="A7" s="16" t="inlineStr">
        <is>
          <t>Musik</t>
        </is>
      </c>
      <c r="B7" s="18" t="n">
        <v>600</v>
      </c>
      <c r="C7" s="18" t="inlineStr"/>
      <c r="D7" s="19">
        <f>B7-C7</f>
        <v/>
      </c>
    </row>
    <row r="8">
      <c r="A8" s="16" t="inlineStr">
        <is>
          <t>Transport</t>
        </is>
      </c>
      <c r="B8" s="18" t="n">
        <v>400</v>
      </c>
      <c r="C8" s="18" t="inlineStr"/>
      <c r="D8" s="19">
        <f>B8-C8</f>
        <v/>
      </c>
    </row>
    <row r="9">
      <c r="A9" s="16" t="inlineStr">
        <is>
          <t>Sonstiges</t>
        </is>
      </c>
      <c r="B9" s="18" t="n">
        <v>500</v>
      </c>
      <c r="C9" s="18" t="inlineStr"/>
      <c r="D9" s="19">
        <f>B9-C9</f>
        <v/>
      </c>
    </row>
    <row r="10">
      <c r="A10" s="16" t="n"/>
      <c r="B10" s="18" t="n"/>
      <c r="C10" s="18" t="n"/>
      <c r="D10" s="19">
        <f>IF(A10="","",B10-C10)</f>
        <v/>
      </c>
    </row>
    <row r="11">
      <c r="A11" s="16" t="n"/>
      <c r="B11" s="18" t="n"/>
      <c r="C11" s="18" t="n"/>
      <c r="D11" s="19">
        <f>IF(A11="","",B11-C11)</f>
        <v/>
      </c>
    </row>
    <row r="12">
      <c r="A12" s="16" t="n"/>
      <c r="B12" s="18" t="n"/>
      <c r="C12" s="18" t="n"/>
      <c r="D12" s="19">
        <f>IF(A12="","",B12-C12)</f>
        <v/>
      </c>
    </row>
    <row r="13">
      <c r="A13" s="16" t="n"/>
      <c r="B13" s="18" t="n"/>
      <c r="C13" s="18" t="n"/>
      <c r="D13" s="19">
        <f>IF(A13="","",B13-C13)</f>
        <v/>
      </c>
    </row>
    <row r="14">
      <c r="A14" s="16" t="n"/>
      <c r="B14" s="18" t="n"/>
      <c r="C14" s="18" t="n"/>
      <c r="D14" s="19">
        <f>IF(A14="","",B14-C14)</f>
        <v/>
      </c>
    </row>
    <row r="15">
      <c r="A15" s="16" t="n"/>
      <c r="B15" s="18" t="n"/>
      <c r="C15" s="18" t="n"/>
      <c r="D15" s="19">
        <f>IF(A15="","",B15-C15)</f>
        <v/>
      </c>
    </row>
    <row r="16">
      <c r="A16" s="16" t="n"/>
      <c r="B16" s="18" t="n"/>
      <c r="C16" s="18" t="n"/>
      <c r="D16" s="19">
        <f>IF(A16="","",B16-C16)</f>
        <v/>
      </c>
    </row>
    <row r="17">
      <c r="A17" s="16" t="n"/>
      <c r="B17" s="18" t="n"/>
      <c r="C17" s="18" t="n"/>
      <c r="D17" s="19">
        <f>IF(A17="","",B17-C17)</f>
        <v/>
      </c>
    </row>
    <row r="18">
      <c r="A18" s="16" t="n"/>
      <c r="B18" s="18" t="n"/>
      <c r="C18" s="18" t="n"/>
      <c r="D18" s="19">
        <f>IF(A18="","",B18-C18)</f>
        <v/>
      </c>
    </row>
    <row r="19">
      <c r="A19" s="16" t="n"/>
      <c r="B19" s="18" t="n"/>
      <c r="C19" s="18" t="n"/>
      <c r="D19" s="19">
        <f>IF(A19="","",B19-C19)</f>
        <v/>
      </c>
    </row>
  </sheetData>
  <conditionalFormatting sqref="B2:B19">
    <cfRule type="cellIs" priority="1" operator="lessThan" dxfId="0">
      <formula>0</formula>
    </cfRule>
  </conditionalFormatting>
  <conditionalFormatting sqref="C2:C19">
    <cfRule type="cellIs" priority="2" operator="lessThan" dxfId="0">
      <formula>0</formula>
    </cfRule>
  </conditionalFormatting>
  <conditionalFormatting sqref="D2:D19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Hochzeitsbudget-Tracker &amp; Planer für Paare</dc:title>
  <dcterms:created xsi:type="dcterms:W3CDTF">2026-09-28T18:23:52Z</dcterms:created>
  <dcterms:modified xsi:type="dcterms:W3CDTF">2026-09-28T18:23:52Z</dcterms:modified>
</cp:coreProperties>
</file>