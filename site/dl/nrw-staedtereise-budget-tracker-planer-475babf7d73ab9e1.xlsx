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ziele" sheetId="3" state="visible" r:id="rId3"/>
    <sheet name="Ausgaben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'Ausgaben'!D1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'Ausgaben'!$B$2:$B$4</f>
            </numRef>
          </cat>
          <val>
            <numRef>
              <f>'Ausgaben'!$D$2:$D$4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ziele" displayName="T_Reiseziele" ref="A1:D24" headerRowCount="1">
  <autoFilter ref="A1:D24"/>
  <tableColumns count="4">
    <tableColumn id="1" name="Datum"/>
    <tableColumn id="2" name="Stadt"/>
    <tableColumn id="3" name="Aktivität"/>
    <tableColumn id="4" name="Kosten"/>
  </tableColumns>
  <tableStyleInfo name="TableStyleMedium7" showRowStripes="1"/>
</table>
</file>

<file path=xl/tables/table2.xml><?xml version="1.0" encoding="utf-8"?>
<table xmlns="http://schemas.openxmlformats.org/spreadsheetml/2006/main" id="2" name="T_Ausgaben" displayName="T_Ausgaben" ref="A1:D64" headerRowCount="1">
  <autoFilter ref="A1:D64"/>
  <tableColumns count="4">
    <tableColumn id="1" name="Datum"/>
    <tableColumn id="2" name="Kategorie"/>
    <tableColumn id="3" name="Beschreibung"/>
    <tableColumn id="4" name="Betrag"/>
  </tableColumns>
  <tableStyleInfo name="TableStyleMedium7" showRowStripes="1"/>
</table>
</file>

<file path=xl/tables/table3.xml><?xml version="1.0" encoding="utf-8"?>
<table xmlns="http://schemas.openxmlformats.org/spreadsheetml/2006/main" id="3" name="T_Budget" displayName="T_Budget" ref="A1:D24" headerRowCount="1">
  <autoFilter ref="A1:D24"/>
  <tableColumns count="4">
    <tableColumn id="1" name="Kategorie"/>
    <tableColumn id="2" name="Geplant"/>
    <tableColumn id="3" name="Ausgegeben"/>
    <tableColumn id="4" name="Differenz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ziele'!A1" TargetMode="External" Id="rId2" /><Relationship Type="http://schemas.openxmlformats.org/officeDocument/2006/relationships/hyperlink" Target="#'Ausgaben'!A1" TargetMode="External" Id="rId3" /><Relationship Type="http://schemas.openxmlformats.org/officeDocument/2006/relationships/hyperlink" Target="#'Budge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NRW Städtereise-Budget-Tracker &amp; Planer</t>
        </is>
      </c>
    </row>
    <row r="3" ht="45" customHeight="1">
      <c r="C3" s="2" t="inlineStr">
        <is>
          <t>Effizientes Planen und Budgetieren für Städtereisen in NRW - behalten Sie alle Ausgaben im Blick und optimieren Sie Ihre Reisekosten.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Öffnen Sie die Excel-Datei und geben Sie Ihre persönlichen Daten ein.</t>
        </is>
      </c>
    </row>
    <row r="7" ht="18" customHeight="1">
      <c r="B7" s="4" t="inlineStr">
        <is>
          <t>2.</t>
        </is>
      </c>
      <c r="C7" s="5" t="inlineStr">
        <is>
          <t>Tragen Sie Ihre geplanten Reiseziele und Aktivitäten ein.</t>
        </is>
      </c>
    </row>
    <row r="8" ht="18" customHeight="1">
      <c r="B8" s="4" t="inlineStr">
        <is>
          <t>3.</t>
        </is>
      </c>
      <c r="C8" s="5" t="inlineStr">
        <is>
          <t>Erfassen Sie alle Ausgaben während der Reise.</t>
        </is>
      </c>
    </row>
    <row r="9" ht="18" customHeight="1">
      <c r="B9" s="4" t="inlineStr">
        <is>
          <t>4.</t>
        </is>
      </c>
      <c r="C9" s="5" t="inlineStr">
        <is>
          <t>Nutzen Sie die Dashboards, um Ihre Ausgaben zu analysieren.</t>
        </is>
      </c>
    </row>
    <row r="10" ht="18" customHeight="1">
      <c r="B10" s="4" t="inlineStr">
        <is>
          <t>5.</t>
        </is>
      </c>
      <c r="C10" s="5" t="inlineStr">
        <is>
          <t>Überprüfen Sie Ihr Budget und passen Sie ggf. Ihre Pläne an.</t>
        </is>
      </c>
    </row>
    <row r="11" ht="18" customHeight="1">
      <c r="B11" s="4" t="inlineStr">
        <is>
          <t>6.</t>
        </is>
      </c>
      <c r="C11" s="5" t="inlineStr">
        <is>
          <t>Speichern Sie Ihre Daten und drucken Sie eine Übersicht aus.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Reiseziele</t>
        </is>
      </c>
    </row>
    <row r="18">
      <c r="C18" s="7" t="inlineStr">
        <is>
          <t>→ Ausgaben</t>
        </is>
      </c>
    </row>
    <row r="19">
      <c r="C19" s="7" t="inlineStr">
        <is>
          <t>→ Budget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NRW Städtereise-Budget-Tracker &amp; 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SUM('Ausgaben'!D2:D300)</f>
        <v/>
      </c>
    </row>
    <row r="6" ht="24" customHeight="1">
      <c r="B6" s="11" t="inlineStr">
        <is>
          <t>Anzahl Aktivitäten</t>
        </is>
      </c>
      <c r="C6" s="13">
        <f>COUNTA('Reiseziele'!C2:C300)</f>
        <v/>
      </c>
    </row>
    <row r="7" ht="24" customHeight="1">
      <c r="B7" s="11" t="inlineStr">
        <is>
          <t>Durchschnittliche Kosten pro Aktivität</t>
        </is>
      </c>
      <c r="C7" s="12">
        <f>AVERAGE('Reiseziele'!D2:D300)</f>
        <v/>
      </c>
    </row>
    <row r="8" ht="24" customHeight="1">
      <c r="B8" s="11" t="inlineStr">
        <is>
          <t>Budgetüberschreitung</t>
        </is>
      </c>
      <c r="C8" s="12">
        <f>SUMIF('Budget'!D2:D300,"&gt;0",'Budget'!D2:D300)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Stadt</t>
        </is>
      </c>
      <c r="C1" s="14" t="inlineStr">
        <is>
          <t>Aktivität</t>
        </is>
      </c>
      <c r="D1" s="14" t="inlineStr">
        <is>
          <t>Kosten</t>
        </is>
      </c>
    </row>
    <row r="2">
      <c r="A2" s="15" t="n">
        <v>46091</v>
      </c>
      <c r="B2" s="16" t="inlineStr">
        <is>
          <t>Köln</t>
        </is>
      </c>
      <c r="C2" s="16" t="inlineStr">
        <is>
          <t>Dom-Besichtigung</t>
        </is>
      </c>
      <c r="D2" s="17" t="n">
        <v>10</v>
      </c>
    </row>
    <row r="3">
      <c r="A3" s="15" t="n">
        <v>46092</v>
      </c>
      <c r="B3" s="16" t="inlineStr">
        <is>
          <t>Düsseldorf</t>
        </is>
      </c>
      <c r="C3" s="16" t="inlineStr">
        <is>
          <t>Altstadt-Tour</t>
        </is>
      </c>
      <c r="D3" s="17" t="n">
        <v>15</v>
      </c>
    </row>
    <row r="4">
      <c r="A4" s="15" t="n">
        <v>46093</v>
      </c>
      <c r="B4" s="16" t="inlineStr">
        <is>
          <t>Essen</t>
        </is>
      </c>
      <c r="C4" s="16" t="inlineStr">
        <is>
          <t>Zeche Zollverein</t>
        </is>
      </c>
      <c r="D4" s="17" t="n">
        <v>12.5</v>
      </c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</sheetData>
  <conditionalFormatting sqref="D2:D24">
    <cfRule type="cellIs" priority="1" operator="lessThan" dxfId="0">
      <formula>0</formula>
    </cfRule>
  </conditionalFormatting>
  <dataValidations count="1">
    <dataValidation sqref="B2:B24" showDropDown="0" showInputMessage="0" showErrorMessage="0" allowBlank="1" type="list">
      <formula1>"Köln,Düsseldorf,Essen,Dortmund,Bochum"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</row>
    <row r="2">
      <c r="A2" s="15" t="n">
        <v>46091</v>
      </c>
      <c r="B2" s="16" t="inlineStr">
        <is>
          <t>Verpflegung</t>
        </is>
      </c>
      <c r="C2" s="16" t="inlineStr">
        <is>
          <t>Mittagessen</t>
        </is>
      </c>
      <c r="D2" s="17" t="n">
        <v>15</v>
      </c>
    </row>
    <row r="3">
      <c r="A3" s="15" t="n">
        <v>46091</v>
      </c>
      <c r="B3" s="16" t="inlineStr">
        <is>
          <t>Transport</t>
        </is>
      </c>
      <c r="C3" s="16" t="inlineStr">
        <is>
          <t>Taxi</t>
        </is>
      </c>
      <c r="D3" s="17" t="n">
        <v>20</v>
      </c>
    </row>
    <row r="4">
      <c r="A4" s="15" t="n">
        <v>46092</v>
      </c>
      <c r="B4" s="16" t="inlineStr">
        <is>
          <t>Unterkunft</t>
        </is>
      </c>
      <c r="C4" s="16" t="inlineStr">
        <is>
          <t>Hotel</t>
        </is>
      </c>
      <c r="D4" s="17" t="n">
        <v>80</v>
      </c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  <row r="64">
      <c r="A64" s="15" t="n"/>
      <c r="B64" s="16" t="n"/>
      <c r="C64" s="16" t="n"/>
      <c r="D64" s="17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"Verpflegung,Transport,Unterkunft,Eintritte,Sonstiges"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Geplant</t>
        </is>
      </c>
      <c r="C1" s="14" t="inlineStr">
        <is>
          <t>Ausgegeben</t>
        </is>
      </c>
      <c r="D1" s="14" t="inlineStr">
        <is>
          <t>Differenz</t>
        </is>
      </c>
    </row>
    <row r="2">
      <c r="A2" s="16" t="inlineStr">
        <is>
          <t>Verpflegung</t>
        </is>
      </c>
      <c r="B2" s="17" t="n">
        <v>100</v>
      </c>
      <c r="C2" s="17" t="n">
        <v>15</v>
      </c>
      <c r="D2" s="18">
        <f>B2-C2</f>
        <v/>
      </c>
    </row>
    <row r="3">
      <c r="A3" s="16" t="inlineStr">
        <is>
          <t>Transport</t>
        </is>
      </c>
      <c r="B3" s="17" t="n">
        <v>50</v>
      </c>
      <c r="C3" s="17" t="n">
        <v>20</v>
      </c>
      <c r="D3" s="18">
        <f>B3-C3</f>
        <v/>
      </c>
    </row>
    <row r="4">
      <c r="A4" s="16" t="inlineStr">
        <is>
          <t>Unterkunft</t>
        </is>
      </c>
      <c r="B4" s="17" t="n">
        <v>300</v>
      </c>
      <c r="C4" s="17" t="n">
        <v>80</v>
      </c>
      <c r="D4" s="18">
        <f>B4-C4</f>
        <v/>
      </c>
    </row>
    <row r="5">
      <c r="A5" s="16" t="n"/>
      <c r="B5" s="17" t="n"/>
      <c r="C5" s="17" t="n"/>
      <c r="D5" s="18">
        <f>IF(A5="","",B5-C5)</f>
        <v/>
      </c>
    </row>
    <row r="6">
      <c r="A6" s="16" t="n"/>
      <c r="B6" s="17" t="n"/>
      <c r="C6" s="17" t="n"/>
      <c r="D6" s="18">
        <f>IF(A6="","",B6-C6)</f>
        <v/>
      </c>
    </row>
    <row r="7">
      <c r="A7" s="16" t="n"/>
      <c r="B7" s="17" t="n"/>
      <c r="C7" s="17" t="n"/>
      <c r="D7" s="18">
        <f>IF(A7="","",B7-C7)</f>
        <v/>
      </c>
    </row>
    <row r="8">
      <c r="A8" s="16" t="n"/>
      <c r="B8" s="17" t="n"/>
      <c r="C8" s="17" t="n"/>
      <c r="D8" s="18">
        <f>IF(A8="","",B8-C8)</f>
        <v/>
      </c>
    </row>
    <row r="9">
      <c r="A9" s="16" t="n"/>
      <c r="B9" s="17" t="n"/>
      <c r="C9" s="17" t="n"/>
      <c r="D9" s="18">
        <f>IF(A9="","",B9-C9)</f>
        <v/>
      </c>
    </row>
    <row r="10">
      <c r="A10" s="16" t="n"/>
      <c r="B10" s="17" t="n"/>
      <c r="C10" s="17" t="n"/>
      <c r="D10" s="18">
        <f>IF(A10="","",B10-C10)</f>
        <v/>
      </c>
    </row>
    <row r="11">
      <c r="A11" s="16" t="n"/>
      <c r="B11" s="17" t="n"/>
      <c r="C11" s="17" t="n"/>
      <c r="D11" s="18">
        <f>IF(A11="","",B11-C11)</f>
        <v/>
      </c>
    </row>
    <row r="12">
      <c r="A12" s="16" t="n"/>
      <c r="B12" s="17" t="n"/>
      <c r="C12" s="17" t="n"/>
      <c r="D12" s="18">
        <f>IF(A12="","",B12-C12)</f>
        <v/>
      </c>
    </row>
    <row r="13">
      <c r="A13" s="16" t="n"/>
      <c r="B13" s="17" t="n"/>
      <c r="C13" s="17" t="n"/>
      <c r="D13" s="18">
        <f>IF(A13="","",B13-C13)</f>
        <v/>
      </c>
    </row>
    <row r="14">
      <c r="A14" s="16" t="n"/>
      <c r="B14" s="17" t="n"/>
      <c r="C14" s="17" t="n"/>
      <c r="D14" s="18">
        <f>IF(A14="","",B14-C14)</f>
        <v/>
      </c>
    </row>
    <row r="15">
      <c r="A15" s="16" t="n"/>
      <c r="B15" s="17" t="n"/>
      <c r="C15" s="17" t="n"/>
      <c r="D15" s="18">
        <f>IF(A15="","",B15-C15)</f>
        <v/>
      </c>
    </row>
    <row r="16">
      <c r="A16" s="16" t="n"/>
      <c r="B16" s="17" t="n"/>
      <c r="C16" s="17" t="n"/>
      <c r="D16" s="18">
        <f>IF(A16="","",B16-C16)</f>
        <v/>
      </c>
    </row>
    <row r="17">
      <c r="A17" s="16" t="n"/>
      <c r="B17" s="17" t="n"/>
      <c r="C17" s="17" t="n"/>
      <c r="D17" s="18">
        <f>IF(A17="","",B17-C17)</f>
        <v/>
      </c>
    </row>
    <row r="18">
      <c r="A18" s="16" t="n"/>
      <c r="B18" s="17" t="n"/>
      <c r="C18" s="17" t="n"/>
      <c r="D18" s="18">
        <f>IF(A18="","",B18-C18)</f>
        <v/>
      </c>
    </row>
    <row r="19">
      <c r="A19" s="16" t="n"/>
      <c r="B19" s="17" t="n"/>
      <c r="C19" s="17" t="n"/>
      <c r="D19" s="18">
        <f>IF(A19="","",B19-C19)</f>
        <v/>
      </c>
    </row>
    <row r="20">
      <c r="A20" s="16" t="n"/>
      <c r="B20" s="17" t="n"/>
      <c r="C20" s="17" t="n"/>
      <c r="D20" s="18">
        <f>IF(A20="","",B20-C20)</f>
        <v/>
      </c>
    </row>
    <row r="21">
      <c r="A21" s="16" t="n"/>
      <c r="B21" s="17" t="n"/>
      <c r="C21" s="17" t="n"/>
      <c r="D21" s="18">
        <f>IF(A21="","",B21-C21)</f>
        <v/>
      </c>
    </row>
    <row r="22">
      <c r="A22" s="16" t="n"/>
      <c r="B22" s="17" t="n"/>
      <c r="C22" s="17" t="n"/>
      <c r="D22" s="18">
        <f>IF(A22="","",B22-C22)</f>
        <v/>
      </c>
    </row>
    <row r="23">
      <c r="A23" s="16" t="n"/>
      <c r="B23" s="17" t="n"/>
      <c r="C23" s="17" t="n"/>
      <c r="D23" s="18">
        <f>IF(A23="","",B23-C23)</f>
        <v/>
      </c>
    </row>
    <row r="24">
      <c r="A24" s="16" t="n"/>
      <c r="B24" s="17" t="n"/>
      <c r="C24" s="17" t="n"/>
      <c r="D24" s="18">
        <f>IF(A24="","",B24-C24)</f>
        <v/>
      </c>
    </row>
  </sheetData>
  <conditionalFormatting sqref="B2:B24">
    <cfRule type="cellIs" priority="1" operator="lessThan" dxfId="0">
      <formula>0</formula>
    </cfRule>
  </conditionalFormatting>
  <conditionalFormatting sqref="C2:C24">
    <cfRule type="cellIs" priority="2" operator="lessThan" dxfId="0">
      <formula>0</formula>
    </cfRule>
  </conditionalFormatting>
  <conditionalFormatting sqref="D2:D24">
    <cfRule type="cellIs" priority="3" operator="lessThan" dxfId="0">
      <formula>0</formula>
    </cfRule>
  </conditionalFormatting>
  <dataValidations count="1">
    <dataValidation sqref="A2:A24" showDropDown="0" showInputMessage="0" showErrorMessage="0" allowBlank="1" type="list">
      <formula1>"Verpflegung,Transport,Unterkunft,Eintritte,Sonstiges"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NRW Städtereise-Budget-Tracker &amp; Planer</dc:title>
  <dcterms:created xsi:type="dcterms:W3CDTF">2026-09-28T18:18:05Z</dcterms:created>
  <dcterms:modified xsi:type="dcterms:W3CDTF">2026-09-28T18:18:05Z</dcterms:modified>
</cp:coreProperties>
</file>