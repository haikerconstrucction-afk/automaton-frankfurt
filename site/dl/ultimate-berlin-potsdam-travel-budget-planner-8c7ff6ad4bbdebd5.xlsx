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Daily Expenses" sheetId="3" state="visible" r:id="rId3"/>
    <sheet name="Budge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Expenses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Expenses'!F1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'Daily Expenses'!$B$2:$B$5</f>
            </numRef>
          </cat>
          <val>
            <numRef>
              <f>'Daily Expenses'!$F$2:$F$5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aily_Expenses_2638" displayName="T_Daily_Expenses_2638" ref="A1:F65" headerRowCount="1">
  <autoFilter ref="A1:F65"/>
  <tableColumns count="6">
    <tableColumn id="1" name="Date"/>
    <tableColumn id="2" name="Category"/>
    <tableColumn id="3" name="Description"/>
    <tableColumn id="4" name="Quantity"/>
    <tableColumn id="5" name="Price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Budget_Summary_3905" displayName="T_Budget_Summary_3905" ref="A1:D25" headerRowCount="1">
  <autoFilter ref="A1:D25"/>
  <tableColumns count="4">
    <tableColumn id="1" name="Category"/>
    <tableColumn id="2" name="Planned Budget"/>
    <tableColumn id="3" name="Actual Spend"/>
    <tableColumn id="4" name="Remaining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Daily Expenses'!A1" TargetMode="External" Id="rId2" /><Relationship Type="http://schemas.openxmlformats.org/officeDocument/2006/relationships/hyperlink" Target="#'Budget Summary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Berlin &amp; Potsdam Travel Budget Planner</t>
        </is>
      </c>
    </row>
    <row r="3" ht="45" customHeight="1">
      <c r="C3" s="2" t="inlineStr">
        <is>
          <t>Effortlessly manage your travel expenses with this comprehensive Berlin &amp; Potsdam budget planner. Perfect for families seeking stress-free travel.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Input your travel dates and destinations.</t>
        </is>
      </c>
    </row>
    <row r="7" ht="18" customHeight="1">
      <c r="B7" s="4" t="inlineStr">
        <is>
          <t>2.</t>
        </is>
      </c>
      <c r="C7" s="5" t="inlineStr">
        <is>
          <t>Log daily expenses under relevant categories.</t>
        </is>
      </c>
    </row>
    <row r="8" ht="18" customHeight="1">
      <c r="B8" s="4" t="inlineStr">
        <is>
          <t>3.</t>
        </is>
      </c>
      <c r="C8" s="5" t="inlineStr">
        <is>
          <t>Monitor your budget with real-time KPIs.</t>
        </is>
      </c>
    </row>
    <row r="9" ht="18" customHeight="1">
      <c r="B9" s="4" t="inlineStr">
        <is>
          <t>4.</t>
        </is>
      </c>
      <c r="C9" s="5" t="inlineStr">
        <is>
          <t>Adjust spending as needed to stay on track.</t>
        </is>
      </c>
    </row>
    <row r="10" ht="18" customHeight="1">
      <c r="B10" s="4" t="inlineStr">
        <is>
          <t>5.</t>
        </is>
      </c>
      <c r="C10" s="5" t="inlineStr">
        <is>
          <t>Generate visual summaries to share with family members.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Daily Expenses</t>
        </is>
      </c>
    </row>
    <row r="17">
      <c r="C17" s="7" t="inlineStr">
        <is>
          <t>→ Budget Summary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Berlin &amp; Potsdam Travel Budget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SUM('Daily Expenses'!F2:F300)</f>
        <v/>
      </c>
    </row>
    <row r="6" ht="24" customHeight="1">
      <c r="B6" s="11" t="inlineStr">
        <is>
          <t>Remaining Budget</t>
        </is>
      </c>
      <c r="C6" s="12">
        <f>SUM('Budget Summary'!D2:D20)</f>
        <v/>
      </c>
    </row>
    <row r="7" ht="24" customHeight="1">
      <c r="B7" s="11" t="inlineStr">
        <is>
          <t>Average Daily Spend</t>
        </is>
      </c>
      <c r="C7" s="12">
        <f>AVERAGE('Daily Expenses'!F2:F300)</f>
        <v/>
      </c>
    </row>
    <row r="8" ht="24" customHeight="1">
      <c r="B8" s="11" t="inlineStr">
        <is>
          <t>Most Spent Category</t>
        </is>
      </c>
      <c r="C8" s="13">
        <f>INDEX('Budget Summary'!A2:A20,MATCH(MAX('Budget Summary'!C2:C20),'Budget Summary'!C2:C20,0))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Quantity</t>
        </is>
      </c>
      <c r="E1" s="14" t="inlineStr">
        <is>
          <t>Price</t>
        </is>
      </c>
      <c r="F1" s="14" t="inlineStr">
        <is>
          <t>Total</t>
        </is>
      </c>
    </row>
    <row r="2">
      <c r="A2" s="15" t="n">
        <v>46218</v>
      </c>
      <c r="B2" s="16" t="inlineStr">
        <is>
          <t>Accommodation</t>
        </is>
      </c>
      <c r="C2" s="16" t="inlineStr">
        <is>
          <t>Hotel Stay</t>
        </is>
      </c>
      <c r="D2" s="17" t="n">
        <v>1</v>
      </c>
      <c r="E2" s="18" t="n">
        <v>120</v>
      </c>
      <c r="F2" s="19">
        <f>D2*E2</f>
        <v/>
      </c>
    </row>
    <row r="3">
      <c r="A3" s="15" t="n">
        <v>46219</v>
      </c>
      <c r="B3" s="16" t="inlineStr">
        <is>
          <t>Food</t>
        </is>
      </c>
      <c r="C3" s="16" t="inlineStr">
        <is>
          <t>Dinner</t>
        </is>
      </c>
      <c r="D3" s="17" t="n">
        <v>4</v>
      </c>
      <c r="E3" s="18" t="n">
        <v>25</v>
      </c>
      <c r="F3" s="19">
        <f>D3*E3</f>
        <v/>
      </c>
    </row>
    <row r="4">
      <c r="A4" s="15" t="n">
        <v>46220</v>
      </c>
      <c r="B4" s="16" t="inlineStr">
        <is>
          <t>Transport</t>
        </is>
      </c>
      <c r="C4" s="16" t="inlineStr">
        <is>
          <t>Bus Tickets</t>
        </is>
      </c>
      <c r="D4" s="17" t="n">
        <v>4</v>
      </c>
      <c r="E4" s="18" t="n">
        <v>2.5</v>
      </c>
      <c r="F4" s="19">
        <f>D4*E4</f>
        <v/>
      </c>
    </row>
    <row r="5">
      <c r="A5" s="15" t="n">
        <v>46221</v>
      </c>
      <c r="B5" s="16" t="inlineStr">
        <is>
          <t>Activities</t>
        </is>
      </c>
      <c r="C5" s="16" t="inlineStr">
        <is>
          <t>Museum Entry</t>
        </is>
      </c>
      <c r="D5" s="17" t="n">
        <v>2</v>
      </c>
      <c r="E5" s="18" t="n">
        <v>15</v>
      </c>
      <c r="F5" s="19">
        <f>D5*E5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conditionalFormatting sqref="F2:F65">
    <cfRule type="cellIs" priority="3" operator="lessThan" dxfId="0">
      <formula>0</formula>
    </cfRule>
  </conditionalFormatting>
  <dataValidations count="1">
    <dataValidation sqref="B2:B65" showDropDown="0" showInputMessage="0" showErrorMessage="0" allowBlank="1" type="list">
      <formula1>"Accommodation,Food,Transport,Activities,Shopping,Other"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5" customWidth="1" min="3" max="3"/>
    <col width="25" customWidth="1" min="4" max="4"/>
  </cols>
  <sheetData>
    <row r="1" ht="32" customHeight="1">
      <c r="A1" s="14" t="inlineStr">
        <is>
          <t>Category</t>
        </is>
      </c>
      <c r="B1" s="14" t="inlineStr">
        <is>
          <t>Planned Budget</t>
        </is>
      </c>
      <c r="C1" s="14" t="inlineStr">
        <is>
          <t>Actual Spend</t>
        </is>
      </c>
      <c r="D1" s="14" t="inlineStr">
        <is>
          <t>Remaining</t>
        </is>
      </c>
    </row>
    <row r="2">
      <c r="A2" s="16" t="inlineStr">
        <is>
          <t>Accommodation</t>
        </is>
      </c>
      <c r="B2" s="18" t="n">
        <v>500</v>
      </c>
      <c r="C2" s="18" t="inlineStr"/>
      <c r="D2" s="19">
        <f>B2-C2</f>
        <v/>
      </c>
    </row>
    <row r="3">
      <c r="A3" s="16" t="inlineStr">
        <is>
          <t>Food</t>
        </is>
      </c>
      <c r="B3" s="18" t="n">
        <v>300</v>
      </c>
      <c r="C3" s="18" t="inlineStr"/>
      <c r="D3" s="19">
        <f>B3-C3</f>
        <v/>
      </c>
    </row>
    <row r="4">
      <c r="A4" s="16" t="inlineStr">
        <is>
          <t>Transport</t>
        </is>
      </c>
      <c r="B4" s="18" t="n">
        <v>100</v>
      </c>
      <c r="C4" s="18" t="inlineStr"/>
      <c r="D4" s="19">
        <f>B4-C4</f>
        <v/>
      </c>
    </row>
    <row r="5">
      <c r="A5" s="16" t="inlineStr">
        <is>
          <t>Activities</t>
        </is>
      </c>
      <c r="B5" s="18" t="n">
        <v>200</v>
      </c>
      <c r="C5" s="18" t="inlineStr"/>
      <c r="D5" s="19">
        <f>B5-C5</f>
        <v/>
      </c>
    </row>
    <row r="6">
      <c r="A6" s="16" t="n"/>
      <c r="B6" s="18" t="n"/>
      <c r="C6" s="18" t="n"/>
      <c r="D6" s="19">
        <f>IF(A6="","",B6-C6)</f>
        <v/>
      </c>
    </row>
    <row r="7">
      <c r="A7" s="16" t="n"/>
      <c r="B7" s="18" t="n"/>
      <c r="C7" s="18" t="n"/>
      <c r="D7" s="19">
        <f>IF(A7="","",B7-C7)</f>
        <v/>
      </c>
    </row>
    <row r="8">
      <c r="A8" s="16" t="n"/>
      <c r="B8" s="18" t="n"/>
      <c r="C8" s="18" t="n"/>
      <c r="D8" s="19">
        <f>IF(A8="","",B8-C8)</f>
        <v/>
      </c>
    </row>
    <row r="9">
      <c r="A9" s="16" t="n"/>
      <c r="B9" s="18" t="n"/>
      <c r="C9" s="18" t="n"/>
      <c r="D9" s="19">
        <f>IF(A9="","",B9-C9)</f>
        <v/>
      </c>
    </row>
    <row r="10">
      <c r="A10" s="16" t="n"/>
      <c r="B10" s="18" t="n"/>
      <c r="C10" s="18" t="n"/>
      <c r="D10" s="19">
        <f>IF(A10="","",B10-C10)</f>
        <v/>
      </c>
    </row>
    <row r="11">
      <c r="A11" s="16" t="n"/>
      <c r="B11" s="18" t="n"/>
      <c r="C11" s="18" t="n"/>
      <c r="D11" s="19">
        <f>IF(A11="","",B11-C11)</f>
        <v/>
      </c>
    </row>
    <row r="12">
      <c r="A12" s="16" t="n"/>
      <c r="B12" s="18" t="n"/>
      <c r="C12" s="18" t="n"/>
      <c r="D12" s="19">
        <f>IF(A12="","",B12-C12)</f>
        <v/>
      </c>
    </row>
    <row r="13">
      <c r="A13" s="16" t="n"/>
      <c r="B13" s="18" t="n"/>
      <c r="C13" s="18" t="n"/>
      <c r="D13" s="19">
        <f>IF(A13="","",B13-C13)</f>
        <v/>
      </c>
    </row>
    <row r="14">
      <c r="A14" s="16" t="n"/>
      <c r="B14" s="18" t="n"/>
      <c r="C14" s="18" t="n"/>
      <c r="D14" s="19">
        <f>IF(A14="","",B14-C14)</f>
        <v/>
      </c>
    </row>
    <row r="15">
      <c r="A15" s="16" t="n"/>
      <c r="B15" s="18" t="n"/>
      <c r="C15" s="18" t="n"/>
      <c r="D15" s="19">
        <f>IF(A15="","",B15-C15)</f>
        <v/>
      </c>
    </row>
    <row r="16">
      <c r="A16" s="16" t="n"/>
      <c r="B16" s="18" t="n"/>
      <c r="C16" s="18" t="n"/>
      <c r="D16" s="19">
        <f>IF(A16="","",B16-C16)</f>
        <v/>
      </c>
    </row>
    <row r="17">
      <c r="A17" s="16" t="n"/>
      <c r="B17" s="18" t="n"/>
      <c r="C17" s="18" t="n"/>
      <c r="D17" s="19">
        <f>IF(A17="","",B17-C17)</f>
        <v/>
      </c>
    </row>
    <row r="18">
      <c r="A18" s="16" t="n"/>
      <c r="B18" s="18" t="n"/>
      <c r="C18" s="18" t="n"/>
      <c r="D18" s="19">
        <f>IF(A18="","",B18-C18)</f>
        <v/>
      </c>
    </row>
    <row r="19">
      <c r="A19" s="16" t="n"/>
      <c r="B19" s="18" t="n"/>
      <c r="C19" s="18" t="n"/>
      <c r="D19" s="19">
        <f>IF(A19="","",B19-C19)</f>
        <v/>
      </c>
    </row>
    <row r="20">
      <c r="A20" s="16" t="n"/>
      <c r="B20" s="18" t="n"/>
      <c r="C20" s="18" t="n"/>
      <c r="D20" s="19">
        <f>IF(A20="","",B20-C20)</f>
        <v/>
      </c>
    </row>
    <row r="21">
      <c r="A21" s="16" t="n"/>
      <c r="B21" s="18" t="n"/>
      <c r="C21" s="18" t="n"/>
      <c r="D21" s="19">
        <f>IF(A21="","",B21-C21)</f>
        <v/>
      </c>
    </row>
    <row r="22">
      <c r="A22" s="16" t="n"/>
      <c r="B22" s="18" t="n"/>
      <c r="C22" s="18" t="n"/>
      <c r="D22" s="19">
        <f>IF(A22="","",B22-C22)</f>
        <v/>
      </c>
    </row>
    <row r="23">
      <c r="A23" s="16" t="n"/>
      <c r="B23" s="18" t="n"/>
      <c r="C23" s="18" t="n"/>
      <c r="D23" s="19">
        <f>IF(A23="","",B23-C23)</f>
        <v/>
      </c>
    </row>
    <row r="24">
      <c r="A24" s="16" t="n"/>
      <c r="B24" s="18" t="n"/>
      <c r="C24" s="18" t="n"/>
      <c r="D24" s="19">
        <f>IF(A24="","",B24-C24)</f>
        <v/>
      </c>
    </row>
    <row r="25">
      <c r="A25" s="16" t="n"/>
      <c r="B25" s="18" t="n"/>
      <c r="C25" s="18" t="n"/>
      <c r="D25" s="19">
        <f>IF(A25="","",B25-C25)</f>
        <v/>
      </c>
    </row>
  </sheetData>
  <conditionalFormatting sqref="B2:B25">
    <cfRule type="cellIs" priority="1" operator="lessThan" dxfId="0">
      <formula>0</formula>
    </cfRule>
  </conditionalFormatting>
  <conditionalFormatting sqref="C2:C25">
    <cfRule type="cellIs" priority="2" operator="lessThan" dxfId="0">
      <formula>0</formula>
    </cfRule>
  </conditionalFormatting>
  <conditionalFormatting sqref="D2:D25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Berlin &amp; Potsdam Travel Budget Planner</dc:title>
  <dcterms:created xsi:type="dcterms:W3CDTF">2026-10-07T17:39:54Z</dcterms:created>
  <dcterms:modified xsi:type="dcterms:W3CDTF">2026-10-07T17:39:54Z</dcterms:modified>
</cp:coreProperties>
</file>