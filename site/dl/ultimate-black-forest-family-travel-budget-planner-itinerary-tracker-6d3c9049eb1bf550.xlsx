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Itinerary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147" displayName="T_Budget_2147" ref="A1:F65" headerRowCount="1">
  <autoFilter ref="A1:F65"/>
  <tableColumns count="6">
    <tableColumn id="1" name="Date"/>
    <tableColumn id="2" name="Category"/>
    <tableColumn id="3" name="Description"/>
    <tableColumn id="4" name="Amount"/>
    <tableColumn id="5" name="Currency"/>
    <tableColumn id="6" name="Total (EUR)"/>
  </tableColumns>
  <tableStyleInfo name="TableStyleMedium7" showRowStripes="1"/>
</table>
</file>

<file path=xl/tables/table2.xml><?xml version="1.0" encoding="utf-8"?>
<table xmlns="http://schemas.openxmlformats.org/spreadsheetml/2006/main" id="2" name="T_Itinerary_3822" displayName="T_Itinerary_3822" ref="A1:E45" headerRowCount="1">
  <autoFilter ref="A1:E45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Dashboard_2_4326" displayName="T_Dashboard_2_4326" ref="A1:B35" headerRowCount="1">
  <autoFilter ref="A1:B35"/>
  <tableColumns count="2">
    <tableColumn id="1" name="KPI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Black Forest Family Travel Budget Planner &amp; Itinerary Tracker</t>
        </is>
      </c>
    </row>
    <row r="3" ht="45" customHeight="1">
      <c r="C3" s="2" t="inlineStr">
        <is>
          <t>Plan your family adventure in the Black Forest with ease. This professional Excel template helps you track expenses, organize daily itineraries, and ensure a stress-free trip.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in the 'Itinerary' sheet.</t>
        </is>
      </c>
    </row>
    <row r="7" ht="18" customHeight="1">
      <c r="B7" s="4" t="inlineStr">
        <is>
          <t>2.</t>
        </is>
      </c>
      <c r="C7" s="5" t="inlineStr">
        <is>
          <t>Add all expenses in the 'Budget' sheet, categorized by type.</t>
        </is>
      </c>
    </row>
    <row r="8" ht="18" customHeight="1">
      <c r="B8" s="4" t="inlineStr">
        <is>
          <t>3.</t>
        </is>
      </c>
      <c r="C8" s="5" t="inlineStr">
        <is>
          <t>Use the dropdowns to select categories and track spending.</t>
        </is>
      </c>
    </row>
    <row r="9" ht="18" customHeight="1">
      <c r="B9" s="4" t="inlineStr">
        <is>
          <t>4.</t>
        </is>
      </c>
      <c r="C9" s="5" t="inlineStr">
        <is>
          <t>Monitor your KPIs on the 'Dashboard' to stay on budget.</t>
        </is>
      </c>
    </row>
    <row r="10" ht="18" customHeight="1">
      <c r="B10" s="4" t="inlineStr">
        <is>
          <t>5.</t>
        </is>
      </c>
      <c r="C10" s="5" t="inlineStr">
        <is>
          <t>Export or print your itinerary and budget for offline use.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Budget</t>
        </is>
      </c>
    </row>
    <row r="17">
      <c r="C17" s="7" t="inlineStr">
        <is>
          <t>→ Itinerary</t>
        </is>
      </c>
    </row>
    <row r="18">
      <c r="C18" s="7" t="inlineStr">
        <is>
          <t>→ Dashboard-2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Black Forest Family Travel Budget Planner &amp; Itinera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SUM('Budget'!F2:F300)</f>
        <v/>
      </c>
    </row>
    <row r="6" ht="24" customHeight="1">
      <c r="B6" s="11" t="inlineStr">
        <is>
          <t>Average Daily Spending</t>
        </is>
      </c>
      <c r="C6" s="12">
        <f>AVERAGE('Budget'!F2:F300)</f>
        <v/>
      </c>
    </row>
    <row r="7" ht="24" customHeight="1">
      <c r="B7" s="11" t="inlineStr">
        <is>
          <t>Max Single Expense</t>
        </is>
      </c>
      <c r="C7" s="12">
        <f>MAX('Budget'!F2:F300)</f>
        <v/>
      </c>
    </row>
    <row r="8" ht="24" customHeight="1">
      <c r="B8" s="11" t="inlineStr">
        <is>
          <t>Days Until Trip</t>
        </is>
      </c>
      <c r="C8" s="13">
        <f>DATEDIF(TODAY(),MIN('Itinerary'!A2:A300),'d')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Currency</t>
        </is>
      </c>
      <c r="F1" s="14" t="inlineStr">
        <is>
          <t>Total (EUR)</t>
        </is>
      </c>
    </row>
    <row r="2">
      <c r="A2" s="15" t="n">
        <v>46218</v>
      </c>
      <c r="B2" s="16" t="inlineStr">
        <is>
          <t>Accommodation</t>
        </is>
      </c>
      <c r="C2" s="16" t="inlineStr">
        <is>
          <t>Hotel Booking</t>
        </is>
      </c>
      <c r="D2" s="17" t="n">
        <v>150</v>
      </c>
      <c r="E2" s="16" t="inlineStr">
        <is>
          <t>EUR</t>
        </is>
      </c>
      <c r="F2" s="18">
        <f>IF(E2='EUR',D2,D2*0.95)</f>
        <v/>
      </c>
    </row>
    <row r="3">
      <c r="A3" s="15" t="n">
        <v>46219</v>
      </c>
      <c r="B3" s="16" t="inlineStr">
        <is>
          <t>Transport</t>
        </is>
      </c>
      <c r="C3" s="16" t="inlineStr">
        <is>
          <t>Car Rental</t>
        </is>
      </c>
      <c r="D3" s="17" t="n">
        <v>40</v>
      </c>
      <c r="E3" s="16" t="inlineStr">
        <is>
          <t>EUR</t>
        </is>
      </c>
      <c r="F3" s="18">
        <f>IF(E3='EUR',D3,D3*0.95)</f>
        <v/>
      </c>
    </row>
    <row r="4">
      <c r="A4" s="15" t="n">
        <v>46220</v>
      </c>
      <c r="B4" s="16" t="inlineStr">
        <is>
          <t>Food</t>
        </is>
      </c>
      <c r="C4" s="16" t="inlineStr">
        <is>
          <t>Restaurant</t>
        </is>
      </c>
      <c r="D4" s="17" t="n">
        <v>30</v>
      </c>
      <c r="E4" s="16" t="inlineStr">
        <is>
          <t>EUR</t>
        </is>
      </c>
      <c r="F4" s="18">
        <f>IF(E4='EUR',D4,D4*0.95)</f>
        <v/>
      </c>
    </row>
    <row r="5">
      <c r="A5" s="15" t="n">
        <v>46221</v>
      </c>
      <c r="B5" s="16" t="inlineStr">
        <is>
          <t>Activities</t>
        </is>
      </c>
      <c r="C5" s="16" t="inlineStr">
        <is>
          <t>Museum Tickets</t>
        </is>
      </c>
      <c r="D5" s="17" t="n">
        <v>25</v>
      </c>
      <c r="E5" s="16" t="inlineStr">
        <is>
          <t>EUR</t>
        </is>
      </c>
      <c r="F5" s="18">
        <f>IF(E5='EUR',D5,D5*0.95)</f>
        <v/>
      </c>
    </row>
    <row r="6">
      <c r="A6" s="15" t="n"/>
      <c r="B6" s="16" t="n"/>
      <c r="C6" s="16" t="n"/>
      <c r="D6" s="17" t="n"/>
      <c r="E6" s="16" t="n"/>
      <c r="F6" s="18">
        <f>IF(A6="","",IF(E6='EUR',D6,D6*0.95))</f>
        <v/>
      </c>
    </row>
    <row r="7">
      <c r="A7" s="15" t="n"/>
      <c r="B7" s="16" t="n"/>
      <c r="C7" s="16" t="n"/>
      <c r="D7" s="17" t="n"/>
      <c r="E7" s="16" t="n"/>
      <c r="F7" s="18">
        <f>IF(A7="","",IF(E7='EUR',D7,D7*0.95))</f>
        <v/>
      </c>
    </row>
    <row r="8">
      <c r="A8" s="15" t="n"/>
      <c r="B8" s="16" t="n"/>
      <c r="C8" s="16" t="n"/>
      <c r="D8" s="17" t="n"/>
      <c r="E8" s="16" t="n"/>
      <c r="F8" s="18">
        <f>IF(A8="","",IF(E8='EUR',D8,D8*0.95))</f>
        <v/>
      </c>
    </row>
    <row r="9">
      <c r="A9" s="15" t="n"/>
      <c r="B9" s="16" t="n"/>
      <c r="C9" s="16" t="n"/>
      <c r="D9" s="17" t="n"/>
      <c r="E9" s="16" t="n"/>
      <c r="F9" s="18">
        <f>IF(A9="","",IF(E9='EUR',D9,D9*0.95))</f>
        <v/>
      </c>
    </row>
    <row r="10">
      <c r="A10" s="15" t="n"/>
      <c r="B10" s="16" t="n"/>
      <c r="C10" s="16" t="n"/>
      <c r="D10" s="17" t="n"/>
      <c r="E10" s="16" t="n"/>
      <c r="F10" s="18">
        <f>IF(A10="","",IF(E10='EUR',D10,D10*0.95))</f>
        <v/>
      </c>
    </row>
    <row r="11">
      <c r="A11" s="15" t="n"/>
      <c r="B11" s="16" t="n"/>
      <c r="C11" s="16" t="n"/>
      <c r="D11" s="17" t="n"/>
      <c r="E11" s="16" t="n"/>
      <c r="F11" s="18">
        <f>IF(A11="","",IF(E11='EUR',D11,D11*0.95))</f>
        <v/>
      </c>
    </row>
    <row r="12">
      <c r="A12" s="15" t="n"/>
      <c r="B12" s="16" t="n"/>
      <c r="C12" s="16" t="n"/>
      <c r="D12" s="17" t="n"/>
      <c r="E12" s="16" t="n"/>
      <c r="F12" s="18">
        <f>IF(A12="","",IF(E12='EUR',D12,D12*0.95))</f>
        <v/>
      </c>
    </row>
    <row r="13">
      <c r="A13" s="15" t="n"/>
      <c r="B13" s="16" t="n"/>
      <c r="C13" s="16" t="n"/>
      <c r="D13" s="17" t="n"/>
      <c r="E13" s="16" t="n"/>
      <c r="F13" s="18">
        <f>IF(A13="","",IF(E13='EUR',D13,D13*0.95))</f>
        <v/>
      </c>
    </row>
    <row r="14">
      <c r="A14" s="15" t="n"/>
      <c r="B14" s="16" t="n"/>
      <c r="C14" s="16" t="n"/>
      <c r="D14" s="17" t="n"/>
      <c r="E14" s="16" t="n"/>
      <c r="F14" s="18">
        <f>IF(A14="","",IF(E14='EUR',D14,D14*0.95))</f>
        <v/>
      </c>
    </row>
    <row r="15">
      <c r="A15" s="15" t="n"/>
      <c r="B15" s="16" t="n"/>
      <c r="C15" s="16" t="n"/>
      <c r="D15" s="17" t="n"/>
      <c r="E15" s="16" t="n"/>
      <c r="F15" s="18">
        <f>IF(A15="","",IF(E15='EUR',D15,D15*0.95))</f>
        <v/>
      </c>
    </row>
    <row r="16">
      <c r="A16" s="15" t="n"/>
      <c r="B16" s="16" t="n"/>
      <c r="C16" s="16" t="n"/>
      <c r="D16" s="17" t="n"/>
      <c r="E16" s="16" t="n"/>
      <c r="F16" s="18">
        <f>IF(A16="","",IF(E16='EUR',D16,D16*0.95))</f>
        <v/>
      </c>
    </row>
    <row r="17">
      <c r="A17" s="15" t="n"/>
      <c r="B17" s="16" t="n"/>
      <c r="C17" s="16" t="n"/>
      <c r="D17" s="17" t="n"/>
      <c r="E17" s="16" t="n"/>
      <c r="F17" s="18">
        <f>IF(A17="","",IF(E17='EUR',D17,D17*0.95))</f>
        <v/>
      </c>
    </row>
    <row r="18">
      <c r="A18" s="15" t="n"/>
      <c r="B18" s="16" t="n"/>
      <c r="C18" s="16" t="n"/>
      <c r="D18" s="17" t="n"/>
      <c r="E18" s="16" t="n"/>
      <c r="F18" s="18">
        <f>IF(A18="","",IF(E18='EUR',D18,D18*0.95))</f>
        <v/>
      </c>
    </row>
    <row r="19">
      <c r="A19" s="15" t="n"/>
      <c r="B19" s="16" t="n"/>
      <c r="C19" s="16" t="n"/>
      <c r="D19" s="17" t="n"/>
      <c r="E19" s="16" t="n"/>
      <c r="F19" s="18">
        <f>IF(A19="","",IF(E19='EUR',D19,D19*0.95))</f>
        <v/>
      </c>
    </row>
    <row r="20">
      <c r="A20" s="15" t="n"/>
      <c r="B20" s="16" t="n"/>
      <c r="C20" s="16" t="n"/>
      <c r="D20" s="17" t="n"/>
      <c r="E20" s="16" t="n"/>
      <c r="F20" s="18">
        <f>IF(A20="","",IF(E20='EUR',D20,D20*0.95))</f>
        <v/>
      </c>
    </row>
    <row r="21">
      <c r="A21" s="15" t="n"/>
      <c r="B21" s="16" t="n"/>
      <c r="C21" s="16" t="n"/>
      <c r="D21" s="17" t="n"/>
      <c r="E21" s="16" t="n"/>
      <c r="F21" s="18">
        <f>IF(A21="","",IF(E21='EUR',D21,D21*0.95))</f>
        <v/>
      </c>
    </row>
    <row r="22">
      <c r="A22" s="15" t="n"/>
      <c r="B22" s="16" t="n"/>
      <c r="C22" s="16" t="n"/>
      <c r="D22" s="17" t="n"/>
      <c r="E22" s="16" t="n"/>
      <c r="F22" s="18">
        <f>IF(A22="","",IF(E22='EUR',D22,D22*0.95))</f>
        <v/>
      </c>
    </row>
    <row r="23">
      <c r="A23" s="15" t="n"/>
      <c r="B23" s="16" t="n"/>
      <c r="C23" s="16" t="n"/>
      <c r="D23" s="17" t="n"/>
      <c r="E23" s="16" t="n"/>
      <c r="F23" s="18">
        <f>IF(A23="","",IF(E23='EUR',D23,D23*0.95))</f>
        <v/>
      </c>
    </row>
    <row r="24">
      <c r="A24" s="15" t="n"/>
      <c r="B24" s="16" t="n"/>
      <c r="C24" s="16" t="n"/>
      <c r="D24" s="17" t="n"/>
      <c r="E24" s="16" t="n"/>
      <c r="F24" s="18">
        <f>IF(A24="","",IF(E24='EUR',D24,D24*0.95))</f>
        <v/>
      </c>
    </row>
    <row r="25">
      <c r="A25" s="15" t="n"/>
      <c r="B25" s="16" t="n"/>
      <c r="C25" s="16" t="n"/>
      <c r="D25" s="17" t="n"/>
      <c r="E25" s="16" t="n"/>
      <c r="F25" s="18">
        <f>IF(A25="","",IF(E25='EUR',D25,D25*0.95))</f>
        <v/>
      </c>
    </row>
    <row r="26">
      <c r="A26" s="15" t="n"/>
      <c r="B26" s="16" t="n"/>
      <c r="C26" s="16" t="n"/>
      <c r="D26" s="17" t="n"/>
      <c r="E26" s="16" t="n"/>
      <c r="F26" s="18">
        <f>IF(A26="","",IF(E26='EUR',D26,D26*0.95))</f>
        <v/>
      </c>
    </row>
    <row r="27">
      <c r="A27" s="15" t="n"/>
      <c r="B27" s="16" t="n"/>
      <c r="C27" s="16" t="n"/>
      <c r="D27" s="17" t="n"/>
      <c r="E27" s="16" t="n"/>
      <c r="F27" s="18">
        <f>IF(A27="","",IF(E27='EUR',D27,D27*0.95))</f>
        <v/>
      </c>
    </row>
    <row r="28">
      <c r="A28" s="15" t="n"/>
      <c r="B28" s="16" t="n"/>
      <c r="C28" s="16" t="n"/>
      <c r="D28" s="17" t="n"/>
      <c r="E28" s="16" t="n"/>
      <c r="F28" s="18">
        <f>IF(A28="","",IF(E28='EUR',D28,D28*0.95))</f>
        <v/>
      </c>
    </row>
    <row r="29">
      <c r="A29" s="15" t="n"/>
      <c r="B29" s="16" t="n"/>
      <c r="C29" s="16" t="n"/>
      <c r="D29" s="17" t="n"/>
      <c r="E29" s="16" t="n"/>
      <c r="F29" s="18">
        <f>IF(A29="","",IF(E29='EUR',D29,D29*0.95))</f>
        <v/>
      </c>
    </row>
    <row r="30">
      <c r="A30" s="15" t="n"/>
      <c r="B30" s="16" t="n"/>
      <c r="C30" s="16" t="n"/>
      <c r="D30" s="17" t="n"/>
      <c r="E30" s="16" t="n"/>
      <c r="F30" s="18">
        <f>IF(A30="","",IF(E30='EUR',D30,D30*0.95))</f>
        <v/>
      </c>
    </row>
    <row r="31">
      <c r="A31" s="15" t="n"/>
      <c r="B31" s="16" t="n"/>
      <c r="C31" s="16" t="n"/>
      <c r="D31" s="17" t="n"/>
      <c r="E31" s="16" t="n"/>
      <c r="F31" s="18">
        <f>IF(A31="","",IF(E31='EUR',D31,D31*0.95))</f>
        <v/>
      </c>
    </row>
    <row r="32">
      <c r="A32" s="15" t="n"/>
      <c r="B32" s="16" t="n"/>
      <c r="C32" s="16" t="n"/>
      <c r="D32" s="17" t="n"/>
      <c r="E32" s="16" t="n"/>
      <c r="F32" s="18">
        <f>IF(A32="","",IF(E32='EUR',D32,D32*0.95))</f>
        <v/>
      </c>
    </row>
    <row r="33">
      <c r="A33" s="15" t="n"/>
      <c r="B33" s="16" t="n"/>
      <c r="C33" s="16" t="n"/>
      <c r="D33" s="17" t="n"/>
      <c r="E33" s="16" t="n"/>
      <c r="F33" s="18">
        <f>IF(A33="","",IF(E33='EUR',D33,D33*0.95))</f>
        <v/>
      </c>
    </row>
    <row r="34">
      <c r="A34" s="15" t="n"/>
      <c r="B34" s="16" t="n"/>
      <c r="C34" s="16" t="n"/>
      <c r="D34" s="17" t="n"/>
      <c r="E34" s="16" t="n"/>
      <c r="F34" s="18">
        <f>IF(A34="","",IF(E34='EUR',D34,D34*0.95))</f>
        <v/>
      </c>
    </row>
    <row r="35">
      <c r="A35" s="15" t="n"/>
      <c r="B35" s="16" t="n"/>
      <c r="C35" s="16" t="n"/>
      <c r="D35" s="17" t="n"/>
      <c r="E35" s="16" t="n"/>
      <c r="F35" s="18">
        <f>IF(A35="","",IF(E35='EUR',D35,D35*0.95))</f>
        <v/>
      </c>
    </row>
    <row r="36">
      <c r="A36" s="15" t="n"/>
      <c r="B36" s="16" t="n"/>
      <c r="C36" s="16" t="n"/>
      <c r="D36" s="17" t="n"/>
      <c r="E36" s="16" t="n"/>
      <c r="F36" s="18">
        <f>IF(A36="","",IF(E36='EUR',D36,D36*0.95))</f>
        <v/>
      </c>
    </row>
    <row r="37">
      <c r="A37" s="15" t="n"/>
      <c r="B37" s="16" t="n"/>
      <c r="C37" s="16" t="n"/>
      <c r="D37" s="17" t="n"/>
      <c r="E37" s="16" t="n"/>
      <c r="F37" s="18">
        <f>IF(A37="","",IF(E37='EUR',D37,D37*0.95))</f>
        <v/>
      </c>
    </row>
    <row r="38">
      <c r="A38" s="15" t="n"/>
      <c r="B38" s="16" t="n"/>
      <c r="C38" s="16" t="n"/>
      <c r="D38" s="17" t="n"/>
      <c r="E38" s="16" t="n"/>
      <c r="F38" s="18">
        <f>IF(A38="","",IF(E38='EUR',D38,D38*0.95))</f>
        <v/>
      </c>
    </row>
    <row r="39">
      <c r="A39" s="15" t="n"/>
      <c r="B39" s="16" t="n"/>
      <c r="C39" s="16" t="n"/>
      <c r="D39" s="17" t="n"/>
      <c r="E39" s="16" t="n"/>
      <c r="F39" s="18">
        <f>IF(A39="","",IF(E39='EUR',D39,D39*0.95))</f>
        <v/>
      </c>
    </row>
    <row r="40">
      <c r="A40" s="15" t="n"/>
      <c r="B40" s="16" t="n"/>
      <c r="C40" s="16" t="n"/>
      <c r="D40" s="17" t="n"/>
      <c r="E40" s="16" t="n"/>
      <c r="F40" s="18">
        <f>IF(A40="","",IF(E40='EUR',D40,D40*0.95))</f>
        <v/>
      </c>
    </row>
    <row r="41">
      <c r="A41" s="15" t="n"/>
      <c r="B41" s="16" t="n"/>
      <c r="C41" s="16" t="n"/>
      <c r="D41" s="17" t="n"/>
      <c r="E41" s="16" t="n"/>
      <c r="F41" s="18">
        <f>IF(A41="","",IF(E41='EUR',D41,D41*0.95))</f>
        <v/>
      </c>
    </row>
    <row r="42">
      <c r="A42" s="15" t="n"/>
      <c r="B42" s="16" t="n"/>
      <c r="C42" s="16" t="n"/>
      <c r="D42" s="17" t="n"/>
      <c r="E42" s="16" t="n"/>
      <c r="F42" s="18">
        <f>IF(A42="","",IF(E42='EUR',D42,D42*0.95))</f>
        <v/>
      </c>
    </row>
    <row r="43">
      <c r="A43" s="15" t="n"/>
      <c r="B43" s="16" t="n"/>
      <c r="C43" s="16" t="n"/>
      <c r="D43" s="17" t="n"/>
      <c r="E43" s="16" t="n"/>
      <c r="F43" s="18">
        <f>IF(A43="","",IF(E43='EUR',D43,D43*0.95))</f>
        <v/>
      </c>
    </row>
    <row r="44">
      <c r="A44" s="15" t="n"/>
      <c r="B44" s="16" t="n"/>
      <c r="C44" s="16" t="n"/>
      <c r="D44" s="17" t="n"/>
      <c r="E44" s="16" t="n"/>
      <c r="F44" s="18">
        <f>IF(A44="","",IF(E44='EUR',D44,D44*0.95))</f>
        <v/>
      </c>
    </row>
    <row r="45">
      <c r="A45" s="15" t="n"/>
      <c r="B45" s="16" t="n"/>
      <c r="C45" s="16" t="n"/>
      <c r="D45" s="17" t="n"/>
      <c r="E45" s="16" t="n"/>
      <c r="F45" s="18">
        <f>IF(A45="","",IF(E45='EUR',D45,D45*0.95))</f>
        <v/>
      </c>
    </row>
    <row r="46">
      <c r="A46" s="15" t="n"/>
      <c r="B46" s="16" t="n"/>
      <c r="C46" s="16" t="n"/>
      <c r="D46" s="17" t="n"/>
      <c r="E46" s="16" t="n"/>
      <c r="F46" s="18">
        <f>IF(A46="","",IF(E46='EUR',D46,D46*0.95))</f>
        <v/>
      </c>
    </row>
    <row r="47">
      <c r="A47" s="15" t="n"/>
      <c r="B47" s="16" t="n"/>
      <c r="C47" s="16" t="n"/>
      <c r="D47" s="17" t="n"/>
      <c r="E47" s="16" t="n"/>
      <c r="F47" s="18">
        <f>IF(A47="","",IF(E47='EUR',D47,D47*0.95))</f>
        <v/>
      </c>
    </row>
    <row r="48">
      <c r="A48" s="15" t="n"/>
      <c r="B48" s="16" t="n"/>
      <c r="C48" s="16" t="n"/>
      <c r="D48" s="17" t="n"/>
      <c r="E48" s="16" t="n"/>
      <c r="F48" s="18">
        <f>IF(A48="","",IF(E48='EUR',D48,D48*0.95))</f>
        <v/>
      </c>
    </row>
    <row r="49">
      <c r="A49" s="15" t="n"/>
      <c r="B49" s="16" t="n"/>
      <c r="C49" s="16" t="n"/>
      <c r="D49" s="17" t="n"/>
      <c r="E49" s="16" t="n"/>
      <c r="F49" s="18">
        <f>IF(A49="","",IF(E49='EUR',D49,D49*0.95))</f>
        <v/>
      </c>
    </row>
    <row r="50">
      <c r="A50" s="15" t="n"/>
      <c r="B50" s="16" t="n"/>
      <c r="C50" s="16" t="n"/>
      <c r="D50" s="17" t="n"/>
      <c r="E50" s="16" t="n"/>
      <c r="F50" s="18">
        <f>IF(A50="","",IF(E50='EUR',D50,D50*0.95))</f>
        <v/>
      </c>
    </row>
    <row r="51">
      <c r="A51" s="15" t="n"/>
      <c r="B51" s="16" t="n"/>
      <c r="C51" s="16" t="n"/>
      <c r="D51" s="17" t="n"/>
      <c r="E51" s="16" t="n"/>
      <c r="F51" s="18">
        <f>IF(A51="","",IF(E51='EUR',D51,D51*0.95))</f>
        <v/>
      </c>
    </row>
    <row r="52">
      <c r="A52" s="15" t="n"/>
      <c r="B52" s="16" t="n"/>
      <c r="C52" s="16" t="n"/>
      <c r="D52" s="17" t="n"/>
      <c r="E52" s="16" t="n"/>
      <c r="F52" s="18">
        <f>IF(A52="","",IF(E52='EUR',D52,D52*0.95))</f>
        <v/>
      </c>
    </row>
    <row r="53">
      <c r="A53" s="15" t="n"/>
      <c r="B53" s="16" t="n"/>
      <c r="C53" s="16" t="n"/>
      <c r="D53" s="17" t="n"/>
      <c r="E53" s="16" t="n"/>
      <c r="F53" s="18">
        <f>IF(A53="","",IF(E53='EUR',D53,D53*0.95))</f>
        <v/>
      </c>
    </row>
    <row r="54">
      <c r="A54" s="15" t="n"/>
      <c r="B54" s="16" t="n"/>
      <c r="C54" s="16" t="n"/>
      <c r="D54" s="17" t="n"/>
      <c r="E54" s="16" t="n"/>
      <c r="F54" s="18">
        <f>IF(A54="","",IF(E54='EUR',D54,D54*0.95))</f>
        <v/>
      </c>
    </row>
    <row r="55">
      <c r="A55" s="15" t="n"/>
      <c r="B55" s="16" t="n"/>
      <c r="C55" s="16" t="n"/>
      <c r="D55" s="17" t="n"/>
      <c r="E55" s="16" t="n"/>
      <c r="F55" s="18">
        <f>IF(A55="","",IF(E55='EUR',D55,D55*0.95))</f>
        <v/>
      </c>
    </row>
    <row r="56">
      <c r="A56" s="15" t="n"/>
      <c r="B56" s="16" t="n"/>
      <c r="C56" s="16" t="n"/>
      <c r="D56" s="17" t="n"/>
      <c r="E56" s="16" t="n"/>
      <c r="F56" s="18">
        <f>IF(A56="","",IF(E56='EUR',D56,D56*0.95))</f>
        <v/>
      </c>
    </row>
    <row r="57">
      <c r="A57" s="15" t="n"/>
      <c r="B57" s="16" t="n"/>
      <c r="C57" s="16" t="n"/>
      <c r="D57" s="17" t="n"/>
      <c r="E57" s="16" t="n"/>
      <c r="F57" s="18">
        <f>IF(A57="","",IF(E57='EUR',D57,D57*0.95))</f>
        <v/>
      </c>
    </row>
    <row r="58">
      <c r="A58" s="15" t="n"/>
      <c r="B58" s="16" t="n"/>
      <c r="C58" s="16" t="n"/>
      <c r="D58" s="17" t="n"/>
      <c r="E58" s="16" t="n"/>
      <c r="F58" s="18">
        <f>IF(A58="","",IF(E58='EUR',D58,D58*0.95))</f>
        <v/>
      </c>
    </row>
    <row r="59">
      <c r="A59" s="15" t="n"/>
      <c r="B59" s="16" t="n"/>
      <c r="C59" s="16" t="n"/>
      <c r="D59" s="17" t="n"/>
      <c r="E59" s="16" t="n"/>
      <c r="F59" s="18">
        <f>IF(A59="","",IF(E59='EUR',D59,D59*0.95))</f>
        <v/>
      </c>
    </row>
    <row r="60">
      <c r="A60" s="15" t="n"/>
      <c r="B60" s="16" t="n"/>
      <c r="C60" s="16" t="n"/>
      <c r="D60" s="17" t="n"/>
      <c r="E60" s="16" t="n"/>
      <c r="F60" s="18">
        <f>IF(A60="","",IF(E60='EUR',D60,D60*0.95))</f>
        <v/>
      </c>
    </row>
    <row r="61">
      <c r="A61" s="15" t="n"/>
      <c r="B61" s="16" t="n"/>
      <c r="C61" s="16" t="n"/>
      <c r="D61" s="17" t="n"/>
      <c r="E61" s="16" t="n"/>
      <c r="F61" s="18">
        <f>IF(A61="","",IF(E61='EUR',D61,D61*0.95))</f>
        <v/>
      </c>
    </row>
    <row r="62">
      <c r="A62" s="15" t="n"/>
      <c r="B62" s="16" t="n"/>
      <c r="C62" s="16" t="n"/>
      <c r="D62" s="17" t="n"/>
      <c r="E62" s="16" t="n"/>
      <c r="F62" s="18">
        <f>IF(A62="","",IF(E62='EUR',D62,D62*0.95))</f>
        <v/>
      </c>
    </row>
    <row r="63">
      <c r="A63" s="15" t="n"/>
      <c r="B63" s="16" t="n"/>
      <c r="C63" s="16" t="n"/>
      <c r="D63" s="17" t="n"/>
      <c r="E63" s="16" t="n"/>
      <c r="F63" s="18">
        <f>IF(A63="","",IF(E63='EUR',D63,D63*0.95))</f>
        <v/>
      </c>
    </row>
    <row r="64">
      <c r="A64" s="15" t="n"/>
      <c r="B64" s="16" t="n"/>
      <c r="C64" s="16" t="n"/>
      <c r="D64" s="17" t="n"/>
      <c r="E64" s="16" t="n"/>
      <c r="F64" s="18">
        <f>IF(A64="","",IF(E64='EUR',D64,D64*0.95))</f>
        <v/>
      </c>
    </row>
    <row r="65">
      <c r="A65" s="15" t="n"/>
      <c r="B65" s="16" t="n"/>
      <c r="C65" s="16" t="n"/>
      <c r="D65" s="17" t="n"/>
      <c r="E65" s="16" t="n"/>
      <c r="F65" s="18">
        <f>IF(A65="","",IF(E65='EUR',D65,D65*0.95))</f>
        <v/>
      </c>
    </row>
  </sheetData>
  <conditionalFormatting sqref="D2:D65">
    <cfRule type="cellIs" priority="1" operator="lessThan" dxfId="0">
      <formula>0</formula>
    </cfRule>
  </conditionalFormatting>
  <conditionalFormatting sqref="F2:F65">
    <cfRule type="cellIs" priority="2" operator="lessThan" dxfId="0">
      <formula>0</formula>
    </cfRule>
  </conditionalFormatting>
  <dataValidations count="2">
    <dataValidation sqref="B2:B65" showDropDown="0" showInputMessage="0" showErrorMessage="0" allowBlank="1" type="list">
      <formula1>"Accommodation,Transport,Food,Activities,Souvenirs,Other"</formula1>
    </dataValidation>
    <dataValidation sqref="E2:E65" showDropDown="0" showInputMessage="0" showErrorMessage="0" allowBlank="1" type="list">
      <formula1>"EUR,USD,GBP,CHF"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9" customWidth="1" min="4" max="4"/>
    <col width="19" customWidth="1" min="5" max="5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Notes</t>
        </is>
      </c>
    </row>
    <row r="2">
      <c r="A2" s="15" t="n">
        <v>46218</v>
      </c>
      <c r="B2" s="16" t="inlineStr">
        <is>
          <t>10:00</t>
        </is>
      </c>
      <c r="C2" s="16" t="inlineStr">
        <is>
          <t>Check-in Hotel</t>
        </is>
      </c>
      <c r="D2" s="16" t="inlineStr">
        <is>
          <t>Hotel Schwarzsee</t>
        </is>
      </c>
      <c r="E2" s="16" t="inlineStr">
        <is>
          <t>Family-friendly</t>
        </is>
      </c>
    </row>
    <row r="3">
      <c r="A3" s="15" t="n">
        <v>46218</v>
      </c>
      <c r="B3" s="16" t="inlineStr">
        <is>
          <t>14:00</t>
        </is>
      </c>
      <c r="C3" s="16" t="inlineStr">
        <is>
          <t>Hike</t>
        </is>
      </c>
      <c r="D3" s="16" t="inlineStr">
        <is>
          <t>Titisee Lake</t>
        </is>
      </c>
      <c r="E3" s="16" t="inlineStr">
        <is>
          <t>Bring snacks</t>
        </is>
      </c>
    </row>
    <row r="4">
      <c r="A4" s="15" t="n">
        <v>46219</v>
      </c>
      <c r="B4" s="16" t="inlineStr">
        <is>
          <t>09:00</t>
        </is>
      </c>
      <c r="C4" s="16" t="inlineStr">
        <is>
          <t>Visit Triberg Waterfalls</t>
        </is>
      </c>
      <c r="D4" s="16" t="inlineStr">
        <is>
          <t>Triberg</t>
        </is>
      </c>
      <c r="E4" s="16" t="inlineStr">
        <is>
          <t>Wear comfy shoes</t>
        </is>
      </c>
    </row>
    <row r="5">
      <c r="A5" s="15" t="n">
        <v>46220</v>
      </c>
      <c r="B5" s="16" t="inlineStr">
        <is>
          <t>10:00</t>
        </is>
      </c>
      <c r="C5" s="16" t="inlineStr">
        <is>
          <t>Explore Freiburg</t>
        </is>
      </c>
      <c r="D5" s="16" t="inlineStr">
        <is>
          <t>Freiburg</t>
        </is>
      </c>
      <c r="E5" s="16" t="inlineStr">
        <is>
          <t>City tour</t>
        </is>
      </c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 ht="32" customHeight="1">
      <c r="A1" s="14" t="inlineStr">
        <is>
          <t>KPI</t>
        </is>
      </c>
      <c r="B1" s="14" t="inlineStr">
        <is>
          <t>Value</t>
        </is>
      </c>
    </row>
    <row r="2">
      <c r="A2" s="16" t="inlineStr">
        <is>
          <t>Total Expenses</t>
        </is>
      </c>
      <c r="B2" s="19" t="inlineStr"/>
    </row>
    <row r="3">
      <c r="A3" s="16" t="inlineStr">
        <is>
          <t>Average Daily Spending</t>
        </is>
      </c>
      <c r="B3" s="19" t="inlineStr"/>
    </row>
    <row r="4">
      <c r="A4" s="16" t="inlineStr">
        <is>
          <t>Max Single Expense</t>
        </is>
      </c>
      <c r="B4" s="19" t="inlineStr"/>
    </row>
    <row r="5">
      <c r="A5" s="16" t="inlineStr">
        <is>
          <t>Days Until Trip</t>
        </is>
      </c>
      <c r="B5" s="19" t="inlineStr"/>
    </row>
    <row r="6">
      <c r="A6" s="16" t="n"/>
      <c r="B6" s="19" t="n"/>
    </row>
    <row r="7">
      <c r="A7" s="16" t="n"/>
      <c r="B7" s="19" t="n"/>
    </row>
    <row r="8">
      <c r="A8" s="16" t="n"/>
      <c r="B8" s="19" t="n"/>
    </row>
    <row r="9">
      <c r="A9" s="16" t="n"/>
      <c r="B9" s="19" t="n"/>
    </row>
    <row r="10">
      <c r="A10" s="16" t="n"/>
      <c r="B10" s="19" t="n"/>
    </row>
    <row r="11">
      <c r="A11" s="16" t="n"/>
      <c r="B11" s="19" t="n"/>
    </row>
    <row r="12">
      <c r="A12" s="16" t="n"/>
      <c r="B12" s="19" t="n"/>
    </row>
    <row r="13">
      <c r="A13" s="16" t="n"/>
      <c r="B13" s="19" t="n"/>
    </row>
    <row r="14">
      <c r="A14" s="16" t="n"/>
      <c r="B14" s="19" t="n"/>
    </row>
    <row r="15">
      <c r="A15" s="16" t="n"/>
      <c r="B15" s="19" t="n"/>
    </row>
    <row r="16">
      <c r="A16" s="16" t="n"/>
      <c r="B16" s="19" t="n"/>
    </row>
    <row r="17">
      <c r="A17" s="16" t="n"/>
      <c r="B17" s="19" t="n"/>
    </row>
    <row r="18">
      <c r="A18" s="16" t="n"/>
      <c r="B18" s="19" t="n"/>
    </row>
    <row r="19">
      <c r="A19" s="16" t="n"/>
      <c r="B19" s="19" t="n"/>
    </row>
    <row r="20">
      <c r="A20" s="16" t="n"/>
      <c r="B20" s="19" t="n"/>
    </row>
    <row r="21">
      <c r="A21" s="16" t="n"/>
      <c r="B21" s="19" t="n"/>
    </row>
    <row r="22">
      <c r="A22" s="16" t="n"/>
      <c r="B22" s="19" t="n"/>
    </row>
    <row r="23">
      <c r="A23" s="16" t="n"/>
      <c r="B23" s="19" t="n"/>
    </row>
    <row r="24">
      <c r="A24" s="16" t="n"/>
      <c r="B24" s="19" t="n"/>
    </row>
    <row r="25">
      <c r="A25" s="16" t="n"/>
      <c r="B25" s="19" t="n"/>
    </row>
    <row r="26">
      <c r="A26" s="16" t="n"/>
      <c r="B26" s="19" t="n"/>
    </row>
    <row r="27">
      <c r="A27" s="16" t="n"/>
      <c r="B27" s="19" t="n"/>
    </row>
    <row r="28">
      <c r="A28" s="16" t="n"/>
      <c r="B28" s="19" t="n"/>
    </row>
    <row r="29">
      <c r="A29" s="16" t="n"/>
      <c r="B29" s="19" t="n"/>
    </row>
    <row r="30">
      <c r="A30" s="16" t="n"/>
      <c r="B30" s="19" t="n"/>
    </row>
    <row r="31">
      <c r="A31" s="16" t="n"/>
      <c r="B31" s="19" t="n"/>
    </row>
    <row r="32">
      <c r="A32" s="16" t="n"/>
      <c r="B32" s="19" t="n"/>
    </row>
    <row r="33">
      <c r="A33" s="16" t="n"/>
      <c r="B33" s="19" t="n"/>
    </row>
    <row r="34">
      <c r="A34" s="16" t="n"/>
      <c r="B34" s="19" t="n"/>
    </row>
    <row r="35">
      <c r="A35" s="16" t="n"/>
      <c r="B35" s="19" t="n"/>
    </row>
  </sheetData>
  <conditionalFormatting sqref="B2:B3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Black Forest Family Travel Budget Planner &amp; Itinerary Tracker</dc:title>
  <dcterms:created xsi:type="dcterms:W3CDTF">2026-10-15T11:36:38Z</dcterms:created>
  <dcterms:modified xsi:type="dcterms:W3CDTF">2026-10-15T11:36:38Z</dcterms:modified>
</cp:coreProperties>
</file>