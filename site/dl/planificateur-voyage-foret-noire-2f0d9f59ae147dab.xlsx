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54" displayName="T_Budget_2454" ref="A1:E59" headerRowCount="1">
  <autoFilter ref="A1:E59"/>
  <tableColumns count="5">
    <tableColumn id="1" name="Date"/>
    <tableColumn id="2" name="Catégorie"/>
    <tableColumn id="3" name="Description"/>
    <tableColumn id="4" name="Montant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_raire_3126" displayName="T_Itin_raire_3126" ref="A1:E20" headerRowCount="1">
  <autoFilter ref="A1:E20"/>
  <tableColumns count="5">
    <tableColumn id="1" name="Date"/>
    <tableColumn id="2" name="Jour"/>
    <tableColumn id="3" name="Destination"/>
    <tableColumn id="4" name="Activités"/>
    <tableColumn id="5" name="Bud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&amp; Itinéraire pour le Voyage en Forêt-Noire</t>
        </is>
      </c>
    </row>
    <row r="3" ht="45" customHeight="1">
      <c r="C3" s="2" t="inlineStr">
        <is>
          <t>Organisez votre voyage en Forêt-Noire sans stress avec ce planificateur complet : budget, itinéraire et dépenses en un seul outil professionnel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dates de voyage et destinations principales</t>
        </is>
      </c>
    </row>
    <row r="7" ht="18" customHeight="1">
      <c r="B7" s="4" t="inlineStr">
        <is>
          <t>2.</t>
        </is>
      </c>
      <c r="C7" s="5" t="inlineStr">
        <is>
          <t>Planifiez votre budget total et répartissez par catégories</t>
        </is>
      </c>
    </row>
    <row r="8" ht="18" customHeight="1">
      <c r="B8" s="4" t="inlineStr">
        <is>
          <t>3.</t>
        </is>
      </c>
      <c r="C8" s="5" t="inlineStr">
        <is>
          <t>Saisissez vos réservations (hébergement, transport)</t>
        </is>
      </c>
    </row>
    <row r="9" ht="18" customHeight="1">
      <c r="B9" s="4" t="inlineStr">
        <is>
          <t>4.</t>
        </is>
      </c>
      <c r="C9" s="5" t="inlineStr">
        <is>
          <t>Ajoutez vos activités et visites prévues</t>
        </is>
      </c>
    </row>
    <row r="10" ht="18" customHeight="1">
      <c r="B10" s="4" t="inlineStr">
        <is>
          <t>5.</t>
        </is>
      </c>
      <c r="C10" s="5" t="inlineStr">
        <is>
          <t>Suivez vos dépenses quotidiennes en temps réel</t>
        </is>
      </c>
    </row>
    <row r="11" ht="18" customHeight="1">
      <c r="B11" s="4" t="inlineStr">
        <is>
          <t>6.</t>
        </is>
      </c>
      <c r="C11" s="5" t="inlineStr">
        <is>
          <t>Consultez les tableaux de bord pour ajuster votre budget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Itinéraire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&amp; Itinéraire pour le Voyage en Forêt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SUM('Budget'!D2:D100)</f>
        <v/>
      </c>
    </row>
    <row r="6" ht="24" customHeight="1">
      <c r="B6" s="11" t="inlineStr">
        <is>
          <t>Dépenses payées</t>
        </is>
      </c>
      <c r="C6" s="12">
        <f>SUM('Budget'!E2:E100)</f>
        <v/>
      </c>
    </row>
    <row r="7" ht="24" customHeight="1">
      <c r="B7" s="11" t="inlineStr">
        <is>
          <t>Reste à payer</t>
        </is>
      </c>
      <c r="C7" s="12">
        <f>KPI1-KPI2</f>
        <v/>
      </c>
    </row>
    <row r="8" ht="24" customHeight="1">
      <c r="B8" s="11" t="inlineStr">
        <is>
          <t>Nombre d'activités</t>
        </is>
      </c>
      <c r="C8" s="13">
        <f>COUNTA('Itinéraire'!D2:D50)</f>
        <v/>
      </c>
    </row>
    <row r="9" ht="24" customHeight="1">
      <c r="B9" s="11" t="inlineStr">
        <is>
          <t>Dépenses moyennes/jour</t>
        </is>
      </c>
      <c r="C9" s="12">
        <f>AVERAGE('Budget'!D2:D100)</f>
        <v/>
      </c>
    </row>
    <row r="10" ht="24" customHeight="1">
      <c r="B10" s="11" t="inlineStr">
        <is>
          <t>Nuitées</t>
        </is>
      </c>
      <c r="C10" s="13">
        <f>COUNTIF('Budget'!B2:B100,"Hébergement")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2" customWidth="1" min="4" max="4"/>
    <col width="25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Payé</t>
        </is>
      </c>
    </row>
    <row r="2">
      <c r="A2" s="15" t="n">
        <v>46188</v>
      </c>
      <c r="B2" s="16" t="inlineStr">
        <is>
          <t>Hébergement</t>
        </is>
      </c>
      <c r="C2" s="16" t="inlineStr">
        <is>
          <t>Hôtel Belle Vue 3 nuits</t>
        </is>
      </c>
      <c r="D2" s="17" t="n">
        <v>450</v>
      </c>
      <c r="E2" s="18">
        <f>D2*0.8</f>
        <v/>
      </c>
    </row>
    <row r="3">
      <c r="A3" s="15" t="n">
        <v>46188</v>
      </c>
      <c r="B3" s="16" t="inlineStr">
        <is>
          <t>Transport</t>
        </is>
      </c>
      <c r="C3" s="16" t="inlineStr">
        <is>
          <t>Location voiture</t>
        </is>
      </c>
      <c r="D3" s="17" t="n">
        <v>210</v>
      </c>
      <c r="E3" s="18">
        <f>D3*0.8</f>
        <v/>
      </c>
    </row>
    <row r="4">
      <c r="A4" s="15" t="n">
        <v>46189</v>
      </c>
      <c r="B4" s="16" t="inlineStr">
        <is>
          <t>Activités</t>
        </is>
      </c>
      <c r="C4" s="16" t="inlineStr">
        <is>
          <t>Billet Parc Naturel</t>
        </is>
      </c>
      <c r="D4" s="17" t="n">
        <v>24</v>
      </c>
      <c r="E4" s="18">
        <f>D4*0.8</f>
        <v/>
      </c>
    </row>
    <row r="5">
      <c r="A5" s="15" t="n">
        <v>46189</v>
      </c>
      <c r="B5" s="16" t="inlineStr">
        <is>
          <t>Nourriture</t>
        </is>
      </c>
      <c r="C5" s="16" t="inlineStr">
        <is>
          <t>Supermarché</t>
        </is>
      </c>
      <c r="D5" s="17" t="n">
        <v>85</v>
      </c>
      <c r="E5" s="18">
        <f>D5*0.8</f>
        <v/>
      </c>
    </row>
    <row r="6">
      <c r="A6" s="15" t="n">
        <v>46190</v>
      </c>
      <c r="B6" s="16" t="inlineStr">
        <is>
          <t>Activités</t>
        </is>
      </c>
      <c r="C6" s="16" t="inlineStr">
        <is>
          <t>Guide local 1 journée</t>
        </is>
      </c>
      <c r="D6" s="17" t="n">
        <v>90</v>
      </c>
      <c r="E6" s="18">
        <f>D6*0.8</f>
        <v/>
      </c>
    </row>
    <row r="7">
      <c r="A7" s="15" t="n">
        <v>46190</v>
      </c>
      <c r="B7" s="16" t="inlineStr">
        <is>
          <t>Transport</t>
        </is>
      </c>
      <c r="C7" s="16" t="inlineStr">
        <is>
          <t>Essence</t>
        </is>
      </c>
      <c r="D7" s="17" t="n">
        <v>65</v>
      </c>
      <c r="E7" s="18">
        <f>D7*0.8</f>
        <v/>
      </c>
    </row>
    <row r="8">
      <c r="A8" s="15" t="n">
        <v>46191</v>
      </c>
      <c r="B8" s="16" t="inlineStr">
        <is>
          <t>Souvenirs</t>
        </is>
      </c>
      <c r="C8" s="16" t="inlineStr">
        <is>
          <t>Artisanat local</t>
        </is>
      </c>
      <c r="D8" s="17" t="n">
        <v>45</v>
      </c>
      <c r="E8" s="18">
        <f>D8*0.8</f>
        <v/>
      </c>
    </row>
    <row r="9">
      <c r="A9" s="15" t="n">
        <v>46191</v>
      </c>
      <c r="B9" s="16" t="inlineStr">
        <is>
          <t>Imprévus</t>
        </is>
      </c>
      <c r="C9" s="16" t="inlineStr">
        <is>
          <t>Pharmacie</t>
        </is>
      </c>
      <c r="D9" s="17" t="n">
        <v>28</v>
      </c>
      <c r="E9" s="18">
        <f>D9*0.8</f>
        <v/>
      </c>
    </row>
    <row r="10">
      <c r="A10" s="15" t="n"/>
      <c r="B10" s="16" t="n"/>
      <c r="C10" s="16" t="n"/>
      <c r="D10" s="17" t="n"/>
      <c r="E10" s="18">
        <f>IF(A10="","",D10*0.8)</f>
        <v/>
      </c>
    </row>
    <row r="11">
      <c r="A11" s="15" t="n"/>
      <c r="B11" s="16" t="n"/>
      <c r="C11" s="16" t="n"/>
      <c r="D11" s="17" t="n"/>
      <c r="E11" s="18">
        <f>IF(A11="","",D11*0.8)</f>
        <v/>
      </c>
    </row>
    <row r="12">
      <c r="A12" s="15" t="n"/>
      <c r="B12" s="16" t="n"/>
      <c r="C12" s="16" t="n"/>
      <c r="D12" s="17" t="n"/>
      <c r="E12" s="18">
        <f>IF(A12="","",D12*0.8)</f>
        <v/>
      </c>
    </row>
    <row r="13">
      <c r="A13" s="15" t="n"/>
      <c r="B13" s="16" t="n"/>
      <c r="C13" s="16" t="n"/>
      <c r="D13" s="17" t="n"/>
      <c r="E13" s="18">
        <f>IF(A13="","",D13*0.8)</f>
        <v/>
      </c>
    </row>
    <row r="14">
      <c r="A14" s="15" t="n"/>
      <c r="B14" s="16" t="n"/>
      <c r="C14" s="16" t="n"/>
      <c r="D14" s="17" t="n"/>
      <c r="E14" s="18">
        <f>IF(A14="","",D14*0.8)</f>
        <v/>
      </c>
    </row>
    <row r="15">
      <c r="A15" s="15" t="n"/>
      <c r="B15" s="16" t="n"/>
      <c r="C15" s="16" t="n"/>
      <c r="D15" s="17" t="n"/>
      <c r="E15" s="18">
        <f>IF(A15="","",D15*0.8)</f>
        <v/>
      </c>
    </row>
    <row r="16">
      <c r="A16" s="15" t="n"/>
      <c r="B16" s="16" t="n"/>
      <c r="C16" s="16" t="n"/>
      <c r="D16" s="17" t="n"/>
      <c r="E16" s="18">
        <f>IF(A16="","",D16*0.8)</f>
        <v/>
      </c>
    </row>
    <row r="17">
      <c r="A17" s="15" t="n"/>
      <c r="B17" s="16" t="n"/>
      <c r="C17" s="16" t="n"/>
      <c r="D17" s="17" t="n"/>
      <c r="E17" s="18">
        <f>IF(A17="","",D17*0.8)</f>
        <v/>
      </c>
    </row>
    <row r="18">
      <c r="A18" s="15" t="n"/>
      <c r="B18" s="16" t="n"/>
      <c r="C18" s="16" t="n"/>
      <c r="D18" s="17" t="n"/>
      <c r="E18" s="18">
        <f>IF(A18="","",D18*0.8)</f>
        <v/>
      </c>
    </row>
    <row r="19">
      <c r="A19" s="15" t="n"/>
      <c r="B19" s="16" t="n"/>
      <c r="C19" s="16" t="n"/>
      <c r="D19" s="17" t="n"/>
      <c r="E19" s="18">
        <f>IF(A19="","",D19*0.8)</f>
        <v/>
      </c>
    </row>
    <row r="20">
      <c r="A20" s="15" t="n"/>
      <c r="B20" s="16" t="n"/>
      <c r="C20" s="16" t="n"/>
      <c r="D20" s="17" t="n"/>
      <c r="E20" s="18">
        <f>IF(A20="","",D20*0.8)</f>
        <v/>
      </c>
    </row>
    <row r="21">
      <c r="A21" s="15" t="n"/>
      <c r="B21" s="16" t="n"/>
      <c r="C21" s="16" t="n"/>
      <c r="D21" s="17" t="n"/>
      <c r="E21" s="18">
        <f>IF(A21="","",D21*0.8)</f>
        <v/>
      </c>
    </row>
    <row r="22">
      <c r="A22" s="15" t="n"/>
      <c r="B22" s="16" t="n"/>
      <c r="C22" s="16" t="n"/>
      <c r="D22" s="17" t="n"/>
      <c r="E22" s="18">
        <f>IF(A22="","",D22*0.8)</f>
        <v/>
      </c>
    </row>
    <row r="23">
      <c r="A23" s="15" t="n"/>
      <c r="B23" s="16" t="n"/>
      <c r="C23" s="16" t="n"/>
      <c r="D23" s="17" t="n"/>
      <c r="E23" s="18">
        <f>IF(A23="","",D23*0.8)</f>
        <v/>
      </c>
    </row>
    <row r="24">
      <c r="A24" s="15" t="n"/>
      <c r="B24" s="16" t="n"/>
      <c r="C24" s="16" t="n"/>
      <c r="D24" s="17" t="n"/>
      <c r="E24" s="18">
        <f>IF(A24="","",D24*0.8)</f>
        <v/>
      </c>
    </row>
    <row r="25">
      <c r="A25" s="15" t="n"/>
      <c r="B25" s="16" t="n"/>
      <c r="C25" s="16" t="n"/>
      <c r="D25" s="17" t="n"/>
      <c r="E25" s="18">
        <f>IF(A25="","",D25*0.8)</f>
        <v/>
      </c>
    </row>
    <row r="26">
      <c r="A26" s="15" t="n"/>
      <c r="B26" s="16" t="n"/>
      <c r="C26" s="16" t="n"/>
      <c r="D26" s="17" t="n"/>
      <c r="E26" s="18">
        <f>IF(A26="","",D26*0.8)</f>
        <v/>
      </c>
    </row>
    <row r="27">
      <c r="A27" s="15" t="n"/>
      <c r="B27" s="16" t="n"/>
      <c r="C27" s="16" t="n"/>
      <c r="D27" s="17" t="n"/>
      <c r="E27" s="18">
        <f>IF(A27="","",D27*0.8)</f>
        <v/>
      </c>
    </row>
    <row r="28">
      <c r="A28" s="15" t="n"/>
      <c r="B28" s="16" t="n"/>
      <c r="C28" s="16" t="n"/>
      <c r="D28" s="17" t="n"/>
      <c r="E28" s="18">
        <f>IF(A28="","",D28*0.8)</f>
        <v/>
      </c>
    </row>
    <row r="29">
      <c r="A29" s="15" t="n"/>
      <c r="B29" s="16" t="n"/>
      <c r="C29" s="16" t="n"/>
      <c r="D29" s="17" t="n"/>
      <c r="E29" s="18">
        <f>IF(A29="","",D29*0.8)</f>
        <v/>
      </c>
    </row>
    <row r="30">
      <c r="A30" s="15" t="n"/>
      <c r="B30" s="16" t="n"/>
      <c r="C30" s="16" t="n"/>
      <c r="D30" s="17" t="n"/>
      <c r="E30" s="18">
        <f>IF(A30="","",D30*0.8)</f>
        <v/>
      </c>
    </row>
    <row r="31">
      <c r="A31" s="15" t="n"/>
      <c r="B31" s="16" t="n"/>
      <c r="C31" s="16" t="n"/>
      <c r="D31" s="17" t="n"/>
      <c r="E31" s="18">
        <f>IF(A31="","",D31*0.8)</f>
        <v/>
      </c>
    </row>
    <row r="32">
      <c r="A32" s="15" t="n"/>
      <c r="B32" s="16" t="n"/>
      <c r="C32" s="16" t="n"/>
      <c r="D32" s="17" t="n"/>
      <c r="E32" s="18">
        <f>IF(A32="","",D32*0.8)</f>
        <v/>
      </c>
    </row>
    <row r="33">
      <c r="A33" s="15" t="n"/>
      <c r="B33" s="16" t="n"/>
      <c r="C33" s="16" t="n"/>
      <c r="D33" s="17" t="n"/>
      <c r="E33" s="18">
        <f>IF(A33="","",D33*0.8)</f>
        <v/>
      </c>
    </row>
    <row r="34">
      <c r="A34" s="15" t="n"/>
      <c r="B34" s="16" t="n"/>
      <c r="C34" s="16" t="n"/>
      <c r="D34" s="17" t="n"/>
      <c r="E34" s="18">
        <f>IF(A34="","",D34*0.8)</f>
        <v/>
      </c>
    </row>
    <row r="35">
      <c r="A35" s="15" t="n"/>
      <c r="B35" s="16" t="n"/>
      <c r="C35" s="16" t="n"/>
      <c r="D35" s="17" t="n"/>
      <c r="E35" s="18">
        <f>IF(A35="","",D35*0.8)</f>
        <v/>
      </c>
    </row>
    <row r="36">
      <c r="A36" s="15" t="n"/>
      <c r="B36" s="16" t="n"/>
      <c r="C36" s="16" t="n"/>
      <c r="D36" s="17" t="n"/>
      <c r="E36" s="18">
        <f>IF(A36="","",D36*0.8)</f>
        <v/>
      </c>
    </row>
    <row r="37">
      <c r="A37" s="15" t="n"/>
      <c r="B37" s="16" t="n"/>
      <c r="C37" s="16" t="n"/>
      <c r="D37" s="17" t="n"/>
      <c r="E37" s="18">
        <f>IF(A37="","",D37*0.8)</f>
        <v/>
      </c>
    </row>
    <row r="38">
      <c r="A38" s="15" t="n"/>
      <c r="B38" s="16" t="n"/>
      <c r="C38" s="16" t="n"/>
      <c r="D38" s="17" t="n"/>
      <c r="E38" s="18">
        <f>IF(A38="","",D38*0.8)</f>
        <v/>
      </c>
    </row>
    <row r="39">
      <c r="A39" s="15" t="n"/>
      <c r="B39" s="16" t="n"/>
      <c r="C39" s="16" t="n"/>
      <c r="D39" s="17" t="n"/>
      <c r="E39" s="18">
        <f>IF(A39="","",D39*0.8)</f>
        <v/>
      </c>
    </row>
    <row r="40">
      <c r="A40" s="15" t="n"/>
      <c r="B40" s="16" t="n"/>
      <c r="C40" s="16" t="n"/>
      <c r="D40" s="17" t="n"/>
      <c r="E40" s="18">
        <f>IF(A40="","",D40*0.8)</f>
        <v/>
      </c>
    </row>
    <row r="41">
      <c r="A41" s="15" t="n"/>
      <c r="B41" s="16" t="n"/>
      <c r="C41" s="16" t="n"/>
      <c r="D41" s="17" t="n"/>
      <c r="E41" s="18">
        <f>IF(A41="","",D41*0.8)</f>
        <v/>
      </c>
    </row>
    <row r="42">
      <c r="A42" s="15" t="n"/>
      <c r="B42" s="16" t="n"/>
      <c r="C42" s="16" t="n"/>
      <c r="D42" s="17" t="n"/>
      <c r="E42" s="18">
        <f>IF(A42="","",D42*0.8)</f>
        <v/>
      </c>
    </row>
    <row r="43">
      <c r="A43" s="15" t="n"/>
      <c r="B43" s="16" t="n"/>
      <c r="C43" s="16" t="n"/>
      <c r="D43" s="17" t="n"/>
      <c r="E43" s="18">
        <f>IF(A43="","",D43*0.8)</f>
        <v/>
      </c>
    </row>
    <row r="44">
      <c r="A44" s="15" t="n"/>
      <c r="B44" s="16" t="n"/>
      <c r="C44" s="16" t="n"/>
      <c r="D44" s="17" t="n"/>
      <c r="E44" s="18">
        <f>IF(A44="","",D44*0.8)</f>
        <v/>
      </c>
    </row>
    <row r="45">
      <c r="A45" s="15" t="n"/>
      <c r="B45" s="16" t="n"/>
      <c r="C45" s="16" t="n"/>
      <c r="D45" s="17" t="n"/>
      <c r="E45" s="18">
        <f>IF(A45="","",D45*0.8)</f>
        <v/>
      </c>
    </row>
    <row r="46">
      <c r="A46" s="15" t="n"/>
      <c r="B46" s="16" t="n"/>
      <c r="C46" s="16" t="n"/>
      <c r="D46" s="17" t="n"/>
      <c r="E46" s="18">
        <f>IF(A46="","",D46*0.8)</f>
        <v/>
      </c>
    </row>
    <row r="47">
      <c r="A47" s="15" t="n"/>
      <c r="B47" s="16" t="n"/>
      <c r="C47" s="16" t="n"/>
      <c r="D47" s="17" t="n"/>
      <c r="E47" s="18">
        <f>IF(A47="","",D47*0.8)</f>
        <v/>
      </c>
    </row>
    <row r="48">
      <c r="A48" s="15" t="n"/>
      <c r="B48" s="16" t="n"/>
      <c r="C48" s="16" t="n"/>
      <c r="D48" s="17" t="n"/>
      <c r="E48" s="18">
        <f>IF(A48="","",D48*0.8)</f>
        <v/>
      </c>
    </row>
    <row r="49">
      <c r="A49" s="15" t="n"/>
      <c r="B49" s="16" t="n"/>
      <c r="C49" s="16" t="n"/>
      <c r="D49" s="17" t="n"/>
      <c r="E49" s="18">
        <f>IF(A49="","",D49*0.8)</f>
        <v/>
      </c>
    </row>
    <row r="50">
      <c r="A50" s="15" t="n"/>
      <c r="B50" s="16" t="n"/>
      <c r="C50" s="16" t="n"/>
      <c r="D50" s="17" t="n"/>
      <c r="E50" s="18">
        <f>IF(A50="","",D50*0.8)</f>
        <v/>
      </c>
    </row>
    <row r="51">
      <c r="A51" s="15" t="n"/>
      <c r="B51" s="16" t="n"/>
      <c r="C51" s="16" t="n"/>
      <c r="D51" s="17" t="n"/>
      <c r="E51" s="18">
        <f>IF(A51="","",D51*0.8)</f>
        <v/>
      </c>
    </row>
    <row r="52">
      <c r="A52" s="15" t="n"/>
      <c r="B52" s="16" t="n"/>
      <c r="C52" s="16" t="n"/>
      <c r="D52" s="17" t="n"/>
      <c r="E52" s="18">
        <f>IF(A52="","",D52*0.8)</f>
        <v/>
      </c>
    </row>
    <row r="53">
      <c r="A53" s="15" t="n"/>
      <c r="B53" s="16" t="n"/>
      <c r="C53" s="16" t="n"/>
      <c r="D53" s="17" t="n"/>
      <c r="E53" s="18">
        <f>IF(A53="","",D53*0.8)</f>
        <v/>
      </c>
    </row>
    <row r="54">
      <c r="A54" s="15" t="n"/>
      <c r="B54" s="16" t="n"/>
      <c r="C54" s="16" t="n"/>
      <c r="D54" s="17" t="n"/>
      <c r="E54" s="18">
        <f>IF(A54="","",D54*0.8)</f>
        <v/>
      </c>
    </row>
    <row r="55">
      <c r="A55" s="15" t="n"/>
      <c r="B55" s="16" t="n"/>
      <c r="C55" s="16" t="n"/>
      <c r="D55" s="17" t="n"/>
      <c r="E55" s="18">
        <f>IF(A55="","",D55*0.8)</f>
        <v/>
      </c>
    </row>
    <row r="56">
      <c r="A56" s="15" t="n"/>
      <c r="B56" s="16" t="n"/>
      <c r="C56" s="16" t="n"/>
      <c r="D56" s="17" t="n"/>
      <c r="E56" s="18">
        <f>IF(A56="","",D56*0.8)</f>
        <v/>
      </c>
    </row>
    <row r="57">
      <c r="A57" s="15" t="n"/>
      <c r="B57" s="16" t="n"/>
      <c r="C57" s="16" t="n"/>
      <c r="D57" s="17" t="n"/>
      <c r="E57" s="18">
        <f>IF(A57="","",D57*0.8)</f>
        <v/>
      </c>
    </row>
    <row r="58">
      <c r="A58" s="15" t="n"/>
      <c r="B58" s="16" t="n"/>
      <c r="C58" s="16" t="n"/>
      <c r="D58" s="17" t="n"/>
      <c r="E58" s="18">
        <f>IF(A58="","",D58*0.8)</f>
        <v/>
      </c>
    </row>
    <row r="59">
      <c r="A59" s="15" t="n"/>
      <c r="B59" s="16" t="n"/>
      <c r="C59" s="16" t="n"/>
      <c r="D59" s="17" t="n"/>
      <c r="E59" s="18">
        <f>IF(A59="","",D59*0.8)</f>
        <v/>
      </c>
    </row>
  </sheetData>
  <conditionalFormatting sqref="D2:D59">
    <cfRule type="cellIs" priority="1" operator="lessThan" dxfId="0">
      <formula>0</formula>
    </cfRule>
  </conditionalFormatting>
  <conditionalFormatting sqref="E2:E59">
    <cfRule type="cellIs" priority="2" operator="lessThan" dxfId="0">
      <formula>0</formula>
    </cfRule>
  </conditionalFormatting>
  <dataValidations count="1">
    <dataValidation sqref="B2:B59" showDropDown="0" showInputMessage="0" showErrorMessage="0" allowBlank="1" type="list">
      <formula1>"Hébergement,Transport,Activités,Nourriture,Souvenirs,Imprévus"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36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Jour</t>
        </is>
      </c>
      <c r="C1" s="14" t="inlineStr">
        <is>
          <t>Destination</t>
        </is>
      </c>
      <c r="D1" s="14" t="inlineStr">
        <is>
          <t>Activités</t>
        </is>
      </c>
      <c r="E1" s="14" t="inlineStr">
        <is>
          <t>Budget</t>
        </is>
      </c>
    </row>
    <row r="2">
      <c r="A2" s="15" t="n">
        <v>46188</v>
      </c>
      <c r="B2" s="16" t="inlineStr">
        <is>
          <t>Jour 1</t>
        </is>
      </c>
      <c r="C2" s="16" t="inlineStr">
        <is>
          <t>Titisee-Neustadt</t>
        </is>
      </c>
      <c r="D2" s="16" t="inlineStr">
        <is>
          <t>Arrivée, installation, visite lac</t>
        </is>
      </c>
      <c r="E2" s="17" t="n">
        <v>120</v>
      </c>
    </row>
    <row r="3">
      <c r="A3" s="15" t="n">
        <v>46189</v>
      </c>
      <c r="B3" s="16" t="inlineStr">
        <is>
          <t>Jour 2</t>
        </is>
      </c>
      <c r="C3" s="16" t="inlineStr">
        <is>
          <t>Feldberg</t>
        </is>
      </c>
      <c r="D3" s="16" t="inlineStr">
        <is>
          <t>Randonnée, musée</t>
        </is>
      </c>
      <c r="E3" s="17" t="n">
        <v>95</v>
      </c>
    </row>
    <row r="4">
      <c r="A4" s="15" t="n">
        <v>46190</v>
      </c>
      <c r="B4" s="16" t="inlineStr">
        <is>
          <t>Jour 3</t>
        </is>
      </c>
      <c r="C4" s="16" t="inlineStr">
        <is>
          <t>Triberg</t>
        </is>
      </c>
      <c r="D4" s="16" t="inlineStr">
        <is>
          <t>Cascade, horloge coucou</t>
        </is>
      </c>
      <c r="E4" s="17" t="n">
        <v>110</v>
      </c>
    </row>
    <row r="5">
      <c r="A5" s="15" t="n">
        <v>46191</v>
      </c>
      <c r="B5" s="16" t="inlineStr">
        <is>
          <t>Jour 4</t>
        </is>
      </c>
      <c r="C5" s="16" t="inlineStr">
        <is>
          <t>Fribourg</t>
        </is>
      </c>
      <c r="D5" s="16" t="inlineStr">
        <is>
          <t>Visite vieille ville</t>
        </is>
      </c>
      <c r="E5" s="17" t="n">
        <v>80</v>
      </c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</sheetData>
  <conditionalFormatting sqref="E2:E20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&amp; Itinéraire pour le Voyage en Forêt-Noire</dc:title>
  <dcterms:created xsi:type="dcterms:W3CDTF">2026-10-25T11:39:59Z</dcterms:created>
  <dcterms:modified xsi:type="dcterms:W3CDTF">2026-10-25T11:39:59Z</dcterms:modified>
</cp:coreProperties>
</file>