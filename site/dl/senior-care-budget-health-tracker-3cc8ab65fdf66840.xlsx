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追踪" sheetId="3" state="visible" r:id="rId3"/>
    <sheet name="健康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Kostenverteilung nach Kategorie</a:t>
            </a:r>
          </a:p>
        </rich>
      </tx>
    </title>
    <plotArea>
      <pieChart>
        <varyColors val="1"/>
        <ser>
          <idx val="0"/>
          <order val="0"/>
          <tx>
            <strRef>
              <f>'预算追踪'!F1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'预算追踪'!$B$2:$B$3</f>
            </numRef>
          </cat>
          <val>
            <numRef>
              <f>'预算追踪'!$F$2:$F$3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302" displayName="T______2302" ref="A1:F63" headerRowCount="1">
  <autoFilter ref="A1:F63"/>
  <tableColumns count="6">
    <tableColumn id="1" name="Datum"/>
    <tableColumn id="2" name="Kategorie"/>
    <tableColumn id="3" name="Beschreibung"/>
    <tableColumn id="4" name="Menge"/>
    <tableColumn id="5" name="Preis"/>
    <tableColumn id="6" name="Summe"/>
  </tableColumns>
  <tableStyleInfo name="TableStyleMedium7" showRowStripes="1"/>
</table>
</file>

<file path=xl/tables/table2.xml><?xml version="1.0" encoding="utf-8"?>
<table xmlns="http://schemas.openxmlformats.org/spreadsheetml/2006/main" id="2" name="T______3531" displayName="T______3531" ref="A1:D33" headerRowCount="1">
  <autoFilter ref="A1:D33"/>
  <tableColumns count="4">
    <tableColumn id="1" name="Datum"/>
    <tableColumn id="2" name="Beschwerde"/>
    <tableColumn id="3" name="Massnahme"/>
    <tableColumn id="4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&#36861;&#36394;'!A1" TargetMode="External" Id="rId2" /><Relationship Type="http://schemas.openxmlformats.org/officeDocument/2006/relationships/hyperlink" Target="#'&#20581;&#24247;&#35760;&#24405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智能老年护理预算与健康追踪器</t>
        </is>
      </c>
    </row>
    <row r="3" ht="45" customHeight="1">
      <c r="C3" s="2" t="inlineStr">
        <is>
          <t>这款专业的Excel模板帮助您轻松管理老年护理的预算和健康信息，优化护理流程。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输入护理预算详情。</t>
        </is>
      </c>
    </row>
    <row r="7" ht="18" customHeight="1">
      <c r="B7" s="4" t="inlineStr">
        <is>
          <t>2.</t>
        </is>
      </c>
      <c r="C7" s="5" t="inlineStr">
        <is>
          <t>记录健康信息和护理计划。</t>
        </is>
      </c>
    </row>
    <row r="8" ht="18" customHeight="1">
      <c r="B8" s="4" t="inlineStr">
        <is>
          <t>3.</t>
        </is>
      </c>
      <c r="C8" s="5" t="inlineStr">
        <is>
          <t>使用图表分析支出和健康状况。</t>
        </is>
      </c>
    </row>
    <row r="9" ht="18" customHeight="1">
      <c r="B9" s="4" t="inlineStr">
        <is>
          <t>4.</t>
        </is>
      </c>
      <c r="C9" s="5" t="inlineStr">
        <is>
          <t>通过KPIs监控总体进度。</t>
        </is>
      </c>
    </row>
    <row r="10" ht="18" customHeight="1">
      <c r="B10" s="4" t="inlineStr">
        <is>
          <t>5.</t>
        </is>
      </c>
      <c r="C10" s="5" t="inlineStr">
        <is>
          <t>定期更新数据以保持准确性。</t>
        </is>
      </c>
    </row>
    <row r="11" ht="18" customHeight="1">
      <c r="B11" s="4" t="inlineStr">
        <is>
          <t>6.</t>
        </is>
      </c>
      <c r="C11" s="5" t="inlineStr">
        <is>
          <t>导出报告以便分享。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预算追踪</t>
        </is>
      </c>
    </row>
    <row r="18">
      <c r="C18" s="7" t="inlineStr">
        <is>
          <t>→ 健康记录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智能老年护理预算与健康追踪器</t>
        </is>
      </c>
    </row>
    <row r="4">
      <c r="B4" s="10" t="inlineStr">
        <is>
          <t>关键指标</t>
        </is>
      </c>
    </row>
    <row r="5" ht="24" customHeight="1">
      <c r="B5" s="11" t="inlineStr">
        <is>
          <t>Gesamtsumme</t>
        </is>
      </c>
      <c r="C5" s="12">
        <f>SUM('预算追踪'!F2:F300)</f>
        <v/>
      </c>
    </row>
    <row r="6" ht="24" customHeight="1">
      <c r="B6" s="11" t="inlineStr">
        <is>
          <t>Anzahl Eintraege</t>
        </is>
      </c>
      <c r="C6" s="13">
        <f>COUNTA('预算追踪'!A2:A300)</f>
        <v/>
      </c>
    </row>
    <row r="7" ht="24" customHeight="1">
      <c r="B7" s="11" t="inlineStr">
        <is>
          <t>Offene Beschwerden</t>
        </is>
      </c>
      <c r="C7" s="13">
        <f>COUNTIF('健康记录'!D2:D300, "offen")</f>
        <v/>
      </c>
    </row>
    <row r="8" ht="24" customHeight="1">
      <c r="B8" s="11" t="inlineStr">
        <is>
          <t>Durchschnittliche Kosten</t>
        </is>
      </c>
      <c r="C8" s="12">
        <f>AVERAGE('预算追踪'!F2:F300)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Menge</t>
        </is>
      </c>
      <c r="E1" s="14" t="inlineStr">
        <is>
          <t>Preis</t>
        </is>
      </c>
      <c r="F1" s="14" t="inlineStr">
        <is>
          <t>Summe</t>
        </is>
      </c>
    </row>
    <row r="2">
      <c r="A2" s="15" t="n">
        <v>46037</v>
      </c>
      <c r="B2" s="16" t="inlineStr">
        <is>
          <t>Medikamente</t>
        </is>
      </c>
      <c r="C2" s="16" t="inlineStr">
        <is>
          <t>Herzmedikamente</t>
        </is>
      </c>
      <c r="D2" s="17" t="n">
        <v>2</v>
      </c>
      <c r="E2" s="18" t="n">
        <v>25</v>
      </c>
      <c r="F2" s="19">
        <f>D2*E2</f>
        <v/>
      </c>
    </row>
    <row r="3">
      <c r="A3" s="15" t="n">
        <v>46042</v>
      </c>
      <c r="B3" s="16" t="inlineStr">
        <is>
          <t>Pflegedienst</t>
        </is>
      </c>
      <c r="C3" s="16" t="inlineStr">
        <is>
          <t>Stunden Pflege</t>
        </is>
      </c>
      <c r="D3" s="17" t="n">
        <v>5</v>
      </c>
      <c r="E3" s="18" t="n">
        <v>30</v>
      </c>
      <c r="F3" s="19">
        <f>D3*E3</f>
        <v/>
      </c>
    </row>
    <row r="4">
      <c r="A4" s="15" t="n"/>
      <c r="B4" s="16" t="n"/>
      <c r="C4" s="16" t="n"/>
      <c r="D4" s="17" t="n"/>
      <c r="E4" s="18" t="n"/>
      <c r="F4" s="19">
        <f>IF(A4="","",D4*E4)</f>
        <v/>
      </c>
    </row>
    <row r="5">
      <c r="A5" s="15" t="n"/>
      <c r="B5" s="16" t="n"/>
      <c r="C5" s="16" t="n"/>
      <c r="D5" s="17" t="n"/>
      <c r="E5" s="18" t="n"/>
      <c r="F5" s="19">
        <f>IF(A5="","",D5*E5)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conditionalFormatting sqref="F2:F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"Medikamente,Pflegedienst,Transport,Sonstiges"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7" customWidth="1" min="3" max="3"/>
    <col width="17" customWidth="1" min="4" max="4"/>
  </cols>
  <sheetData>
    <row r="1" ht="32" customHeight="1">
      <c r="A1" s="14" t="inlineStr">
        <is>
          <t>Datum</t>
        </is>
      </c>
      <c r="B1" s="14" t="inlineStr">
        <is>
          <t>Beschwerde</t>
        </is>
      </c>
      <c r="C1" s="14" t="inlineStr">
        <is>
          <t>Massnahme</t>
        </is>
      </c>
      <c r="D1" s="14" t="inlineStr">
        <is>
          <t>Status</t>
        </is>
      </c>
    </row>
    <row r="2">
      <c r="A2" s="15" t="n">
        <v>46032</v>
      </c>
      <c r="B2" s="16" t="inlineStr">
        <is>
          <t>Schmerzen im Rücken</t>
        </is>
      </c>
      <c r="C2" s="16" t="inlineStr">
        <is>
          <t>Physiotherapie</t>
        </is>
      </c>
      <c r="D2" s="16" t="inlineStr">
        <is>
          <t>in Bearbeitung</t>
        </is>
      </c>
    </row>
    <row r="3">
      <c r="A3" s="15" t="n">
        <v>46034</v>
      </c>
      <c r="B3" s="16" t="inlineStr">
        <is>
          <t>Schlafstörungen</t>
        </is>
      </c>
      <c r="C3" s="16" t="inlineStr">
        <is>
          <t>Schlafmittel</t>
        </is>
      </c>
      <c r="D3" s="16" t="inlineStr">
        <is>
          <t>erledigt</t>
        </is>
      </c>
    </row>
    <row r="4">
      <c r="A4" s="15" t="n"/>
      <c r="B4" s="16" t="n"/>
      <c r="C4" s="16" t="n"/>
      <c r="D4" s="16" t="n"/>
    </row>
    <row r="5">
      <c r="A5" s="15" t="n"/>
      <c r="B5" s="16" t="n"/>
      <c r="C5" s="16" t="n"/>
      <c r="D5" s="16" t="n"/>
    </row>
    <row r="6">
      <c r="A6" s="15" t="n"/>
      <c r="B6" s="16" t="n"/>
      <c r="C6" s="16" t="n"/>
      <c r="D6" s="16" t="n"/>
    </row>
    <row r="7">
      <c r="A7" s="15" t="n"/>
      <c r="B7" s="16" t="n"/>
      <c r="C7" s="16" t="n"/>
      <c r="D7" s="16" t="n"/>
    </row>
    <row r="8">
      <c r="A8" s="15" t="n"/>
      <c r="B8" s="16" t="n"/>
      <c r="C8" s="16" t="n"/>
      <c r="D8" s="16" t="n"/>
    </row>
    <row r="9">
      <c r="A9" s="15" t="n"/>
      <c r="B9" s="16" t="n"/>
      <c r="C9" s="16" t="n"/>
      <c r="D9" s="16" t="n"/>
    </row>
    <row r="10">
      <c r="A10" s="15" t="n"/>
      <c r="B10" s="16" t="n"/>
      <c r="C10" s="16" t="n"/>
      <c r="D10" s="16" t="n"/>
    </row>
    <row r="11">
      <c r="A11" s="15" t="n"/>
      <c r="B11" s="16" t="n"/>
      <c r="C11" s="16" t="n"/>
      <c r="D11" s="16" t="n"/>
    </row>
    <row r="12">
      <c r="A12" s="15" t="n"/>
      <c r="B12" s="16" t="n"/>
      <c r="C12" s="16" t="n"/>
      <c r="D12" s="16" t="n"/>
    </row>
    <row r="13">
      <c r="A13" s="15" t="n"/>
      <c r="B13" s="16" t="n"/>
      <c r="C13" s="16" t="n"/>
      <c r="D13" s="16" t="n"/>
    </row>
    <row r="14">
      <c r="A14" s="15" t="n"/>
      <c r="B14" s="16" t="n"/>
      <c r="C14" s="16" t="n"/>
      <c r="D14" s="16" t="n"/>
    </row>
    <row r="15">
      <c r="A15" s="15" t="n"/>
      <c r="B15" s="16" t="n"/>
      <c r="C15" s="16" t="n"/>
      <c r="D15" s="16" t="n"/>
    </row>
    <row r="16">
      <c r="A16" s="15" t="n"/>
      <c r="B16" s="16" t="n"/>
      <c r="C16" s="16" t="n"/>
      <c r="D16" s="16" t="n"/>
    </row>
    <row r="17">
      <c r="A17" s="15" t="n"/>
      <c r="B17" s="16" t="n"/>
      <c r="C17" s="16" t="n"/>
      <c r="D17" s="16" t="n"/>
    </row>
    <row r="18">
      <c r="A18" s="15" t="n"/>
      <c r="B18" s="16" t="n"/>
      <c r="C18" s="16" t="n"/>
      <c r="D18" s="16" t="n"/>
    </row>
    <row r="19">
      <c r="A19" s="15" t="n"/>
      <c r="B19" s="16" t="n"/>
      <c r="C19" s="16" t="n"/>
      <c r="D19" s="16" t="n"/>
    </row>
    <row r="20">
      <c r="A20" s="15" t="n"/>
      <c r="B20" s="16" t="n"/>
      <c r="C20" s="16" t="n"/>
      <c r="D20" s="16" t="n"/>
    </row>
    <row r="21">
      <c r="A21" s="15" t="n"/>
      <c r="B21" s="16" t="n"/>
      <c r="C21" s="16" t="n"/>
      <c r="D21" s="16" t="n"/>
    </row>
    <row r="22">
      <c r="A22" s="15" t="n"/>
      <c r="B22" s="16" t="n"/>
      <c r="C22" s="16" t="n"/>
      <c r="D22" s="16" t="n"/>
    </row>
    <row r="23">
      <c r="A23" s="15" t="n"/>
      <c r="B23" s="16" t="n"/>
      <c r="C23" s="16" t="n"/>
      <c r="D23" s="16" t="n"/>
    </row>
    <row r="24">
      <c r="A24" s="15" t="n"/>
      <c r="B24" s="16" t="n"/>
      <c r="C24" s="16" t="n"/>
      <c r="D24" s="16" t="n"/>
    </row>
    <row r="25">
      <c r="A25" s="15" t="n"/>
      <c r="B25" s="16" t="n"/>
      <c r="C25" s="16" t="n"/>
      <c r="D25" s="16" t="n"/>
    </row>
    <row r="26">
      <c r="A26" s="15" t="n"/>
      <c r="B26" s="16" t="n"/>
      <c r="C26" s="16" t="n"/>
      <c r="D26" s="16" t="n"/>
    </row>
    <row r="27">
      <c r="A27" s="15" t="n"/>
      <c r="B27" s="16" t="n"/>
      <c r="C27" s="16" t="n"/>
      <c r="D27" s="16" t="n"/>
    </row>
    <row r="28">
      <c r="A28" s="15" t="n"/>
      <c r="B28" s="16" t="n"/>
      <c r="C28" s="16" t="n"/>
      <c r="D28" s="16" t="n"/>
    </row>
    <row r="29">
      <c r="A29" s="15" t="n"/>
      <c r="B29" s="16" t="n"/>
      <c r="C29" s="16" t="n"/>
      <c r="D29" s="16" t="n"/>
    </row>
    <row r="30">
      <c r="A30" s="15" t="n"/>
      <c r="B30" s="16" t="n"/>
      <c r="C30" s="16" t="n"/>
      <c r="D30" s="16" t="n"/>
    </row>
    <row r="31">
      <c r="A31" s="15" t="n"/>
      <c r="B31" s="16" t="n"/>
      <c r="C31" s="16" t="n"/>
      <c r="D31" s="16" t="n"/>
    </row>
    <row r="32">
      <c r="A32" s="15" t="n"/>
      <c r="B32" s="16" t="n"/>
      <c r="C32" s="16" t="n"/>
      <c r="D32" s="16" t="n"/>
    </row>
    <row r="33">
      <c r="A33" s="15" t="n"/>
      <c r="B33" s="16" t="n"/>
      <c r="C33" s="16" t="n"/>
      <c r="D33" s="16" t="n"/>
    </row>
  </sheetData>
  <dataValidations count="1">
    <dataValidation sqref="D2:D33" showDropDown="0" showInputMessage="0" showErrorMessage="0" allowBlank="1" type="list">
      <formula1>"in Bearbeitung,erledigt,offen"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智能老年护理预算与健康追踪器</dc:title>
  <dcterms:created xsi:type="dcterms:W3CDTF">2026-10-12T15:33:52Z</dcterms:created>
  <dcterms:modified xsi:type="dcterms:W3CDTF">2026-10-12T15:33:52Z</dcterms:modified>
</cp:coreProperties>
</file>