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Packliste" sheetId="4" state="visible" r:id="rId4"/>
    <sheet name="Routenplan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67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151" displayName="T_Budget_2151" ref="A1:E65" headerRowCount="1">
  <autoFilter ref="A1:E65"/>
  <tableColumns count="5">
    <tableColumn id="1" name="Datum"/>
    <tableColumn id="2" name="Kategorie"/>
    <tableColumn id="3" name="Beschreibung"/>
    <tableColumn id="4" name="Betrag"/>
    <tableColumn id="5" name="Belegnummer"/>
  </tableColumns>
  <tableStyleInfo name="TableStyleMedium7" showRowStripes="1"/>
</table>
</file>

<file path=xl/tables/table2.xml><?xml version="1.0" encoding="utf-8"?>
<table xmlns="http://schemas.openxmlformats.org/spreadsheetml/2006/main" id="2" name="T_Packliste_3142" displayName="T_Packliste_3142" ref="A1:D45" headerRowCount="1">
  <autoFilter ref="A1:D45"/>
  <tableColumns count="4">
    <tableColumn id="1" name="Kategorie"/>
    <tableColumn id="2" name="Artikel"/>
    <tableColumn id="3" name="Menge"/>
    <tableColumn id="4" name="Erledigt"/>
  </tableColumns>
  <tableStyleInfo name="TableStyleMedium7" showRowStripes="1"/>
</table>
</file>

<file path=xl/tables/table3.xml><?xml version="1.0" encoding="utf-8"?>
<table xmlns="http://schemas.openxmlformats.org/spreadsheetml/2006/main" id="3" name="T_Routenplanung_4155" displayName="T_Routenplanung_4155" ref="A1:F34" headerRowCount="1">
  <autoFilter ref="A1:F34"/>
  <tableColumns count="6">
    <tableColumn id="1" name="Datum"/>
    <tableColumn id="2" name="Uhrzeit"/>
    <tableColumn id="3" name="Von"/>
    <tableColumn id="4" name="Nach"/>
    <tableColumn id="5" name="Transportmittel"/>
    <tableColumn id="6" name="Dauer (min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hyperlink" Target="#'Routenplanu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Business-Reiseplaner: Budget, Packliste &amp; Routenoptimierung</t>
        </is>
      </c>
    </row>
    <row r="3" ht="45" customHeight="1">
      <c r="C3" s="2" t="inlineStr">
        <is>
          <t>All-in-One Lösung für stressfreie Geschäftsreisen – von der Budgetplanung bis zur perfekten Packliste, speziell optimiert für Rhein-Main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Reisedetails eingeben (Ziel, Zeitraum, Zweck)</t>
        </is>
      </c>
    </row>
    <row r="7" ht="18" customHeight="1">
      <c r="B7" s="4" t="inlineStr">
        <is>
          <t>2.</t>
        </is>
      </c>
      <c r="C7" s="5" t="inlineStr">
        <is>
          <t>Budgetkategorien anpassen</t>
        </is>
      </c>
    </row>
    <row r="8" ht="18" customHeight="1">
      <c r="B8" s="4" t="inlineStr">
        <is>
          <t>3.</t>
        </is>
      </c>
      <c r="C8" s="5" t="inlineStr">
        <is>
          <t>Packliste personalisieren</t>
        </is>
      </c>
    </row>
    <row r="9" ht="18" customHeight="1">
      <c r="B9" s="4" t="inlineStr">
        <is>
          <t>4.</t>
        </is>
      </c>
      <c r="C9" s="5" t="inlineStr">
        <is>
          <t>Routen optimieren (inkl. Rhein-Main-Verkehrsanbindungen)</t>
        </is>
      </c>
    </row>
    <row r="10" ht="18" customHeight="1">
      <c r="B10" s="4" t="inlineStr">
        <is>
          <t>5.</t>
        </is>
      </c>
      <c r="C10" s="5" t="inlineStr">
        <is>
          <t>Ausgaben während der Reise tracken</t>
        </is>
      </c>
    </row>
    <row r="11" ht="18" customHeight="1">
      <c r="B11" s="4" t="inlineStr">
        <is>
          <t>6.</t>
        </is>
      </c>
      <c r="C11" s="5" t="inlineStr">
        <is>
          <t>Nachbereitung mit automatisiertem Spesenbericht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Budget</t>
        </is>
      </c>
    </row>
    <row r="18">
      <c r="C18" s="7" t="inlineStr">
        <is>
          <t>→ Packliste</t>
        </is>
      </c>
    </row>
    <row r="19">
      <c r="C19" s="7" t="inlineStr">
        <is>
          <t>→ Routenplanung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Business-Reiseplaner: Budget, Packliste &amp; Routen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SUM(Budget!D2:D100)</f>
        <v/>
      </c>
    </row>
    <row r="6" ht="24" customHeight="1">
      <c r="B6" s="11" t="inlineStr">
        <is>
          <t>Transportkosten</t>
        </is>
      </c>
      <c r="C6" s="12">
        <f>SUMIF(Budget!B2:B100,"Transport",Budget!D2:D100)</f>
        <v/>
      </c>
    </row>
    <row r="7" ht="24" customHeight="1">
      <c r="B7" s="11" t="inlineStr">
        <is>
          <t>Durchschn. Tagesbudget</t>
        </is>
      </c>
      <c r="C7" s="12">
        <f>AVERAGEIFS(Budget!D2:D100,Budget!A2:A100,"&gt;="&amp;MIN(Budget!A2:A100),Budget!A2:A100,"&lt;="&amp;MAX(Budget!A2:A100))</f>
        <v/>
      </c>
    </row>
    <row r="8" ht="24" customHeight="1">
      <c r="B8" s="11" t="inlineStr">
        <is>
          <t>Noch zu packen</t>
        </is>
      </c>
      <c r="C8" s="13">
        <f>COUNTIF(Packliste!D2:D100,"nein")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12" customWidth="1" min="4" max="4"/>
    <col width="40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Belegnummer</t>
        </is>
      </c>
    </row>
    <row r="2">
      <c r="A2" s="15" t="n">
        <v>46096</v>
      </c>
      <c r="B2" s="16" t="inlineStr">
        <is>
          <t>Transport</t>
        </is>
      </c>
      <c r="C2" s="16" t="inlineStr">
        <is>
          <t>RMV-Tageskarte Frankfurt</t>
        </is>
      </c>
      <c r="D2" s="17" t="n">
        <v>12.8</v>
      </c>
      <c r="E2" s="18">
        <f>IF(D2&gt;0,CONCATENATE(LEFT(B2,2),YEAR(A2),"-",TEXT(ROW(),"000")),"")</f>
        <v/>
      </c>
    </row>
    <row r="3">
      <c r="A3" s="15" t="n">
        <v>46096</v>
      </c>
      <c r="B3" s="16" t="inlineStr">
        <is>
          <t>Unterkunft</t>
        </is>
      </c>
      <c r="C3" s="16" t="inlineStr">
        <is>
          <t>Hotel Messe (4 Nächte)</t>
        </is>
      </c>
      <c r="D3" s="17" t="n">
        <v>480</v>
      </c>
      <c r="E3" s="18">
        <f>IF(D3&gt;0,CONCATENATE(LEFT(B3,2),YEAR(A3),"-",TEXT(ROW(),"000")),"")</f>
        <v/>
      </c>
    </row>
    <row r="4">
      <c r="A4" s="15" t="n">
        <v>46097</v>
      </c>
      <c r="B4" s="16" t="inlineStr">
        <is>
          <t>Verpflegung</t>
        </is>
      </c>
      <c r="C4" s="16" t="inlineStr">
        <is>
          <t>Business Dinner</t>
        </is>
      </c>
      <c r="D4" s="17" t="n">
        <v>89.5</v>
      </c>
      <c r="E4" s="18">
        <f>IF(D4&gt;0,CONCATENATE(LEFT(B4,2),YEAR(A4),"-",TEXT(ROW(),"000")),"")</f>
        <v/>
      </c>
    </row>
    <row r="5">
      <c r="A5" s="15" t="n">
        <v>46098</v>
      </c>
      <c r="B5" s="16" t="inlineStr">
        <is>
          <t>Transport</t>
        </is>
      </c>
      <c r="C5" s="16" t="inlineStr">
        <is>
          <t>Taxi Messe-Flughafen</t>
        </is>
      </c>
      <c r="D5" s="17" t="n">
        <v>32</v>
      </c>
      <c r="E5" s="18">
        <f>IF(D5&gt;0,CONCATENATE(LEFT(B5,2),YEAR(A5),"-",TEXT(ROW(),"000")),"")</f>
        <v/>
      </c>
    </row>
    <row r="6">
      <c r="A6" s="15" t="n"/>
      <c r="B6" s="16" t="n"/>
      <c r="C6" s="16" t="n"/>
      <c r="D6" s="17" t="n"/>
      <c r="E6" s="18">
        <f>IF(A6="","",IF(D6&gt;0,CONCATENATE(LEFT(B6,2),YEAR(A6),"-",TEXT(ROW(),"000")),""))</f>
        <v/>
      </c>
    </row>
    <row r="7">
      <c r="A7" s="15" t="n"/>
      <c r="B7" s="16" t="n"/>
      <c r="C7" s="16" t="n"/>
      <c r="D7" s="17" t="n"/>
      <c r="E7" s="18">
        <f>IF(A7="","",IF(D7&gt;0,CONCATENATE(LEFT(B7,2),YEAR(A7),"-",TEXT(ROW(),"000")),""))</f>
        <v/>
      </c>
    </row>
    <row r="8">
      <c r="A8" s="15" t="n"/>
      <c r="B8" s="16" t="n"/>
      <c r="C8" s="16" t="n"/>
      <c r="D8" s="17" t="n"/>
      <c r="E8" s="18">
        <f>IF(A8="","",IF(D8&gt;0,CONCATENATE(LEFT(B8,2),YEAR(A8),"-",TEXT(ROW(),"000")),""))</f>
        <v/>
      </c>
    </row>
    <row r="9">
      <c r="A9" s="15" t="n"/>
      <c r="B9" s="16" t="n"/>
      <c r="C9" s="16" t="n"/>
      <c r="D9" s="17" t="n"/>
      <c r="E9" s="18">
        <f>IF(A9="","",IF(D9&gt;0,CONCATENATE(LEFT(B9,2),YEAR(A9),"-",TEXT(ROW(),"000")),""))</f>
        <v/>
      </c>
    </row>
    <row r="10">
      <c r="A10" s="15" t="n"/>
      <c r="B10" s="16" t="n"/>
      <c r="C10" s="16" t="n"/>
      <c r="D10" s="17" t="n"/>
      <c r="E10" s="18">
        <f>IF(A10="","",IF(D10&gt;0,CONCATENATE(LEFT(B10,2),YEAR(A10),"-",TEXT(ROW(),"000")),""))</f>
        <v/>
      </c>
    </row>
    <row r="11">
      <c r="A11" s="15" t="n"/>
      <c r="B11" s="16" t="n"/>
      <c r="C11" s="16" t="n"/>
      <c r="D11" s="17" t="n"/>
      <c r="E11" s="18">
        <f>IF(A11="","",IF(D11&gt;0,CONCATENATE(LEFT(B11,2),YEAR(A11),"-",TEXT(ROW(),"000")),""))</f>
        <v/>
      </c>
    </row>
    <row r="12">
      <c r="A12" s="15" t="n"/>
      <c r="B12" s="16" t="n"/>
      <c r="C12" s="16" t="n"/>
      <c r="D12" s="17" t="n"/>
      <c r="E12" s="18">
        <f>IF(A12="","",IF(D12&gt;0,CONCATENATE(LEFT(B12,2),YEAR(A12),"-",TEXT(ROW(),"000")),""))</f>
        <v/>
      </c>
    </row>
    <row r="13">
      <c r="A13" s="15" t="n"/>
      <c r="B13" s="16" t="n"/>
      <c r="C13" s="16" t="n"/>
      <c r="D13" s="17" t="n"/>
      <c r="E13" s="18">
        <f>IF(A13="","",IF(D13&gt;0,CONCATENATE(LEFT(B13,2),YEAR(A13),"-",TEXT(ROW(),"000")),""))</f>
        <v/>
      </c>
    </row>
    <row r="14">
      <c r="A14" s="15" t="n"/>
      <c r="B14" s="16" t="n"/>
      <c r="C14" s="16" t="n"/>
      <c r="D14" s="17" t="n"/>
      <c r="E14" s="18">
        <f>IF(A14="","",IF(D14&gt;0,CONCATENATE(LEFT(B14,2),YEAR(A14),"-",TEXT(ROW(),"000")),""))</f>
        <v/>
      </c>
    </row>
    <row r="15">
      <c r="A15" s="15" t="n"/>
      <c r="B15" s="16" t="n"/>
      <c r="C15" s="16" t="n"/>
      <c r="D15" s="17" t="n"/>
      <c r="E15" s="18">
        <f>IF(A15="","",IF(D15&gt;0,CONCATENATE(LEFT(B15,2),YEAR(A15),"-",TEXT(ROW(),"000")),""))</f>
        <v/>
      </c>
    </row>
    <row r="16">
      <c r="A16" s="15" t="n"/>
      <c r="B16" s="16" t="n"/>
      <c r="C16" s="16" t="n"/>
      <c r="D16" s="17" t="n"/>
      <c r="E16" s="18">
        <f>IF(A16="","",IF(D16&gt;0,CONCATENATE(LEFT(B16,2),YEAR(A16),"-",TEXT(ROW(),"000")),""))</f>
        <v/>
      </c>
    </row>
    <row r="17">
      <c r="A17" s="15" t="n"/>
      <c r="B17" s="16" t="n"/>
      <c r="C17" s="16" t="n"/>
      <c r="D17" s="17" t="n"/>
      <c r="E17" s="18">
        <f>IF(A17="","",IF(D17&gt;0,CONCATENATE(LEFT(B17,2),YEAR(A17),"-",TEXT(ROW(),"000")),""))</f>
        <v/>
      </c>
    </row>
    <row r="18">
      <c r="A18" s="15" t="n"/>
      <c r="B18" s="16" t="n"/>
      <c r="C18" s="16" t="n"/>
      <c r="D18" s="17" t="n"/>
      <c r="E18" s="18">
        <f>IF(A18="","",IF(D18&gt;0,CONCATENATE(LEFT(B18,2),YEAR(A18),"-",TEXT(ROW(),"000")),""))</f>
        <v/>
      </c>
    </row>
    <row r="19">
      <c r="A19" s="15" t="n"/>
      <c r="B19" s="16" t="n"/>
      <c r="C19" s="16" t="n"/>
      <c r="D19" s="17" t="n"/>
      <c r="E19" s="18">
        <f>IF(A19="","",IF(D19&gt;0,CONCATENATE(LEFT(B19,2),YEAR(A19),"-",TEXT(ROW(),"000")),""))</f>
        <v/>
      </c>
    </row>
    <row r="20">
      <c r="A20" s="15" t="n"/>
      <c r="B20" s="16" t="n"/>
      <c r="C20" s="16" t="n"/>
      <c r="D20" s="17" t="n"/>
      <c r="E20" s="18">
        <f>IF(A20="","",IF(D20&gt;0,CONCATENATE(LEFT(B20,2),YEAR(A20),"-",TEXT(ROW(),"000")),""))</f>
        <v/>
      </c>
    </row>
    <row r="21">
      <c r="A21" s="15" t="n"/>
      <c r="B21" s="16" t="n"/>
      <c r="C21" s="16" t="n"/>
      <c r="D21" s="17" t="n"/>
      <c r="E21" s="18">
        <f>IF(A21="","",IF(D21&gt;0,CONCATENATE(LEFT(B21,2),YEAR(A21),"-",TEXT(ROW(),"000")),""))</f>
        <v/>
      </c>
    </row>
    <row r="22">
      <c r="A22" s="15" t="n"/>
      <c r="B22" s="16" t="n"/>
      <c r="C22" s="16" t="n"/>
      <c r="D22" s="17" t="n"/>
      <c r="E22" s="18">
        <f>IF(A22="","",IF(D22&gt;0,CONCATENATE(LEFT(B22,2),YEAR(A22),"-",TEXT(ROW(),"000")),""))</f>
        <v/>
      </c>
    </row>
    <row r="23">
      <c r="A23" s="15" t="n"/>
      <c r="B23" s="16" t="n"/>
      <c r="C23" s="16" t="n"/>
      <c r="D23" s="17" t="n"/>
      <c r="E23" s="18">
        <f>IF(A23="","",IF(D23&gt;0,CONCATENATE(LEFT(B23,2),YEAR(A23),"-",TEXT(ROW(),"000")),""))</f>
        <v/>
      </c>
    </row>
    <row r="24">
      <c r="A24" s="15" t="n"/>
      <c r="B24" s="16" t="n"/>
      <c r="C24" s="16" t="n"/>
      <c r="D24" s="17" t="n"/>
      <c r="E24" s="18">
        <f>IF(A24="","",IF(D24&gt;0,CONCATENATE(LEFT(B24,2),YEAR(A24),"-",TEXT(ROW(),"000")),""))</f>
        <v/>
      </c>
    </row>
    <row r="25">
      <c r="A25" s="15" t="n"/>
      <c r="B25" s="16" t="n"/>
      <c r="C25" s="16" t="n"/>
      <c r="D25" s="17" t="n"/>
      <c r="E25" s="18">
        <f>IF(A25="","",IF(D25&gt;0,CONCATENATE(LEFT(B25,2),YEAR(A25),"-",TEXT(ROW(),"000")),""))</f>
        <v/>
      </c>
    </row>
    <row r="26">
      <c r="A26" s="15" t="n"/>
      <c r="B26" s="16" t="n"/>
      <c r="C26" s="16" t="n"/>
      <c r="D26" s="17" t="n"/>
      <c r="E26" s="18">
        <f>IF(A26="","",IF(D26&gt;0,CONCATENATE(LEFT(B26,2),YEAR(A26),"-",TEXT(ROW(),"000")),""))</f>
        <v/>
      </c>
    </row>
    <row r="27">
      <c r="A27" s="15" t="n"/>
      <c r="B27" s="16" t="n"/>
      <c r="C27" s="16" t="n"/>
      <c r="D27" s="17" t="n"/>
      <c r="E27" s="18">
        <f>IF(A27="","",IF(D27&gt;0,CONCATENATE(LEFT(B27,2),YEAR(A27),"-",TEXT(ROW(),"000")),""))</f>
        <v/>
      </c>
    </row>
    <row r="28">
      <c r="A28" s="15" t="n"/>
      <c r="B28" s="16" t="n"/>
      <c r="C28" s="16" t="n"/>
      <c r="D28" s="17" t="n"/>
      <c r="E28" s="18">
        <f>IF(A28="","",IF(D28&gt;0,CONCATENATE(LEFT(B28,2),YEAR(A28),"-",TEXT(ROW(),"000")),""))</f>
        <v/>
      </c>
    </row>
    <row r="29">
      <c r="A29" s="15" t="n"/>
      <c r="B29" s="16" t="n"/>
      <c r="C29" s="16" t="n"/>
      <c r="D29" s="17" t="n"/>
      <c r="E29" s="18">
        <f>IF(A29="","",IF(D29&gt;0,CONCATENATE(LEFT(B29,2),YEAR(A29),"-",TEXT(ROW(),"000")),""))</f>
        <v/>
      </c>
    </row>
    <row r="30">
      <c r="A30" s="15" t="n"/>
      <c r="B30" s="16" t="n"/>
      <c r="C30" s="16" t="n"/>
      <c r="D30" s="17" t="n"/>
      <c r="E30" s="18">
        <f>IF(A30="","",IF(D30&gt;0,CONCATENATE(LEFT(B30,2),YEAR(A30),"-",TEXT(ROW(),"000")),""))</f>
        <v/>
      </c>
    </row>
    <row r="31">
      <c r="A31" s="15" t="n"/>
      <c r="B31" s="16" t="n"/>
      <c r="C31" s="16" t="n"/>
      <c r="D31" s="17" t="n"/>
      <c r="E31" s="18">
        <f>IF(A31="","",IF(D31&gt;0,CONCATENATE(LEFT(B31,2),YEAR(A31),"-",TEXT(ROW(),"000")),""))</f>
        <v/>
      </c>
    </row>
    <row r="32">
      <c r="A32" s="15" t="n"/>
      <c r="B32" s="16" t="n"/>
      <c r="C32" s="16" t="n"/>
      <c r="D32" s="17" t="n"/>
      <c r="E32" s="18">
        <f>IF(A32="","",IF(D32&gt;0,CONCATENATE(LEFT(B32,2),YEAR(A32),"-",TEXT(ROW(),"000")),""))</f>
        <v/>
      </c>
    </row>
    <row r="33">
      <c r="A33" s="15" t="n"/>
      <c r="B33" s="16" t="n"/>
      <c r="C33" s="16" t="n"/>
      <c r="D33" s="17" t="n"/>
      <c r="E33" s="18">
        <f>IF(A33="","",IF(D33&gt;0,CONCATENATE(LEFT(B33,2),YEAR(A33),"-",TEXT(ROW(),"000")),""))</f>
        <v/>
      </c>
    </row>
    <row r="34">
      <c r="A34" s="15" t="n"/>
      <c r="B34" s="16" t="n"/>
      <c r="C34" s="16" t="n"/>
      <c r="D34" s="17" t="n"/>
      <c r="E34" s="18">
        <f>IF(A34="","",IF(D34&gt;0,CONCATENATE(LEFT(B34,2),YEAR(A34),"-",TEXT(ROW(),"000")),""))</f>
        <v/>
      </c>
    </row>
    <row r="35">
      <c r="A35" s="15" t="n"/>
      <c r="B35" s="16" t="n"/>
      <c r="C35" s="16" t="n"/>
      <c r="D35" s="17" t="n"/>
      <c r="E35" s="18">
        <f>IF(A35="","",IF(D35&gt;0,CONCATENATE(LEFT(B35,2),YEAR(A35),"-",TEXT(ROW(),"000")),""))</f>
        <v/>
      </c>
    </row>
    <row r="36">
      <c r="A36" s="15" t="n"/>
      <c r="B36" s="16" t="n"/>
      <c r="C36" s="16" t="n"/>
      <c r="D36" s="17" t="n"/>
      <c r="E36" s="18">
        <f>IF(A36="","",IF(D36&gt;0,CONCATENATE(LEFT(B36,2),YEAR(A36),"-",TEXT(ROW(),"000")),""))</f>
        <v/>
      </c>
    </row>
    <row r="37">
      <c r="A37" s="15" t="n"/>
      <c r="B37" s="16" t="n"/>
      <c r="C37" s="16" t="n"/>
      <c r="D37" s="17" t="n"/>
      <c r="E37" s="18">
        <f>IF(A37="","",IF(D37&gt;0,CONCATENATE(LEFT(B37,2),YEAR(A37),"-",TEXT(ROW(),"000")),""))</f>
        <v/>
      </c>
    </row>
    <row r="38">
      <c r="A38" s="15" t="n"/>
      <c r="B38" s="16" t="n"/>
      <c r="C38" s="16" t="n"/>
      <c r="D38" s="17" t="n"/>
      <c r="E38" s="18">
        <f>IF(A38="","",IF(D38&gt;0,CONCATENATE(LEFT(B38,2),YEAR(A38),"-",TEXT(ROW(),"000")),""))</f>
        <v/>
      </c>
    </row>
    <row r="39">
      <c r="A39" s="15" t="n"/>
      <c r="B39" s="16" t="n"/>
      <c r="C39" s="16" t="n"/>
      <c r="D39" s="17" t="n"/>
      <c r="E39" s="18">
        <f>IF(A39="","",IF(D39&gt;0,CONCATENATE(LEFT(B39,2),YEAR(A39),"-",TEXT(ROW(),"000")),""))</f>
        <v/>
      </c>
    </row>
    <row r="40">
      <c r="A40" s="15" t="n"/>
      <c r="B40" s="16" t="n"/>
      <c r="C40" s="16" t="n"/>
      <c r="D40" s="17" t="n"/>
      <c r="E40" s="18">
        <f>IF(A40="","",IF(D40&gt;0,CONCATENATE(LEFT(B40,2),YEAR(A40),"-",TEXT(ROW(),"000")),""))</f>
        <v/>
      </c>
    </row>
    <row r="41">
      <c r="A41" s="15" t="n"/>
      <c r="B41" s="16" t="n"/>
      <c r="C41" s="16" t="n"/>
      <c r="D41" s="17" t="n"/>
      <c r="E41" s="18">
        <f>IF(A41="","",IF(D41&gt;0,CONCATENATE(LEFT(B41,2),YEAR(A41),"-",TEXT(ROW(),"000")),""))</f>
        <v/>
      </c>
    </row>
    <row r="42">
      <c r="A42" s="15" t="n"/>
      <c r="B42" s="16" t="n"/>
      <c r="C42" s="16" t="n"/>
      <c r="D42" s="17" t="n"/>
      <c r="E42" s="18">
        <f>IF(A42="","",IF(D42&gt;0,CONCATENATE(LEFT(B42,2),YEAR(A42),"-",TEXT(ROW(),"000")),""))</f>
        <v/>
      </c>
    </row>
    <row r="43">
      <c r="A43" s="15" t="n"/>
      <c r="B43" s="16" t="n"/>
      <c r="C43" s="16" t="n"/>
      <c r="D43" s="17" t="n"/>
      <c r="E43" s="18">
        <f>IF(A43="","",IF(D43&gt;0,CONCATENATE(LEFT(B43,2),YEAR(A43),"-",TEXT(ROW(),"000")),""))</f>
        <v/>
      </c>
    </row>
    <row r="44">
      <c r="A44" s="15" t="n"/>
      <c r="B44" s="16" t="n"/>
      <c r="C44" s="16" t="n"/>
      <c r="D44" s="17" t="n"/>
      <c r="E44" s="18">
        <f>IF(A44="","",IF(D44&gt;0,CONCATENATE(LEFT(B44,2),YEAR(A44),"-",TEXT(ROW(),"000")),""))</f>
        <v/>
      </c>
    </row>
    <row r="45">
      <c r="A45" s="15" t="n"/>
      <c r="B45" s="16" t="n"/>
      <c r="C45" s="16" t="n"/>
      <c r="D45" s="17" t="n"/>
      <c r="E45" s="18">
        <f>IF(A45="","",IF(D45&gt;0,CONCATENATE(LEFT(B45,2),YEAR(A45),"-",TEXT(ROW(),"000")),""))</f>
        <v/>
      </c>
    </row>
    <row r="46">
      <c r="A46" s="15" t="n"/>
      <c r="B46" s="16" t="n"/>
      <c r="C46" s="16" t="n"/>
      <c r="D46" s="17" t="n"/>
      <c r="E46" s="18">
        <f>IF(A46="","",IF(D46&gt;0,CONCATENATE(LEFT(B46,2),YEAR(A46),"-",TEXT(ROW(),"000")),""))</f>
        <v/>
      </c>
    </row>
    <row r="47">
      <c r="A47" s="15" t="n"/>
      <c r="B47" s="16" t="n"/>
      <c r="C47" s="16" t="n"/>
      <c r="D47" s="17" t="n"/>
      <c r="E47" s="18">
        <f>IF(A47="","",IF(D47&gt;0,CONCATENATE(LEFT(B47,2),YEAR(A47),"-",TEXT(ROW(),"000")),""))</f>
        <v/>
      </c>
    </row>
    <row r="48">
      <c r="A48" s="15" t="n"/>
      <c r="B48" s="16" t="n"/>
      <c r="C48" s="16" t="n"/>
      <c r="D48" s="17" t="n"/>
      <c r="E48" s="18">
        <f>IF(A48="","",IF(D48&gt;0,CONCATENATE(LEFT(B48,2),YEAR(A48),"-",TEXT(ROW(),"000")),""))</f>
        <v/>
      </c>
    </row>
    <row r="49">
      <c r="A49" s="15" t="n"/>
      <c r="B49" s="16" t="n"/>
      <c r="C49" s="16" t="n"/>
      <c r="D49" s="17" t="n"/>
      <c r="E49" s="18">
        <f>IF(A49="","",IF(D49&gt;0,CONCATENATE(LEFT(B49,2),YEAR(A49),"-",TEXT(ROW(),"000")),""))</f>
        <v/>
      </c>
    </row>
    <row r="50">
      <c r="A50" s="15" t="n"/>
      <c r="B50" s="16" t="n"/>
      <c r="C50" s="16" t="n"/>
      <c r="D50" s="17" t="n"/>
      <c r="E50" s="18">
        <f>IF(A50="","",IF(D50&gt;0,CONCATENATE(LEFT(B50,2),YEAR(A50),"-",TEXT(ROW(),"000")),""))</f>
        <v/>
      </c>
    </row>
    <row r="51">
      <c r="A51" s="15" t="n"/>
      <c r="B51" s="16" t="n"/>
      <c r="C51" s="16" t="n"/>
      <c r="D51" s="17" t="n"/>
      <c r="E51" s="18">
        <f>IF(A51="","",IF(D51&gt;0,CONCATENATE(LEFT(B51,2),YEAR(A51),"-",TEXT(ROW(),"000")),""))</f>
        <v/>
      </c>
    </row>
    <row r="52">
      <c r="A52" s="15" t="n"/>
      <c r="B52" s="16" t="n"/>
      <c r="C52" s="16" t="n"/>
      <c r="D52" s="17" t="n"/>
      <c r="E52" s="18">
        <f>IF(A52="","",IF(D52&gt;0,CONCATENATE(LEFT(B52,2),YEAR(A52),"-",TEXT(ROW(),"000")),""))</f>
        <v/>
      </c>
    </row>
    <row r="53">
      <c r="A53" s="15" t="n"/>
      <c r="B53" s="16" t="n"/>
      <c r="C53" s="16" t="n"/>
      <c r="D53" s="17" t="n"/>
      <c r="E53" s="18">
        <f>IF(A53="","",IF(D53&gt;0,CONCATENATE(LEFT(B53,2),YEAR(A53),"-",TEXT(ROW(),"000")),""))</f>
        <v/>
      </c>
    </row>
    <row r="54">
      <c r="A54" s="15" t="n"/>
      <c r="B54" s="16" t="n"/>
      <c r="C54" s="16" t="n"/>
      <c r="D54" s="17" t="n"/>
      <c r="E54" s="18">
        <f>IF(A54="","",IF(D54&gt;0,CONCATENATE(LEFT(B54,2),YEAR(A54),"-",TEXT(ROW(),"000")),""))</f>
        <v/>
      </c>
    </row>
    <row r="55">
      <c r="A55" s="15" t="n"/>
      <c r="B55" s="16" t="n"/>
      <c r="C55" s="16" t="n"/>
      <c r="D55" s="17" t="n"/>
      <c r="E55" s="18">
        <f>IF(A55="","",IF(D55&gt;0,CONCATENATE(LEFT(B55,2),YEAR(A55),"-",TEXT(ROW(),"000")),""))</f>
        <v/>
      </c>
    </row>
    <row r="56">
      <c r="A56" s="15" t="n"/>
      <c r="B56" s="16" t="n"/>
      <c r="C56" s="16" t="n"/>
      <c r="D56" s="17" t="n"/>
      <c r="E56" s="18">
        <f>IF(A56="","",IF(D56&gt;0,CONCATENATE(LEFT(B56,2),YEAR(A56),"-",TEXT(ROW(),"000")),""))</f>
        <v/>
      </c>
    </row>
    <row r="57">
      <c r="A57" s="15" t="n"/>
      <c r="B57" s="16" t="n"/>
      <c r="C57" s="16" t="n"/>
      <c r="D57" s="17" t="n"/>
      <c r="E57" s="18">
        <f>IF(A57="","",IF(D57&gt;0,CONCATENATE(LEFT(B57,2),YEAR(A57),"-",TEXT(ROW(),"000")),""))</f>
        <v/>
      </c>
    </row>
    <row r="58">
      <c r="A58" s="15" t="n"/>
      <c r="B58" s="16" t="n"/>
      <c r="C58" s="16" t="n"/>
      <c r="D58" s="17" t="n"/>
      <c r="E58" s="18">
        <f>IF(A58="","",IF(D58&gt;0,CONCATENATE(LEFT(B58,2),YEAR(A58),"-",TEXT(ROW(),"000")),""))</f>
        <v/>
      </c>
    </row>
    <row r="59">
      <c r="A59" s="15" t="n"/>
      <c r="B59" s="16" t="n"/>
      <c r="C59" s="16" t="n"/>
      <c r="D59" s="17" t="n"/>
      <c r="E59" s="18">
        <f>IF(A59="","",IF(D59&gt;0,CONCATENATE(LEFT(B59,2),YEAR(A59),"-",TEXT(ROW(),"000")),""))</f>
        <v/>
      </c>
    </row>
    <row r="60">
      <c r="A60" s="15" t="n"/>
      <c r="B60" s="16" t="n"/>
      <c r="C60" s="16" t="n"/>
      <c r="D60" s="17" t="n"/>
      <c r="E60" s="18">
        <f>IF(A60="","",IF(D60&gt;0,CONCATENATE(LEFT(B60,2),YEAR(A60),"-",TEXT(ROW(),"000")),""))</f>
        <v/>
      </c>
    </row>
    <row r="61">
      <c r="A61" s="15" t="n"/>
      <c r="B61" s="16" t="n"/>
      <c r="C61" s="16" t="n"/>
      <c r="D61" s="17" t="n"/>
      <c r="E61" s="18">
        <f>IF(A61="","",IF(D61&gt;0,CONCATENATE(LEFT(B61,2),YEAR(A61),"-",TEXT(ROW(),"000")),""))</f>
        <v/>
      </c>
    </row>
    <row r="62">
      <c r="A62" s="15" t="n"/>
      <c r="B62" s="16" t="n"/>
      <c r="C62" s="16" t="n"/>
      <c r="D62" s="17" t="n"/>
      <c r="E62" s="18">
        <f>IF(A62="","",IF(D62&gt;0,CONCATENATE(LEFT(B62,2),YEAR(A62),"-",TEXT(ROW(),"000")),""))</f>
        <v/>
      </c>
    </row>
    <row r="63">
      <c r="A63" s="15" t="n"/>
      <c r="B63" s="16" t="n"/>
      <c r="C63" s="16" t="n"/>
      <c r="D63" s="17" t="n"/>
      <c r="E63" s="18">
        <f>IF(A63="","",IF(D63&gt;0,CONCATENATE(LEFT(B63,2),YEAR(A63),"-",TEXT(ROW(),"000")),""))</f>
        <v/>
      </c>
    </row>
    <row r="64">
      <c r="A64" s="15" t="n"/>
      <c r="B64" s="16" t="n"/>
      <c r="C64" s="16" t="n"/>
      <c r="D64" s="17" t="n"/>
      <c r="E64" s="18">
        <f>IF(A64="","",IF(D64&gt;0,CONCATENATE(LEFT(B64,2),YEAR(A64),"-",TEXT(ROW(),"000")),""))</f>
        <v/>
      </c>
    </row>
    <row r="65">
      <c r="A65" s="15" t="n"/>
      <c r="B65" s="16" t="n"/>
      <c r="C65" s="16" t="n"/>
      <c r="D65" s="17" t="n"/>
      <c r="E65" s="18">
        <f>IF(A65="","",IF(D65&gt;0,CONCATENATE(LEFT(B65,2),YEAR(A65),"-",TEXT(ROW(),"000")),""))</f>
        <v/>
      </c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"Transport,Unterkunft,Verpflegung,Material,Sonstiges"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9" customWidth="1" min="4" max="4"/>
  </cols>
  <sheetData>
    <row r="1" ht="32" customHeight="1">
      <c r="A1" s="14" t="inlineStr">
        <is>
          <t>Kategorie</t>
        </is>
      </c>
      <c r="B1" s="14" t="inlineStr">
        <is>
          <t>Artikel</t>
        </is>
      </c>
      <c r="C1" s="14" t="inlineStr">
        <is>
          <t>Menge</t>
        </is>
      </c>
      <c r="D1" s="14" t="inlineStr">
        <is>
          <t>Erledigt</t>
        </is>
      </c>
    </row>
    <row r="2">
      <c r="A2" s="16" t="inlineStr">
        <is>
          <t>Dokumente</t>
        </is>
      </c>
      <c r="B2" s="16" t="inlineStr">
        <is>
          <t>Reisepass</t>
        </is>
      </c>
      <c r="C2" s="19" t="n">
        <v>1</v>
      </c>
      <c r="D2" s="18">
        <f>IF(C2&gt;0, "nein", "")</f>
        <v/>
      </c>
    </row>
    <row r="3">
      <c r="A3" s="16" t="inlineStr">
        <is>
          <t>Dokumente</t>
        </is>
      </c>
      <c r="B3" s="16" t="inlineStr">
        <is>
          <t>Visitenkarten</t>
        </is>
      </c>
      <c r="C3" s="19" t="n">
        <v>20</v>
      </c>
      <c r="D3" s="18">
        <f>IF(C3&gt;0, "nein", "")</f>
        <v/>
      </c>
    </row>
    <row r="4">
      <c r="A4" s="16" t="inlineStr">
        <is>
          <t>Technik</t>
        </is>
      </c>
      <c r="B4" s="16" t="inlineStr">
        <is>
          <t>Ladekabel</t>
        </is>
      </c>
      <c r="C4" s="19" t="n">
        <v>2</v>
      </c>
      <c r="D4" s="18">
        <f>IF(C4&gt;0, "nein", "")</f>
        <v/>
      </c>
    </row>
    <row r="5">
      <c r="A5" s="16" t="inlineStr">
        <is>
          <t>Technik</t>
        </is>
      </c>
      <c r="B5" s="16" t="inlineStr">
        <is>
          <t>Powerbank</t>
        </is>
      </c>
      <c r="C5" s="19" t="n">
        <v>1</v>
      </c>
      <c r="D5" s="18">
        <f>IF(C5&gt;0, "nein", "")</f>
        <v/>
      </c>
    </row>
    <row r="6">
      <c r="A6" s="16" t="n"/>
      <c r="B6" s="16" t="n"/>
      <c r="C6" s="19" t="n"/>
      <c r="D6" s="18">
        <f>IF(A6="","",IF(C6&gt;0, "nein", ""))</f>
        <v/>
      </c>
    </row>
    <row r="7">
      <c r="A7" s="16" t="n"/>
      <c r="B7" s="16" t="n"/>
      <c r="C7" s="19" t="n"/>
      <c r="D7" s="18">
        <f>IF(A7="","",IF(C7&gt;0, "nein", ""))</f>
        <v/>
      </c>
    </row>
    <row r="8">
      <c r="A8" s="16" t="n"/>
      <c r="B8" s="16" t="n"/>
      <c r="C8" s="19" t="n"/>
      <c r="D8" s="18">
        <f>IF(A8="","",IF(C8&gt;0, "nein", ""))</f>
        <v/>
      </c>
    </row>
    <row r="9">
      <c r="A9" s="16" t="n"/>
      <c r="B9" s="16" t="n"/>
      <c r="C9" s="19" t="n"/>
      <c r="D9" s="18">
        <f>IF(A9="","",IF(C9&gt;0, "nein", ""))</f>
        <v/>
      </c>
    </row>
    <row r="10">
      <c r="A10" s="16" t="n"/>
      <c r="B10" s="16" t="n"/>
      <c r="C10" s="19" t="n"/>
      <c r="D10" s="18">
        <f>IF(A10="","",IF(C10&gt;0, "nein", ""))</f>
        <v/>
      </c>
    </row>
    <row r="11">
      <c r="A11" s="16" t="n"/>
      <c r="B11" s="16" t="n"/>
      <c r="C11" s="19" t="n"/>
      <c r="D11" s="18">
        <f>IF(A11="","",IF(C11&gt;0, "nein", ""))</f>
        <v/>
      </c>
    </row>
    <row r="12">
      <c r="A12" s="16" t="n"/>
      <c r="B12" s="16" t="n"/>
      <c r="C12" s="19" t="n"/>
      <c r="D12" s="18">
        <f>IF(A12="","",IF(C12&gt;0, "nein", ""))</f>
        <v/>
      </c>
    </row>
    <row r="13">
      <c r="A13" s="16" t="n"/>
      <c r="B13" s="16" t="n"/>
      <c r="C13" s="19" t="n"/>
      <c r="D13" s="18">
        <f>IF(A13="","",IF(C13&gt;0, "nein", ""))</f>
        <v/>
      </c>
    </row>
    <row r="14">
      <c r="A14" s="16" t="n"/>
      <c r="B14" s="16" t="n"/>
      <c r="C14" s="19" t="n"/>
      <c r="D14" s="18">
        <f>IF(A14="","",IF(C14&gt;0, "nein", ""))</f>
        <v/>
      </c>
    </row>
    <row r="15">
      <c r="A15" s="16" t="n"/>
      <c r="B15" s="16" t="n"/>
      <c r="C15" s="19" t="n"/>
      <c r="D15" s="18">
        <f>IF(A15="","",IF(C15&gt;0, "nein", ""))</f>
        <v/>
      </c>
    </row>
    <row r="16">
      <c r="A16" s="16" t="n"/>
      <c r="B16" s="16" t="n"/>
      <c r="C16" s="19" t="n"/>
      <c r="D16" s="18">
        <f>IF(A16="","",IF(C16&gt;0, "nein", ""))</f>
        <v/>
      </c>
    </row>
    <row r="17">
      <c r="A17" s="16" t="n"/>
      <c r="B17" s="16" t="n"/>
      <c r="C17" s="19" t="n"/>
      <c r="D17" s="18">
        <f>IF(A17="","",IF(C17&gt;0, "nein", ""))</f>
        <v/>
      </c>
    </row>
    <row r="18">
      <c r="A18" s="16" t="n"/>
      <c r="B18" s="16" t="n"/>
      <c r="C18" s="19" t="n"/>
      <c r="D18" s="18">
        <f>IF(A18="","",IF(C18&gt;0, "nein", ""))</f>
        <v/>
      </c>
    </row>
    <row r="19">
      <c r="A19" s="16" t="n"/>
      <c r="B19" s="16" t="n"/>
      <c r="C19" s="19" t="n"/>
      <c r="D19" s="18">
        <f>IF(A19="","",IF(C19&gt;0, "nein", ""))</f>
        <v/>
      </c>
    </row>
    <row r="20">
      <c r="A20" s="16" t="n"/>
      <c r="B20" s="16" t="n"/>
      <c r="C20" s="19" t="n"/>
      <c r="D20" s="18">
        <f>IF(A20="","",IF(C20&gt;0, "nein", ""))</f>
        <v/>
      </c>
    </row>
    <row r="21">
      <c r="A21" s="16" t="n"/>
      <c r="B21" s="16" t="n"/>
      <c r="C21" s="19" t="n"/>
      <c r="D21" s="18">
        <f>IF(A21="","",IF(C21&gt;0, "nein", ""))</f>
        <v/>
      </c>
    </row>
    <row r="22">
      <c r="A22" s="16" t="n"/>
      <c r="B22" s="16" t="n"/>
      <c r="C22" s="19" t="n"/>
      <c r="D22" s="18">
        <f>IF(A22="","",IF(C22&gt;0, "nein", ""))</f>
        <v/>
      </c>
    </row>
    <row r="23">
      <c r="A23" s="16" t="n"/>
      <c r="B23" s="16" t="n"/>
      <c r="C23" s="19" t="n"/>
      <c r="D23" s="18">
        <f>IF(A23="","",IF(C23&gt;0, "nein", ""))</f>
        <v/>
      </c>
    </row>
    <row r="24">
      <c r="A24" s="16" t="n"/>
      <c r="B24" s="16" t="n"/>
      <c r="C24" s="19" t="n"/>
      <c r="D24" s="18">
        <f>IF(A24="","",IF(C24&gt;0, "nein", ""))</f>
        <v/>
      </c>
    </row>
    <row r="25">
      <c r="A25" s="16" t="n"/>
      <c r="B25" s="16" t="n"/>
      <c r="C25" s="19" t="n"/>
      <c r="D25" s="18">
        <f>IF(A25="","",IF(C25&gt;0, "nein", ""))</f>
        <v/>
      </c>
    </row>
    <row r="26">
      <c r="A26" s="16" t="n"/>
      <c r="B26" s="16" t="n"/>
      <c r="C26" s="19" t="n"/>
      <c r="D26" s="18">
        <f>IF(A26="","",IF(C26&gt;0, "nein", ""))</f>
        <v/>
      </c>
    </row>
    <row r="27">
      <c r="A27" s="16" t="n"/>
      <c r="B27" s="16" t="n"/>
      <c r="C27" s="19" t="n"/>
      <c r="D27" s="18">
        <f>IF(A27="","",IF(C27&gt;0, "nein", ""))</f>
        <v/>
      </c>
    </row>
    <row r="28">
      <c r="A28" s="16" t="n"/>
      <c r="B28" s="16" t="n"/>
      <c r="C28" s="19" t="n"/>
      <c r="D28" s="18">
        <f>IF(A28="","",IF(C28&gt;0, "nein", ""))</f>
        <v/>
      </c>
    </row>
    <row r="29">
      <c r="A29" s="16" t="n"/>
      <c r="B29" s="16" t="n"/>
      <c r="C29" s="19" t="n"/>
      <c r="D29" s="18">
        <f>IF(A29="","",IF(C29&gt;0, "nein", ""))</f>
        <v/>
      </c>
    </row>
    <row r="30">
      <c r="A30" s="16" t="n"/>
      <c r="B30" s="16" t="n"/>
      <c r="C30" s="19" t="n"/>
      <c r="D30" s="18">
        <f>IF(A30="","",IF(C30&gt;0, "nein", ""))</f>
        <v/>
      </c>
    </row>
    <row r="31">
      <c r="A31" s="16" t="n"/>
      <c r="B31" s="16" t="n"/>
      <c r="C31" s="19" t="n"/>
      <c r="D31" s="18">
        <f>IF(A31="","",IF(C31&gt;0, "nein", ""))</f>
        <v/>
      </c>
    </row>
    <row r="32">
      <c r="A32" s="16" t="n"/>
      <c r="B32" s="16" t="n"/>
      <c r="C32" s="19" t="n"/>
      <c r="D32" s="18">
        <f>IF(A32="","",IF(C32&gt;0, "nein", ""))</f>
        <v/>
      </c>
    </row>
    <row r="33">
      <c r="A33" s="16" t="n"/>
      <c r="B33" s="16" t="n"/>
      <c r="C33" s="19" t="n"/>
      <c r="D33" s="18">
        <f>IF(A33="","",IF(C33&gt;0, "nein", ""))</f>
        <v/>
      </c>
    </row>
    <row r="34">
      <c r="A34" s="16" t="n"/>
      <c r="B34" s="16" t="n"/>
      <c r="C34" s="19" t="n"/>
      <c r="D34" s="18">
        <f>IF(A34="","",IF(C34&gt;0, "nein", ""))</f>
        <v/>
      </c>
    </row>
    <row r="35">
      <c r="A35" s="16" t="n"/>
      <c r="B35" s="16" t="n"/>
      <c r="C35" s="19" t="n"/>
      <c r="D35" s="18">
        <f>IF(A35="","",IF(C35&gt;0, "nein", ""))</f>
        <v/>
      </c>
    </row>
    <row r="36">
      <c r="A36" s="16" t="n"/>
      <c r="B36" s="16" t="n"/>
      <c r="C36" s="19" t="n"/>
      <c r="D36" s="18">
        <f>IF(A36="","",IF(C36&gt;0, "nein", ""))</f>
        <v/>
      </c>
    </row>
    <row r="37">
      <c r="A37" s="16" t="n"/>
      <c r="B37" s="16" t="n"/>
      <c r="C37" s="19" t="n"/>
      <c r="D37" s="18">
        <f>IF(A37="","",IF(C37&gt;0, "nein", ""))</f>
        <v/>
      </c>
    </row>
    <row r="38">
      <c r="A38" s="16" t="n"/>
      <c r="B38" s="16" t="n"/>
      <c r="C38" s="19" t="n"/>
      <c r="D38" s="18">
        <f>IF(A38="","",IF(C38&gt;0, "nein", ""))</f>
        <v/>
      </c>
    </row>
    <row r="39">
      <c r="A39" s="16" t="n"/>
      <c r="B39" s="16" t="n"/>
      <c r="C39" s="19" t="n"/>
      <c r="D39" s="18">
        <f>IF(A39="","",IF(C39&gt;0, "nein", ""))</f>
        <v/>
      </c>
    </row>
    <row r="40">
      <c r="A40" s="16" t="n"/>
      <c r="B40" s="16" t="n"/>
      <c r="C40" s="19" t="n"/>
      <c r="D40" s="18">
        <f>IF(A40="","",IF(C40&gt;0, "nein", ""))</f>
        <v/>
      </c>
    </row>
    <row r="41">
      <c r="A41" s="16" t="n"/>
      <c r="B41" s="16" t="n"/>
      <c r="C41" s="19" t="n"/>
      <c r="D41" s="18">
        <f>IF(A41="","",IF(C41&gt;0, "nein", ""))</f>
        <v/>
      </c>
    </row>
    <row r="42">
      <c r="A42" s="16" t="n"/>
      <c r="B42" s="16" t="n"/>
      <c r="C42" s="19" t="n"/>
      <c r="D42" s="18">
        <f>IF(A42="","",IF(C42&gt;0, "nein", ""))</f>
        <v/>
      </c>
    </row>
    <row r="43">
      <c r="A43" s="16" t="n"/>
      <c r="B43" s="16" t="n"/>
      <c r="C43" s="19" t="n"/>
      <c r="D43" s="18">
        <f>IF(A43="","",IF(C43&gt;0, "nein", ""))</f>
        <v/>
      </c>
    </row>
    <row r="44">
      <c r="A44" s="16" t="n"/>
      <c r="B44" s="16" t="n"/>
      <c r="C44" s="19" t="n"/>
      <c r="D44" s="18">
        <f>IF(A44="","",IF(C44&gt;0, "nein", ""))</f>
        <v/>
      </c>
    </row>
    <row r="45">
      <c r="A45" s="16" t="n"/>
      <c r="B45" s="16" t="n"/>
      <c r="C45" s="19" t="n"/>
      <c r="D45" s="18">
        <f>IF(A45="","",IF(C45&gt;0, "nein", ""))</f>
        <v/>
      </c>
    </row>
  </sheetData>
  <conditionalFormatting sqref="C2:C45">
    <cfRule type="cellIs" priority="1" operator="lessThan" dxfId="0">
      <formula>0</formula>
    </cfRule>
  </conditionalFormatting>
  <dataValidations count="1">
    <dataValidation sqref="A2:A45" showDropDown="0" showInputMessage="0" showErrorMessage="0" allowBlank="1" type="list">
      <formula1>"Dokumente,Kleidung,Technik,Hygiène,Büro"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9" customWidth="1" min="4" max="4"/>
    <col width="18" customWidth="1" min="5" max="5"/>
    <col width="14" customWidth="1" min="6" max="6"/>
  </cols>
  <sheetData>
    <row r="1" ht="32" customHeight="1">
      <c r="A1" s="14" t="inlineStr">
        <is>
          <t>Datum</t>
        </is>
      </c>
      <c r="B1" s="14" t="inlineStr">
        <is>
          <t>Uhrzeit</t>
        </is>
      </c>
      <c r="C1" s="14" t="inlineStr">
        <is>
          <t>Von</t>
        </is>
      </c>
      <c r="D1" s="14" t="inlineStr">
        <is>
          <t>Nach</t>
        </is>
      </c>
      <c r="E1" s="14" t="inlineStr">
        <is>
          <t>Transportmittel</t>
        </is>
      </c>
      <c r="F1" s="14" t="inlineStr">
        <is>
          <t>Dauer (min)</t>
        </is>
      </c>
    </row>
    <row r="2">
      <c r="A2" s="15" t="n">
        <v>46096</v>
      </c>
      <c r="B2" s="16" t="inlineStr">
        <is>
          <t>09:00</t>
        </is>
      </c>
      <c r="C2" s="16" t="inlineStr">
        <is>
          <t>Frankfurt Hbf</t>
        </is>
      </c>
      <c r="D2" s="16" t="inlineStr">
        <is>
          <t>Messe Frankfurt</t>
        </is>
      </c>
      <c r="E2" s="16" t="inlineStr">
        <is>
          <t>S-Bahn</t>
        </is>
      </c>
      <c r="F2" s="20" t="n">
        <v>12</v>
      </c>
    </row>
    <row r="3">
      <c r="A3" s="15" t="n">
        <v>46096</v>
      </c>
      <c r="B3" s="16" t="inlineStr">
        <is>
          <t>12:30</t>
        </is>
      </c>
      <c r="C3" s="16" t="inlineStr">
        <is>
          <t>Messe</t>
        </is>
      </c>
      <c r="D3" s="16" t="inlineStr">
        <is>
          <t>Wiesbaden Biebricher Allee</t>
        </is>
      </c>
      <c r="E3" s="16" t="inlineStr">
        <is>
          <t>Taxi</t>
        </is>
      </c>
      <c r="F3" s="20" t="n">
        <v>25</v>
      </c>
    </row>
    <row r="4">
      <c r="A4" s="15" t="n">
        <v>46097</v>
      </c>
      <c r="B4" s="16" t="inlineStr">
        <is>
          <t>08:45</t>
        </is>
      </c>
      <c r="C4" s="16" t="inlineStr">
        <is>
          <t>Hotel</t>
        </is>
      </c>
      <c r="D4" s="16" t="inlineStr">
        <is>
          <t>Mainz Hbf</t>
        </is>
      </c>
      <c r="E4" s="16" t="inlineStr">
        <is>
          <t>Tram</t>
        </is>
      </c>
      <c r="F4" s="20" t="n">
        <v>18</v>
      </c>
    </row>
    <row r="5">
      <c r="A5" s="15" t="n"/>
      <c r="B5" s="16" t="n"/>
      <c r="C5" s="16" t="n"/>
      <c r="D5" s="16" t="n"/>
      <c r="E5" s="16" t="n"/>
      <c r="F5" s="20" t="n"/>
    </row>
    <row r="6">
      <c r="A6" s="15" t="n"/>
      <c r="B6" s="16" t="n"/>
      <c r="C6" s="16" t="n"/>
      <c r="D6" s="16" t="n"/>
      <c r="E6" s="16" t="n"/>
      <c r="F6" s="20" t="n"/>
    </row>
    <row r="7">
      <c r="A7" s="15" t="n"/>
      <c r="B7" s="16" t="n"/>
      <c r="C7" s="16" t="n"/>
      <c r="D7" s="16" t="n"/>
      <c r="E7" s="16" t="n"/>
      <c r="F7" s="20" t="n"/>
    </row>
    <row r="8">
      <c r="A8" s="15" t="n"/>
      <c r="B8" s="16" t="n"/>
      <c r="C8" s="16" t="n"/>
      <c r="D8" s="16" t="n"/>
      <c r="E8" s="16" t="n"/>
      <c r="F8" s="20" t="n"/>
    </row>
    <row r="9">
      <c r="A9" s="15" t="n"/>
      <c r="B9" s="16" t="n"/>
      <c r="C9" s="16" t="n"/>
      <c r="D9" s="16" t="n"/>
      <c r="E9" s="16" t="n"/>
      <c r="F9" s="20" t="n"/>
    </row>
    <row r="10">
      <c r="A10" s="15" t="n"/>
      <c r="B10" s="16" t="n"/>
      <c r="C10" s="16" t="n"/>
      <c r="D10" s="16" t="n"/>
      <c r="E10" s="16" t="n"/>
      <c r="F10" s="20" t="n"/>
    </row>
    <row r="11">
      <c r="A11" s="15" t="n"/>
      <c r="B11" s="16" t="n"/>
      <c r="C11" s="16" t="n"/>
      <c r="D11" s="16" t="n"/>
      <c r="E11" s="16" t="n"/>
      <c r="F11" s="20" t="n"/>
    </row>
    <row r="12">
      <c r="A12" s="15" t="n"/>
      <c r="B12" s="16" t="n"/>
      <c r="C12" s="16" t="n"/>
      <c r="D12" s="16" t="n"/>
      <c r="E12" s="16" t="n"/>
      <c r="F12" s="20" t="n"/>
    </row>
    <row r="13">
      <c r="A13" s="15" t="n"/>
      <c r="B13" s="16" t="n"/>
      <c r="C13" s="16" t="n"/>
      <c r="D13" s="16" t="n"/>
      <c r="E13" s="16" t="n"/>
      <c r="F13" s="20" t="n"/>
    </row>
    <row r="14">
      <c r="A14" s="15" t="n"/>
      <c r="B14" s="16" t="n"/>
      <c r="C14" s="16" t="n"/>
      <c r="D14" s="16" t="n"/>
      <c r="E14" s="16" t="n"/>
      <c r="F14" s="20" t="n"/>
    </row>
    <row r="15">
      <c r="A15" s="15" t="n"/>
      <c r="B15" s="16" t="n"/>
      <c r="C15" s="16" t="n"/>
      <c r="D15" s="16" t="n"/>
      <c r="E15" s="16" t="n"/>
      <c r="F15" s="20" t="n"/>
    </row>
    <row r="16">
      <c r="A16" s="15" t="n"/>
      <c r="B16" s="16" t="n"/>
      <c r="C16" s="16" t="n"/>
      <c r="D16" s="16" t="n"/>
      <c r="E16" s="16" t="n"/>
      <c r="F16" s="20" t="n"/>
    </row>
    <row r="17">
      <c r="A17" s="15" t="n"/>
      <c r="B17" s="16" t="n"/>
      <c r="C17" s="16" t="n"/>
      <c r="D17" s="16" t="n"/>
      <c r="E17" s="16" t="n"/>
      <c r="F17" s="20" t="n"/>
    </row>
    <row r="18">
      <c r="A18" s="15" t="n"/>
      <c r="B18" s="16" t="n"/>
      <c r="C18" s="16" t="n"/>
      <c r="D18" s="16" t="n"/>
      <c r="E18" s="16" t="n"/>
      <c r="F18" s="20" t="n"/>
    </row>
    <row r="19">
      <c r="A19" s="15" t="n"/>
      <c r="B19" s="16" t="n"/>
      <c r="C19" s="16" t="n"/>
      <c r="D19" s="16" t="n"/>
      <c r="E19" s="16" t="n"/>
      <c r="F19" s="20" t="n"/>
    </row>
    <row r="20">
      <c r="A20" s="15" t="n"/>
      <c r="B20" s="16" t="n"/>
      <c r="C20" s="16" t="n"/>
      <c r="D20" s="16" t="n"/>
      <c r="E20" s="16" t="n"/>
      <c r="F20" s="20" t="n"/>
    </row>
    <row r="21">
      <c r="A21" s="15" t="n"/>
      <c r="B21" s="16" t="n"/>
      <c r="C21" s="16" t="n"/>
      <c r="D21" s="16" t="n"/>
      <c r="E21" s="16" t="n"/>
      <c r="F21" s="20" t="n"/>
    </row>
    <row r="22">
      <c r="A22" s="15" t="n"/>
      <c r="B22" s="16" t="n"/>
      <c r="C22" s="16" t="n"/>
      <c r="D22" s="16" t="n"/>
      <c r="E22" s="16" t="n"/>
      <c r="F22" s="20" t="n"/>
    </row>
    <row r="23">
      <c r="A23" s="15" t="n"/>
      <c r="B23" s="16" t="n"/>
      <c r="C23" s="16" t="n"/>
      <c r="D23" s="16" t="n"/>
      <c r="E23" s="16" t="n"/>
      <c r="F23" s="20" t="n"/>
    </row>
    <row r="24">
      <c r="A24" s="15" t="n"/>
      <c r="B24" s="16" t="n"/>
      <c r="C24" s="16" t="n"/>
      <c r="D24" s="16" t="n"/>
      <c r="E24" s="16" t="n"/>
      <c r="F24" s="20" t="n"/>
    </row>
    <row r="25">
      <c r="A25" s="15" t="n"/>
      <c r="B25" s="16" t="n"/>
      <c r="C25" s="16" t="n"/>
      <c r="D25" s="16" t="n"/>
      <c r="E25" s="16" t="n"/>
      <c r="F25" s="20" t="n"/>
    </row>
    <row r="26">
      <c r="A26" s="15" t="n"/>
      <c r="B26" s="16" t="n"/>
      <c r="C26" s="16" t="n"/>
      <c r="D26" s="16" t="n"/>
      <c r="E26" s="16" t="n"/>
      <c r="F26" s="20" t="n"/>
    </row>
    <row r="27">
      <c r="A27" s="15" t="n"/>
      <c r="B27" s="16" t="n"/>
      <c r="C27" s="16" t="n"/>
      <c r="D27" s="16" t="n"/>
      <c r="E27" s="16" t="n"/>
      <c r="F27" s="20" t="n"/>
    </row>
    <row r="28">
      <c r="A28" s="15" t="n"/>
      <c r="B28" s="16" t="n"/>
      <c r="C28" s="16" t="n"/>
      <c r="D28" s="16" t="n"/>
      <c r="E28" s="16" t="n"/>
      <c r="F28" s="20" t="n"/>
    </row>
    <row r="29">
      <c r="A29" s="15" t="n"/>
      <c r="B29" s="16" t="n"/>
      <c r="C29" s="16" t="n"/>
      <c r="D29" s="16" t="n"/>
      <c r="E29" s="16" t="n"/>
      <c r="F29" s="20" t="n"/>
    </row>
    <row r="30">
      <c r="A30" s="15" t="n"/>
      <c r="B30" s="16" t="n"/>
      <c r="C30" s="16" t="n"/>
      <c r="D30" s="16" t="n"/>
      <c r="E30" s="16" t="n"/>
      <c r="F30" s="20" t="n"/>
    </row>
    <row r="31">
      <c r="A31" s="15" t="n"/>
      <c r="B31" s="16" t="n"/>
      <c r="C31" s="16" t="n"/>
      <c r="D31" s="16" t="n"/>
      <c r="E31" s="16" t="n"/>
      <c r="F31" s="20" t="n"/>
    </row>
    <row r="32">
      <c r="A32" s="15" t="n"/>
      <c r="B32" s="16" t="n"/>
      <c r="C32" s="16" t="n"/>
      <c r="D32" s="16" t="n"/>
      <c r="E32" s="16" t="n"/>
      <c r="F32" s="20" t="n"/>
    </row>
    <row r="33">
      <c r="A33" s="15" t="n"/>
      <c r="B33" s="16" t="n"/>
      <c r="C33" s="16" t="n"/>
      <c r="D33" s="16" t="n"/>
      <c r="E33" s="16" t="n"/>
      <c r="F33" s="20" t="n"/>
    </row>
    <row r="34">
      <c r="A34" s="15" t="n"/>
      <c r="B34" s="16" t="n"/>
      <c r="C34" s="16" t="n"/>
      <c r="D34" s="16" t="n"/>
      <c r="E34" s="16" t="n"/>
      <c r="F34" s="20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Business-Reiseplaner: Budget, Packliste &amp; Routenoptimierung</dc:title>
  <dcterms:created xsi:type="dcterms:W3CDTF">2026-10-26T15:19:49Z</dcterms:created>
  <dcterms:modified xsi:type="dcterms:W3CDTF">2026-10-26T15:19:49Z</dcterms:modified>
</cp:coreProperties>
</file>