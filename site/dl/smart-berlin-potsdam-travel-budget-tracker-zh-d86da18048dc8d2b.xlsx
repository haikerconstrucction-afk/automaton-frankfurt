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每日记录" sheetId="3" state="visible" r:id="rId3"/>
    <sheet name="活动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消费类型占比分析</a:t>
            </a:r>
          </a:p>
        </rich>
      </tx>
    </title>
    <plotArea>
      <pieChart>
        <varyColors val="1"/>
        <ser>
          <idx val="0"/>
          <order val="0"/>
          <tx>
            <strRef>
              <f>'每日记录'!F1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'每日记录'!$B$2:$B$5</f>
            </numRef>
          </cat>
          <val>
            <numRef>
              <f>'每日记录'!$F$2:$F$5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489" displayName="T______2489" ref="A1:F95" headerRowCount="1">
  <autoFilter ref="A1:F95"/>
  <tableColumns count="6">
    <tableColumn id="1" name="日期"/>
    <tableColumn id="2" name="消费类型"/>
    <tableColumn id="3" name="项目"/>
    <tableColumn id="4" name="数量"/>
    <tableColumn id="5" name="单价"/>
    <tableColumn id="6" name="小计"/>
  </tableColumns>
  <tableStyleInfo name="TableStyleMedium7" showRowStripes="1"/>
</table>
</file>

<file path=xl/tables/table2.xml><?xml version="1.0" encoding="utf-8"?>
<table xmlns="http://schemas.openxmlformats.org/spreadsheetml/2006/main" id="2" name="T______3839" displayName="T______3839" ref="A1:F33" headerRowCount="1">
  <autoFilter ref="A1:F33"/>
  <tableColumns count="6">
    <tableColumn id="1" name="日期"/>
    <tableColumn id="2" name="时间段"/>
    <tableColumn id="3" name="活动名称"/>
    <tableColumn id="4" name="预计花费"/>
    <tableColumn id="5" name="实际花费"/>
    <tableColumn id="6" name="差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7599;&#26085;&#35760;&#24405;'!A1" TargetMode="External" Id="rId2" /><Relationship Type="http://schemas.openxmlformats.org/officeDocument/2006/relationships/hyperlink" Target="#'&#27963;&#21160;&#35745;&#2101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智能柏林与波茨坦旅行预算追踪器 - 专业技能向导版</t>
        </is>
      </c>
    </row>
    <row r="3" ht="45" customHeight="1">
      <c r="C3" s="2" t="inlineStr">
        <is>
          <t>专业级旅行预算管理系统，实时掌握开销并对未来花费进行智能预测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在「每日记录」表填写基础开销</t>
        </is>
      </c>
    </row>
    <row r="7" ht="18" customHeight="1">
      <c r="B7" s="4" t="inlineStr">
        <is>
          <t>2.</t>
        </is>
      </c>
      <c r="C7" s="5" t="inlineStr">
        <is>
          <t>在「活动计划」表预登记行程项目</t>
        </is>
      </c>
    </row>
    <row r="8" ht="18" customHeight="1">
      <c r="B8" s="4" t="inlineStr">
        <is>
          <t>3.</t>
        </is>
      </c>
      <c r="C8" s="5" t="inlineStr">
        <is>
          <t>实时查看仪表盘的总预算消耗情况</t>
        </is>
      </c>
    </row>
    <row r="9" ht="18" customHeight="1">
      <c r="B9" s="4" t="inlineStr">
        <is>
          <t>4.</t>
        </is>
      </c>
      <c r="C9" s="5" t="inlineStr">
        <is>
          <t>参考预警系统调整后续行程安排</t>
        </is>
      </c>
    </row>
    <row r="10" ht="18" customHeight="1">
      <c r="B10" s="4" t="inlineStr">
        <is>
          <t>5.</t>
        </is>
      </c>
      <c r="C10" s="5" t="inlineStr">
        <is>
          <t>导出最终报表作为报销凭证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每日记录</t>
        </is>
      </c>
    </row>
    <row r="17">
      <c r="C17" s="7" t="inlineStr">
        <is>
          <t>→ 活动计划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智能柏林与波茨坦旅行预算追踪器 - 专业技能向导版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总花费</t>
        </is>
      </c>
      <c r="C5" s="12">
        <f>SUM('每日记录'!F2:F100)+SUM('活动计划'!E2:E50)</f>
        <v/>
      </c>
    </row>
    <row r="6" ht="24" customHeight="1">
      <c r="B6" s="11" t="inlineStr">
        <is>
          <t>超支项目</t>
        </is>
      </c>
      <c r="C6" s="13">
        <f>COUNTIF('活动计划'!F2:F50,"&gt;0")</f>
        <v/>
      </c>
    </row>
    <row r="7" ht="24" customHeight="1">
      <c r="B7" s="11" t="inlineStr">
        <is>
          <t>最高消费类别</t>
        </is>
      </c>
      <c r="C7" s="14">
        <f>INDEX('每日记录'!B2:B100,MATCH(MAX('每日记录'!F2:F100),'每日记录'!F2:F100,0))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日期</t>
        </is>
      </c>
      <c r="B1" s="15" t="inlineStr">
        <is>
          <t>消费类型</t>
        </is>
      </c>
      <c r="C1" s="15" t="inlineStr">
        <is>
          <t>项目</t>
        </is>
      </c>
      <c r="D1" s="15" t="inlineStr">
        <is>
          <t>数量</t>
        </is>
      </c>
      <c r="E1" s="15" t="inlineStr">
        <is>
          <t>单价</t>
        </is>
      </c>
      <c r="F1" s="15" t="inlineStr">
        <is>
          <t>小计</t>
        </is>
      </c>
    </row>
    <row r="2">
      <c r="A2" s="16" t="n">
        <v>46096</v>
      </c>
      <c r="B2" s="17" t="inlineStr">
        <is>
          <t>交通</t>
        </is>
      </c>
      <c r="C2" s="17" t="inlineStr">
        <is>
          <t>柏林欢迎卡</t>
        </is>
      </c>
      <c r="D2" s="18" t="n">
        <v>1</v>
      </c>
      <c r="E2" s="19" t="n">
        <v>45</v>
      </c>
      <c r="F2" s="20">
        <f>D2*E2</f>
        <v/>
      </c>
    </row>
    <row r="3">
      <c r="A3" s="16" t="n">
        <v>46097</v>
      </c>
      <c r="B3" s="17" t="inlineStr">
        <is>
          <t>餐饮</t>
        </is>
      </c>
      <c r="C3" s="17" t="inlineStr">
        <is>
          <t>博物馆岛午餐</t>
        </is>
      </c>
      <c r="D3" s="18" t="n">
        <v>2</v>
      </c>
      <c r="E3" s="19" t="n">
        <v>18.5</v>
      </c>
      <c r="F3" s="20">
        <f>D3*E3</f>
        <v/>
      </c>
    </row>
    <row r="4">
      <c r="A4" s="16" t="n">
        <v>46097</v>
      </c>
      <c r="B4" s="17" t="inlineStr">
        <is>
          <t>门票</t>
        </is>
      </c>
      <c r="C4" s="17" t="inlineStr">
        <is>
          <t>佩加蒙博物馆</t>
        </is>
      </c>
      <c r="D4" s="18" t="n">
        <v>1</v>
      </c>
      <c r="E4" s="19" t="n">
        <v>12</v>
      </c>
      <c r="F4" s="20">
        <f>D4*E4</f>
        <v/>
      </c>
    </row>
    <row r="5">
      <c r="A5" s="16" t="n">
        <v>46098</v>
      </c>
      <c r="B5" s="17" t="inlineStr">
        <is>
          <t>交通</t>
        </is>
      </c>
      <c r="C5" s="17" t="inlineStr">
        <is>
          <t>波茨坦一日票</t>
        </is>
      </c>
      <c r="D5" s="18" t="n">
        <v>2</v>
      </c>
      <c r="E5" s="19" t="n">
        <v>22</v>
      </c>
      <c r="F5" s="20">
        <f>D5*E5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  <row r="70">
      <c r="A70" s="16" t="n"/>
      <c r="B70" s="17" t="n"/>
      <c r="C70" s="17" t="n"/>
      <c r="D70" s="18" t="n"/>
      <c r="E70" s="19" t="n"/>
      <c r="F70" s="20">
        <f>IF(A70="","",D70*E70)</f>
        <v/>
      </c>
    </row>
    <row r="71">
      <c r="A71" s="16" t="n"/>
      <c r="B71" s="17" t="n"/>
      <c r="C71" s="17" t="n"/>
      <c r="D71" s="18" t="n"/>
      <c r="E71" s="19" t="n"/>
      <c r="F71" s="20">
        <f>IF(A71="","",D71*E71)</f>
        <v/>
      </c>
    </row>
    <row r="72">
      <c r="A72" s="16" t="n"/>
      <c r="B72" s="17" t="n"/>
      <c r="C72" s="17" t="n"/>
      <c r="D72" s="18" t="n"/>
      <c r="E72" s="19" t="n"/>
      <c r="F72" s="20">
        <f>IF(A72="","",D72*E72)</f>
        <v/>
      </c>
    </row>
    <row r="73">
      <c r="A73" s="16" t="n"/>
      <c r="B73" s="17" t="n"/>
      <c r="C73" s="17" t="n"/>
      <c r="D73" s="18" t="n"/>
      <c r="E73" s="19" t="n"/>
      <c r="F73" s="20">
        <f>IF(A73="","",D73*E73)</f>
        <v/>
      </c>
    </row>
    <row r="74">
      <c r="A74" s="16" t="n"/>
      <c r="B74" s="17" t="n"/>
      <c r="C74" s="17" t="n"/>
      <c r="D74" s="18" t="n"/>
      <c r="E74" s="19" t="n"/>
      <c r="F74" s="20">
        <f>IF(A74="","",D74*E74)</f>
        <v/>
      </c>
    </row>
    <row r="75">
      <c r="A75" s="16" t="n"/>
      <c r="B75" s="17" t="n"/>
      <c r="C75" s="17" t="n"/>
      <c r="D75" s="18" t="n"/>
      <c r="E75" s="19" t="n"/>
      <c r="F75" s="20">
        <f>IF(A75="","",D75*E75)</f>
        <v/>
      </c>
    </row>
    <row r="76">
      <c r="A76" s="16" t="n"/>
      <c r="B76" s="17" t="n"/>
      <c r="C76" s="17" t="n"/>
      <c r="D76" s="18" t="n"/>
      <c r="E76" s="19" t="n"/>
      <c r="F76" s="20">
        <f>IF(A76="","",D76*E76)</f>
        <v/>
      </c>
    </row>
    <row r="77">
      <c r="A77" s="16" t="n"/>
      <c r="B77" s="17" t="n"/>
      <c r="C77" s="17" t="n"/>
      <c r="D77" s="18" t="n"/>
      <c r="E77" s="19" t="n"/>
      <c r="F77" s="20">
        <f>IF(A77="","",D77*E77)</f>
        <v/>
      </c>
    </row>
    <row r="78">
      <c r="A78" s="16" t="n"/>
      <c r="B78" s="17" t="n"/>
      <c r="C78" s="17" t="n"/>
      <c r="D78" s="18" t="n"/>
      <c r="E78" s="19" t="n"/>
      <c r="F78" s="20">
        <f>IF(A78="","",D78*E78)</f>
        <v/>
      </c>
    </row>
    <row r="79">
      <c r="A79" s="16" t="n"/>
      <c r="B79" s="17" t="n"/>
      <c r="C79" s="17" t="n"/>
      <c r="D79" s="18" t="n"/>
      <c r="E79" s="19" t="n"/>
      <c r="F79" s="20">
        <f>IF(A79="","",D79*E79)</f>
        <v/>
      </c>
    </row>
    <row r="80">
      <c r="A80" s="16" t="n"/>
      <c r="B80" s="17" t="n"/>
      <c r="C80" s="17" t="n"/>
      <c r="D80" s="18" t="n"/>
      <c r="E80" s="19" t="n"/>
      <c r="F80" s="20">
        <f>IF(A80="","",D80*E80)</f>
        <v/>
      </c>
    </row>
    <row r="81">
      <c r="A81" s="16" t="n"/>
      <c r="B81" s="17" t="n"/>
      <c r="C81" s="17" t="n"/>
      <c r="D81" s="18" t="n"/>
      <c r="E81" s="19" t="n"/>
      <c r="F81" s="20">
        <f>IF(A81="","",D81*E81)</f>
        <v/>
      </c>
    </row>
    <row r="82">
      <c r="A82" s="16" t="n"/>
      <c r="B82" s="17" t="n"/>
      <c r="C82" s="17" t="n"/>
      <c r="D82" s="18" t="n"/>
      <c r="E82" s="19" t="n"/>
      <c r="F82" s="20">
        <f>IF(A82="","",D82*E82)</f>
        <v/>
      </c>
    </row>
    <row r="83">
      <c r="A83" s="16" t="n"/>
      <c r="B83" s="17" t="n"/>
      <c r="C83" s="17" t="n"/>
      <c r="D83" s="18" t="n"/>
      <c r="E83" s="19" t="n"/>
      <c r="F83" s="20">
        <f>IF(A83="","",D83*E83)</f>
        <v/>
      </c>
    </row>
    <row r="84">
      <c r="A84" s="16" t="n"/>
      <c r="B84" s="17" t="n"/>
      <c r="C84" s="17" t="n"/>
      <c r="D84" s="18" t="n"/>
      <c r="E84" s="19" t="n"/>
      <c r="F84" s="20">
        <f>IF(A84="","",D84*E84)</f>
        <v/>
      </c>
    </row>
    <row r="85">
      <c r="A85" s="16" t="n"/>
      <c r="B85" s="17" t="n"/>
      <c r="C85" s="17" t="n"/>
      <c r="D85" s="18" t="n"/>
      <c r="E85" s="19" t="n"/>
      <c r="F85" s="20">
        <f>IF(A85="","",D85*E85)</f>
        <v/>
      </c>
    </row>
    <row r="86">
      <c r="A86" s="16" t="n"/>
      <c r="B86" s="17" t="n"/>
      <c r="C86" s="17" t="n"/>
      <c r="D86" s="18" t="n"/>
      <c r="E86" s="19" t="n"/>
      <c r="F86" s="20">
        <f>IF(A86="","",D86*E86)</f>
        <v/>
      </c>
    </row>
    <row r="87">
      <c r="A87" s="16" t="n"/>
      <c r="B87" s="17" t="n"/>
      <c r="C87" s="17" t="n"/>
      <c r="D87" s="18" t="n"/>
      <c r="E87" s="19" t="n"/>
      <c r="F87" s="20">
        <f>IF(A87="","",D87*E87)</f>
        <v/>
      </c>
    </row>
    <row r="88">
      <c r="A88" s="16" t="n"/>
      <c r="B88" s="17" t="n"/>
      <c r="C88" s="17" t="n"/>
      <c r="D88" s="18" t="n"/>
      <c r="E88" s="19" t="n"/>
      <c r="F88" s="20">
        <f>IF(A88="","",D88*E88)</f>
        <v/>
      </c>
    </row>
    <row r="89">
      <c r="A89" s="16" t="n"/>
      <c r="B89" s="17" t="n"/>
      <c r="C89" s="17" t="n"/>
      <c r="D89" s="18" t="n"/>
      <c r="E89" s="19" t="n"/>
      <c r="F89" s="20">
        <f>IF(A89="","",D89*E89)</f>
        <v/>
      </c>
    </row>
    <row r="90">
      <c r="A90" s="16" t="n"/>
      <c r="B90" s="17" t="n"/>
      <c r="C90" s="17" t="n"/>
      <c r="D90" s="18" t="n"/>
      <c r="E90" s="19" t="n"/>
      <c r="F90" s="20">
        <f>IF(A90="","",D90*E90)</f>
        <v/>
      </c>
    </row>
    <row r="91">
      <c r="A91" s="16" t="n"/>
      <c r="B91" s="17" t="n"/>
      <c r="C91" s="17" t="n"/>
      <c r="D91" s="18" t="n"/>
      <c r="E91" s="19" t="n"/>
      <c r="F91" s="20">
        <f>IF(A91="","",D91*E91)</f>
        <v/>
      </c>
    </row>
    <row r="92">
      <c r="A92" s="16" t="n"/>
      <c r="B92" s="17" t="n"/>
      <c r="C92" s="17" t="n"/>
      <c r="D92" s="18" t="n"/>
      <c r="E92" s="19" t="n"/>
      <c r="F92" s="20">
        <f>IF(A92="","",D92*E92)</f>
        <v/>
      </c>
    </row>
    <row r="93">
      <c r="A93" s="16" t="n"/>
      <c r="B93" s="17" t="n"/>
      <c r="C93" s="17" t="n"/>
      <c r="D93" s="18" t="n"/>
      <c r="E93" s="19" t="n"/>
      <c r="F93" s="20">
        <f>IF(A93="","",D93*E93)</f>
        <v/>
      </c>
    </row>
    <row r="94">
      <c r="A94" s="16" t="n"/>
      <c r="B94" s="17" t="n"/>
      <c r="C94" s="17" t="n"/>
      <c r="D94" s="18" t="n"/>
      <c r="E94" s="19" t="n"/>
      <c r="F94" s="20">
        <f>IF(A94="","",D94*E94)</f>
        <v/>
      </c>
    </row>
    <row r="95">
      <c r="A95" s="16" t="n"/>
      <c r="B95" s="17" t="n"/>
      <c r="C95" s="17" t="n"/>
      <c r="D95" s="18" t="n"/>
      <c r="E95" s="19" t="n"/>
      <c r="F95" s="20">
        <f>IF(A95="","",D95*E95)</f>
        <v/>
      </c>
    </row>
  </sheetData>
  <conditionalFormatting sqref="D2:D95">
    <cfRule type="cellIs" priority="1" operator="lessThan" dxfId="0">
      <formula>0</formula>
    </cfRule>
  </conditionalFormatting>
  <conditionalFormatting sqref="E2:E95">
    <cfRule type="cellIs" priority="2" operator="lessThan" dxfId="0">
      <formula>0</formula>
    </cfRule>
  </conditionalFormatting>
  <conditionalFormatting sqref="F2:F95">
    <cfRule type="cellIs" priority="3" operator="lessThan" dxfId="0">
      <formula>0</formula>
    </cfRule>
  </conditionalFormatting>
  <dataValidations count="1">
    <dataValidation sqref="B2:B95" showDropDown="0" showInputMessage="0" showErrorMessage="0" allowBlank="1" type="list">
      <formula1>"交通,住宿,餐饮,门票,购物,其他"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日期</t>
        </is>
      </c>
      <c r="B1" s="15" t="inlineStr">
        <is>
          <t>时间段</t>
        </is>
      </c>
      <c r="C1" s="15" t="inlineStr">
        <is>
          <t>活动名称</t>
        </is>
      </c>
      <c r="D1" s="15" t="inlineStr">
        <is>
          <t>预计花费</t>
        </is>
      </c>
      <c r="E1" s="15" t="inlineStr">
        <is>
          <t>实际花费</t>
        </is>
      </c>
      <c r="F1" s="15" t="inlineStr">
        <is>
          <t>差额</t>
        </is>
      </c>
    </row>
    <row r="2">
      <c r="A2" s="16" t="n">
        <v>46099</v>
      </c>
      <c r="B2" s="17" t="inlineStr">
        <is>
          <t>上午</t>
        </is>
      </c>
      <c r="C2" s="17" t="inlineStr">
        <is>
          <t>无忧宫游览</t>
        </is>
      </c>
      <c r="D2" s="19" t="n">
        <v>25</v>
      </c>
      <c r="E2" s="19" t="inlineStr"/>
      <c r="F2" s="20">
        <f>E2-D2</f>
        <v/>
      </c>
    </row>
    <row r="3">
      <c r="A3" s="16" t="n">
        <v>46099</v>
      </c>
      <c r="B3" s="17" t="inlineStr">
        <is>
          <t>下午</t>
        </is>
      </c>
      <c r="C3" s="17" t="inlineStr">
        <is>
          <t>夏洛滕堡宫</t>
        </is>
      </c>
      <c r="D3" s="19" t="n">
        <v>18</v>
      </c>
      <c r="E3" s="19" t="inlineStr"/>
      <c r="F3" s="20">
        <f>E3-D3</f>
        <v/>
      </c>
    </row>
    <row r="4">
      <c r="A4" s="16" t="n"/>
      <c r="B4" s="17" t="n"/>
      <c r="C4" s="17" t="n"/>
      <c r="D4" s="19" t="n"/>
      <c r="E4" s="19" t="n"/>
      <c r="F4" s="20">
        <f>IF(A4="","",E4-D4)</f>
        <v/>
      </c>
    </row>
    <row r="5">
      <c r="A5" s="16" t="n"/>
      <c r="B5" s="17" t="n"/>
      <c r="C5" s="17" t="n"/>
      <c r="D5" s="19" t="n"/>
      <c r="E5" s="19" t="n"/>
      <c r="F5" s="20">
        <f>IF(A5="","",E5-D5)</f>
        <v/>
      </c>
    </row>
    <row r="6">
      <c r="A6" s="16" t="n"/>
      <c r="B6" s="17" t="n"/>
      <c r="C6" s="17" t="n"/>
      <c r="D6" s="19" t="n"/>
      <c r="E6" s="19" t="n"/>
      <c r="F6" s="20">
        <f>IF(A6="","",E6-D6)</f>
        <v/>
      </c>
    </row>
    <row r="7">
      <c r="A7" s="16" t="n"/>
      <c r="B7" s="17" t="n"/>
      <c r="C7" s="17" t="n"/>
      <c r="D7" s="19" t="n"/>
      <c r="E7" s="19" t="n"/>
      <c r="F7" s="20">
        <f>IF(A7="","",E7-D7)</f>
        <v/>
      </c>
    </row>
    <row r="8">
      <c r="A8" s="16" t="n"/>
      <c r="B8" s="17" t="n"/>
      <c r="C8" s="17" t="n"/>
      <c r="D8" s="19" t="n"/>
      <c r="E8" s="19" t="n"/>
      <c r="F8" s="20">
        <f>IF(A8="","",E8-D8)</f>
        <v/>
      </c>
    </row>
    <row r="9">
      <c r="A9" s="16" t="n"/>
      <c r="B9" s="17" t="n"/>
      <c r="C9" s="17" t="n"/>
      <c r="D9" s="19" t="n"/>
      <c r="E9" s="19" t="n"/>
      <c r="F9" s="20">
        <f>IF(A9="","",E9-D9)</f>
        <v/>
      </c>
    </row>
    <row r="10">
      <c r="A10" s="16" t="n"/>
      <c r="B10" s="17" t="n"/>
      <c r="C10" s="17" t="n"/>
      <c r="D10" s="19" t="n"/>
      <c r="E10" s="19" t="n"/>
      <c r="F10" s="20">
        <f>IF(A10="","",E10-D10)</f>
        <v/>
      </c>
    </row>
    <row r="11">
      <c r="A11" s="16" t="n"/>
      <c r="B11" s="17" t="n"/>
      <c r="C11" s="17" t="n"/>
      <c r="D11" s="19" t="n"/>
      <c r="E11" s="19" t="n"/>
      <c r="F11" s="20">
        <f>IF(A11="","",E11-D11)</f>
        <v/>
      </c>
    </row>
    <row r="12">
      <c r="A12" s="16" t="n"/>
      <c r="B12" s="17" t="n"/>
      <c r="C12" s="17" t="n"/>
      <c r="D12" s="19" t="n"/>
      <c r="E12" s="19" t="n"/>
      <c r="F12" s="20">
        <f>IF(A12="","",E12-D12)</f>
        <v/>
      </c>
    </row>
    <row r="13">
      <c r="A13" s="16" t="n"/>
      <c r="B13" s="17" t="n"/>
      <c r="C13" s="17" t="n"/>
      <c r="D13" s="19" t="n"/>
      <c r="E13" s="19" t="n"/>
      <c r="F13" s="20">
        <f>IF(A13="","",E13-D13)</f>
        <v/>
      </c>
    </row>
    <row r="14">
      <c r="A14" s="16" t="n"/>
      <c r="B14" s="17" t="n"/>
      <c r="C14" s="17" t="n"/>
      <c r="D14" s="19" t="n"/>
      <c r="E14" s="19" t="n"/>
      <c r="F14" s="20">
        <f>IF(A14="","",E14-D14)</f>
        <v/>
      </c>
    </row>
    <row r="15">
      <c r="A15" s="16" t="n"/>
      <c r="B15" s="17" t="n"/>
      <c r="C15" s="17" t="n"/>
      <c r="D15" s="19" t="n"/>
      <c r="E15" s="19" t="n"/>
      <c r="F15" s="20">
        <f>IF(A15="","",E15-D15)</f>
        <v/>
      </c>
    </row>
    <row r="16">
      <c r="A16" s="16" t="n"/>
      <c r="B16" s="17" t="n"/>
      <c r="C16" s="17" t="n"/>
      <c r="D16" s="19" t="n"/>
      <c r="E16" s="19" t="n"/>
      <c r="F16" s="20">
        <f>IF(A16="","",E16-D16)</f>
        <v/>
      </c>
    </row>
    <row r="17">
      <c r="A17" s="16" t="n"/>
      <c r="B17" s="17" t="n"/>
      <c r="C17" s="17" t="n"/>
      <c r="D17" s="19" t="n"/>
      <c r="E17" s="19" t="n"/>
      <c r="F17" s="20">
        <f>IF(A17="","",E17-D17)</f>
        <v/>
      </c>
    </row>
    <row r="18">
      <c r="A18" s="16" t="n"/>
      <c r="B18" s="17" t="n"/>
      <c r="C18" s="17" t="n"/>
      <c r="D18" s="19" t="n"/>
      <c r="E18" s="19" t="n"/>
      <c r="F18" s="20">
        <f>IF(A18="","",E18-D18)</f>
        <v/>
      </c>
    </row>
    <row r="19">
      <c r="A19" s="16" t="n"/>
      <c r="B19" s="17" t="n"/>
      <c r="C19" s="17" t="n"/>
      <c r="D19" s="19" t="n"/>
      <c r="E19" s="19" t="n"/>
      <c r="F19" s="20">
        <f>IF(A19="","",E19-D19)</f>
        <v/>
      </c>
    </row>
    <row r="20">
      <c r="A20" s="16" t="n"/>
      <c r="B20" s="17" t="n"/>
      <c r="C20" s="17" t="n"/>
      <c r="D20" s="19" t="n"/>
      <c r="E20" s="19" t="n"/>
      <c r="F20" s="20">
        <f>IF(A20="","",E20-D20)</f>
        <v/>
      </c>
    </row>
    <row r="21">
      <c r="A21" s="16" t="n"/>
      <c r="B21" s="17" t="n"/>
      <c r="C21" s="17" t="n"/>
      <c r="D21" s="19" t="n"/>
      <c r="E21" s="19" t="n"/>
      <c r="F21" s="20">
        <f>IF(A21="","",E21-D21)</f>
        <v/>
      </c>
    </row>
    <row r="22">
      <c r="A22" s="16" t="n"/>
      <c r="B22" s="17" t="n"/>
      <c r="C22" s="17" t="n"/>
      <c r="D22" s="19" t="n"/>
      <c r="E22" s="19" t="n"/>
      <c r="F22" s="20">
        <f>IF(A22="","",E22-D22)</f>
        <v/>
      </c>
    </row>
    <row r="23">
      <c r="A23" s="16" t="n"/>
      <c r="B23" s="17" t="n"/>
      <c r="C23" s="17" t="n"/>
      <c r="D23" s="19" t="n"/>
      <c r="E23" s="19" t="n"/>
      <c r="F23" s="20">
        <f>IF(A23="","",E23-D23)</f>
        <v/>
      </c>
    </row>
    <row r="24">
      <c r="A24" s="16" t="n"/>
      <c r="B24" s="17" t="n"/>
      <c r="C24" s="17" t="n"/>
      <c r="D24" s="19" t="n"/>
      <c r="E24" s="19" t="n"/>
      <c r="F24" s="20">
        <f>IF(A24="","",E24-D24)</f>
        <v/>
      </c>
    </row>
    <row r="25">
      <c r="A25" s="16" t="n"/>
      <c r="B25" s="17" t="n"/>
      <c r="C25" s="17" t="n"/>
      <c r="D25" s="19" t="n"/>
      <c r="E25" s="19" t="n"/>
      <c r="F25" s="20">
        <f>IF(A25="","",E25-D25)</f>
        <v/>
      </c>
    </row>
    <row r="26">
      <c r="A26" s="16" t="n"/>
      <c r="B26" s="17" t="n"/>
      <c r="C26" s="17" t="n"/>
      <c r="D26" s="19" t="n"/>
      <c r="E26" s="19" t="n"/>
      <c r="F26" s="20">
        <f>IF(A26="","",E26-D26)</f>
        <v/>
      </c>
    </row>
    <row r="27">
      <c r="A27" s="16" t="n"/>
      <c r="B27" s="17" t="n"/>
      <c r="C27" s="17" t="n"/>
      <c r="D27" s="19" t="n"/>
      <c r="E27" s="19" t="n"/>
      <c r="F27" s="20">
        <f>IF(A27="","",E27-D27)</f>
        <v/>
      </c>
    </row>
    <row r="28">
      <c r="A28" s="16" t="n"/>
      <c r="B28" s="17" t="n"/>
      <c r="C28" s="17" t="n"/>
      <c r="D28" s="19" t="n"/>
      <c r="E28" s="19" t="n"/>
      <c r="F28" s="20">
        <f>IF(A28="","",E28-D28)</f>
        <v/>
      </c>
    </row>
    <row r="29">
      <c r="A29" s="16" t="n"/>
      <c r="B29" s="17" t="n"/>
      <c r="C29" s="17" t="n"/>
      <c r="D29" s="19" t="n"/>
      <c r="E29" s="19" t="n"/>
      <c r="F29" s="20">
        <f>IF(A29="","",E29-D29)</f>
        <v/>
      </c>
    </row>
    <row r="30">
      <c r="A30" s="16" t="n"/>
      <c r="B30" s="17" t="n"/>
      <c r="C30" s="17" t="n"/>
      <c r="D30" s="19" t="n"/>
      <c r="E30" s="19" t="n"/>
      <c r="F30" s="20">
        <f>IF(A30="","",E30-D30)</f>
        <v/>
      </c>
    </row>
    <row r="31">
      <c r="A31" s="16" t="n"/>
      <c r="B31" s="17" t="n"/>
      <c r="C31" s="17" t="n"/>
      <c r="D31" s="19" t="n"/>
      <c r="E31" s="19" t="n"/>
      <c r="F31" s="20">
        <f>IF(A31="","",E31-D31)</f>
        <v/>
      </c>
    </row>
    <row r="32">
      <c r="A32" s="16" t="n"/>
      <c r="B32" s="17" t="n"/>
      <c r="C32" s="17" t="n"/>
      <c r="D32" s="19" t="n"/>
      <c r="E32" s="19" t="n"/>
      <c r="F32" s="20">
        <f>IF(A32="","",E32-D32)</f>
        <v/>
      </c>
    </row>
    <row r="33">
      <c r="A33" s="16" t="n"/>
      <c r="B33" s="17" t="n"/>
      <c r="C33" s="17" t="n"/>
      <c r="D33" s="19" t="n"/>
      <c r="E33" s="19" t="n"/>
      <c r="F33" s="20">
        <f>IF(A33="","",E33-D33)</f>
        <v/>
      </c>
    </row>
  </sheetData>
  <conditionalFormatting sqref="D2:D33">
    <cfRule type="cellIs" priority="1" operator="lessThan" dxfId="0">
      <formula>0</formula>
    </cfRule>
  </conditionalFormatting>
  <conditionalFormatting sqref="E2:E33">
    <cfRule type="cellIs" priority="2" operator="lessThan" dxfId="0">
      <formula>0</formula>
    </cfRule>
  </conditionalFormatting>
  <conditionalFormatting sqref="F2:F3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智能柏林与波茨坦旅行预算追踪器 - 专业技能向导版</dc:title>
  <dcterms:created xsi:type="dcterms:W3CDTF">2026-10-17T15:47:21Z</dcterms:created>
  <dcterms:modified xsi:type="dcterms:W3CDTF">2026-10-17T15:47:21Z</dcterms:modified>
</cp:coreProperties>
</file>