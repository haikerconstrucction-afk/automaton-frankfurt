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支出记录" sheetId="3" state="visible" r:id="rId3"/>
    <sheet name="健康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'支出记录'!E1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'支出记录'!$B$2:$B$4</f>
            </numRef>
          </cat>
          <val>
            <numRef>
              <f>'支出记录'!$E$2:$E$4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349" displayName="T______2349" ref="A1:E64" headerRowCount="1">
  <autoFilter ref="A1:E64"/>
  <tableColumns count="5">
    <tableColumn id="1" name="日期"/>
    <tableColumn id="2" name="类别"/>
    <tableColumn id="3" name="数量"/>
    <tableColumn id="4" name="价格"/>
    <tableColumn id="5" name="总价"/>
  </tableColumns>
  <tableStyleInfo name="TableStyleMedium7" showRowStripes="1"/>
</table>
</file>

<file path=xl/tables/table2.xml><?xml version="1.0" encoding="utf-8"?>
<table xmlns="http://schemas.openxmlformats.org/spreadsheetml/2006/main" id="2" name="T______3170" displayName="T______3170" ref="A1:D64" headerRowCount="1">
  <autoFilter ref="A1:D64"/>
  <tableColumns count="4">
    <tableColumn id="1" name="日期"/>
    <tableColumn id="2" name="健康指标"/>
    <tableColumn id="3" name="值"/>
    <tableColumn id="4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903;&#20986;&#35760;&#24405;'!A1" TargetMode="External" Id="rId2" /><Relationship Type="http://schemas.openxmlformats.org/officeDocument/2006/relationships/hyperlink" Target="#'&#20581;&#24247;&#35760;&#24405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智能老年护理预算与健康追踪器</t>
        </is>
      </c>
    </row>
    <row r="3" ht="45" customHeight="1">
      <c r="C3" s="2" t="inlineStr">
        <is>
          <t>优化老年护理预算，轻松追踪医疗开支和健康数据。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输入日常护理开支和医疗费用。</t>
        </is>
      </c>
    </row>
    <row r="7" ht="18" customHeight="1">
      <c r="B7" s="4" t="inlineStr">
        <is>
          <t>2.</t>
        </is>
      </c>
      <c r="C7" s="5" t="inlineStr">
        <is>
          <t>记录健康状况和用药情况。</t>
        </is>
      </c>
    </row>
    <row r="8" ht="18" customHeight="1">
      <c r="B8" s="4" t="inlineStr">
        <is>
          <t>3.</t>
        </is>
      </c>
      <c r="C8" s="5" t="inlineStr">
        <is>
          <t>设定预算目标并实时监控。</t>
        </is>
      </c>
    </row>
    <row r="9" ht="18" customHeight="1">
      <c r="B9" s="4" t="inlineStr">
        <is>
          <t>4.</t>
        </is>
      </c>
      <c r="C9" s="5" t="inlineStr">
        <is>
          <t>使用图表分析开支趋势。</t>
        </is>
      </c>
    </row>
    <row r="10" ht="18" customHeight="1">
      <c r="B10" s="4" t="inlineStr">
        <is>
          <t>5.</t>
        </is>
      </c>
      <c r="C10" s="5" t="inlineStr">
        <is>
          <t>导出报告，优化护理计划。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支出记录</t>
        </is>
      </c>
    </row>
    <row r="17">
      <c r="C17" s="7" t="inlineStr">
        <is>
          <t>→ 健康记录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智能老年护理预算与健康追踪器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SUM('支出记录'!E2:E300)</f>
        <v/>
      </c>
    </row>
    <row r="6" ht="24" customHeight="1">
      <c r="B6" s="11" t="inlineStr">
        <is>
          <t>记录数量</t>
        </is>
      </c>
      <c r="C6" s="13">
        <f>COUNTA('支出记录'!A2:A300)</f>
        <v/>
      </c>
    </row>
    <row r="7" ht="24" customHeight="1">
      <c r="B7" s="11" t="inlineStr">
        <is>
          <t>平均支出</t>
        </is>
      </c>
      <c r="C7" s="12">
        <f>AVERAGE('支出记录'!E2:E300)</f>
        <v/>
      </c>
    </row>
    <row r="8" ht="24" customHeight="1">
      <c r="B8" s="11" t="inlineStr">
        <is>
          <t>最高支出</t>
        </is>
      </c>
      <c r="C8" s="12">
        <f>MAX('支出记录'!E2:E300)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数量</t>
        </is>
      </c>
      <c r="D1" s="14" t="inlineStr">
        <is>
          <t>价格</t>
        </is>
      </c>
      <c r="E1" s="14" t="inlineStr">
        <is>
          <t>总价</t>
        </is>
      </c>
    </row>
    <row r="2">
      <c r="A2" s="15" t="n">
        <v>46037</v>
      </c>
      <c r="B2" s="16" t="inlineStr">
        <is>
          <t>药品</t>
        </is>
      </c>
      <c r="C2" s="17" t="n">
        <v>2</v>
      </c>
      <c r="D2" s="18" t="n">
        <v>25</v>
      </c>
      <c r="E2" s="19">
        <f>C2*D2</f>
        <v/>
      </c>
    </row>
    <row r="3">
      <c r="A3" s="15" t="n">
        <v>46038</v>
      </c>
      <c r="B3" s="16" t="inlineStr">
        <is>
          <t>护理人员</t>
        </is>
      </c>
      <c r="C3" s="17" t="n">
        <v>5</v>
      </c>
      <c r="D3" s="18" t="n">
        <v>15</v>
      </c>
      <c r="E3" s="19">
        <f>C3*D3</f>
        <v/>
      </c>
    </row>
    <row r="4">
      <c r="A4" s="15" t="n">
        <v>46039</v>
      </c>
      <c r="B4" s="16" t="inlineStr">
        <is>
          <t>医疗设备</t>
        </is>
      </c>
      <c r="C4" s="17" t="n">
        <v>1</v>
      </c>
      <c r="D4" s="18" t="n">
        <v>80</v>
      </c>
      <c r="E4" s="19">
        <f>C4*D4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  <row r="64">
      <c r="A64" s="15" t="n"/>
      <c r="B64" s="16" t="n"/>
      <c r="C64" s="17" t="n"/>
      <c r="D64" s="18" t="n"/>
      <c r="E64" s="19">
        <f>IF(A64="","",C64*D64)</f>
        <v/>
      </c>
    </row>
  </sheetData>
  <conditionalFormatting sqref="C2:C64">
    <cfRule type="cellIs" priority="1" operator="lessThan" dxfId="0">
      <formula>0</formula>
    </cfRule>
  </conditionalFormatting>
  <conditionalFormatting sqref="D2:D64">
    <cfRule type="cellIs" priority="2" operator="lessThan" dxfId="0">
      <formula>0</formula>
    </cfRule>
  </conditionalFormatting>
  <conditionalFormatting sqref="E2:E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"药品,护理人员,医疗设备,其他"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健康指标</t>
        </is>
      </c>
      <c r="C1" s="14" t="inlineStr">
        <is>
          <t>值</t>
        </is>
      </c>
      <c r="D1" s="14" t="inlineStr">
        <is>
          <t>备注</t>
        </is>
      </c>
    </row>
    <row r="2">
      <c r="A2" s="15" t="n">
        <v>46037</v>
      </c>
      <c r="B2" s="16" t="inlineStr">
        <is>
          <t>血压</t>
        </is>
      </c>
      <c r="C2" s="17" t="n">
        <v>120</v>
      </c>
      <c r="D2" s="16" t="inlineStr">
        <is>
          <t>正常</t>
        </is>
      </c>
    </row>
    <row r="3">
      <c r="A3" s="15" t="n">
        <v>46038</v>
      </c>
      <c r="B3" s="16" t="inlineStr">
        <is>
          <t>血糖</t>
        </is>
      </c>
      <c r="C3" s="17" t="n">
        <v>5.5</v>
      </c>
      <c r="D3" s="16" t="inlineStr">
        <is>
          <t>正常</t>
        </is>
      </c>
    </row>
    <row r="4">
      <c r="A4" s="15" t="n">
        <v>46039</v>
      </c>
      <c r="B4" s="16" t="inlineStr">
        <is>
          <t>体重</t>
        </is>
      </c>
      <c r="C4" s="17" t="n">
        <v>68</v>
      </c>
      <c r="D4" s="16" t="inlineStr">
        <is>
          <t>稳定</t>
        </is>
      </c>
    </row>
    <row r="5">
      <c r="A5" s="15" t="n"/>
      <c r="B5" s="16" t="n"/>
      <c r="C5" s="17" t="n"/>
      <c r="D5" s="16" t="n"/>
    </row>
    <row r="6">
      <c r="A6" s="15" t="n"/>
      <c r="B6" s="16" t="n"/>
      <c r="C6" s="17" t="n"/>
      <c r="D6" s="16" t="n"/>
    </row>
    <row r="7">
      <c r="A7" s="15" t="n"/>
      <c r="B7" s="16" t="n"/>
      <c r="C7" s="17" t="n"/>
      <c r="D7" s="16" t="n"/>
    </row>
    <row r="8">
      <c r="A8" s="15" t="n"/>
      <c r="B8" s="16" t="n"/>
      <c r="C8" s="17" t="n"/>
      <c r="D8" s="16" t="n"/>
    </row>
    <row r="9">
      <c r="A9" s="15" t="n"/>
      <c r="B9" s="16" t="n"/>
      <c r="C9" s="17" t="n"/>
      <c r="D9" s="16" t="n"/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</sheetData>
  <conditionalFormatting sqref="C2:C6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智能老年护理预算与健康追踪器</dc:title>
  <dcterms:created xsi:type="dcterms:W3CDTF">2026-10-25T04:52:01Z</dcterms:created>
  <dcterms:modified xsi:type="dcterms:W3CDTF">2026-10-25T04:52:01Z</dcterms:modified>
</cp:coreProperties>
</file>