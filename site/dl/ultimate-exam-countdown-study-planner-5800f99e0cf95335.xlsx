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Exams" sheetId="3" state="visible" r:id="rId3"/>
    <sheet name="Study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2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7" fillId="3" borderId="1" pivotButton="0" quotePrefix="0" xfId="0"/>
    <xf numFmtId="1" fontId="7" fillId="3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Exam Countdown Timeline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'Exams'!E1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'Exams'!$A$2:$A$5</f>
            </numRef>
          </cat>
          <val>
            <numRef>
              <f>'Exams'!$E$2:$E$5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Exams_2322" displayName="T_Exams_2322" ref="A1:E17" headerRowCount="1">
  <autoFilter ref="A1:E17"/>
  <tableColumns count="5">
    <tableColumn id="1" name="Subject"/>
    <tableColumn id="2" name="Exam Date"/>
    <tableColumn id="3" name="Weight %"/>
    <tableColumn id="4" name="Status"/>
    <tableColumn id="5" name="Days Left"/>
  </tableColumns>
  <tableStyleInfo name="TableStyleMedium7" showRowStripes="1"/>
</table>
</file>

<file path=xl/tables/table2.xml><?xml version="1.0" encoding="utf-8"?>
<table xmlns="http://schemas.openxmlformats.org/spreadsheetml/2006/main" id="2" name="T_Study_Plan_3216" displayName="T_Study_Plan_3216" ref="A1:E25" headerRowCount="1">
  <autoFilter ref="A1:E25"/>
  <tableColumns count="5">
    <tableColumn id="1" name="Week Start"/>
    <tableColumn id="2" name="Subject"/>
    <tableColumn id="3" name="Priority"/>
    <tableColumn id="4" name="Hours Planned"/>
    <tableColumn id="5" name="Hours Actual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Exams'!A1" TargetMode="External" Id="rId2" /><Relationship Type="http://schemas.openxmlformats.org/officeDocument/2006/relationships/hyperlink" Target="#'Study Plan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Exam Countdown &amp; Study Planner for Students</t>
        </is>
      </c>
    </row>
    <row r="3" ht="45" customHeight="1">
      <c r="C3" s="2" t="inlineStr">
        <is>
          <t>Never miss a deadline again - track all exams in one place with automatic countdown, progress tracking and optimized study scheduling.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all upcoming exams with dates &amp; importance</t>
        </is>
      </c>
    </row>
    <row r="7" ht="18" customHeight="1">
      <c r="B7" s="4" t="inlineStr">
        <is>
          <t>2.</t>
        </is>
      </c>
      <c r="C7" s="5" t="inlineStr">
        <is>
          <t>Define your available study hours per week</t>
        </is>
      </c>
    </row>
    <row r="8" ht="18" customHeight="1">
      <c r="B8" s="4" t="inlineStr">
        <is>
          <t>3.</t>
        </is>
      </c>
      <c r="C8" s="5" t="inlineStr">
        <is>
          <t>Track completed topics per subject</t>
        </is>
      </c>
    </row>
    <row r="9" ht="18" customHeight="1">
      <c r="B9" s="4" t="inlineStr">
        <is>
          <t>4.</t>
        </is>
      </c>
      <c r="C9" s="5" t="inlineStr">
        <is>
          <t>Let the system calculate daily study tasks</t>
        </is>
      </c>
    </row>
    <row r="10" ht="18" customHeight="1">
      <c r="B10" s="4" t="inlineStr">
        <is>
          <t>5.</t>
        </is>
      </c>
      <c r="C10" s="5" t="inlineStr">
        <is>
          <t>Monitor overall preparation progress</t>
        </is>
      </c>
    </row>
    <row r="11" ht="18" customHeight="1">
      <c r="B11" s="4" t="inlineStr">
        <is>
          <t>6.</t>
        </is>
      </c>
      <c r="C11" s="5" t="inlineStr">
        <is>
          <t>Adjust priorities as needed</t>
        </is>
      </c>
    </row>
    <row r="13">
      <c r="C13" s="6" t="inlineStr">
        <is>
          <t>Only fill in white cells – green columns calculate automatically.</t>
        </is>
      </c>
    </row>
    <row r="15">
      <c r="C15" s="3" t="inlineStr">
        <is>
          <t>Go to sheet</t>
        </is>
      </c>
    </row>
    <row r="16">
      <c r="C16" s="7" t="inlineStr">
        <is>
          <t>→ Dashboard</t>
        </is>
      </c>
    </row>
    <row r="17">
      <c r="C17" s="7" t="inlineStr">
        <is>
          <t>→ Exams</t>
        </is>
      </c>
    </row>
    <row r="18">
      <c r="C18" s="7" t="inlineStr">
        <is>
          <t>→ Study Plan</t>
        </is>
      </c>
    </row>
    <row r="20">
      <c r="C20" s="8" t="inlineStr">
        <is>
          <t>Made by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Exam Countdown &amp; Study Planner for Students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Study Hours Needed</t>
        </is>
      </c>
      <c r="C5" s="12">
        <f>SUMIF(Exams!A2:A100,"&lt;&gt;",Exams!C2:C100)*80</f>
        <v/>
      </c>
    </row>
    <row r="6" ht="24" customHeight="1">
      <c r="B6" s="11" t="inlineStr">
        <is>
          <t>Hours Completed</t>
        </is>
      </c>
      <c r="C6" s="12">
        <f>SUM('Study Plan'!E2:E100)</f>
        <v/>
      </c>
    </row>
    <row r="7" ht="24" customHeight="1">
      <c r="B7" s="11" t="inlineStr">
        <is>
          <t>Exams in Critical Status</t>
        </is>
      </c>
      <c r="C7" s="13">
        <f>COUNTIF(Exams!D2:D100,"Critical")</f>
        <v/>
      </c>
    </row>
    <row r="8" ht="24" customHeight="1">
      <c r="B8" s="11" t="inlineStr">
        <is>
          <t>Progress %</t>
        </is>
      </c>
      <c r="C8" s="14">
        <f>KPI2/KPI1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12" customWidth="1" min="3" max="3"/>
    <col width="40" customWidth="1" min="4" max="4"/>
    <col width="29" customWidth="1" min="5" max="5"/>
  </cols>
  <sheetData>
    <row r="1" ht="32" customHeight="1">
      <c r="A1" s="15" t="inlineStr">
        <is>
          <t>Subject</t>
        </is>
      </c>
      <c r="B1" s="15" t="inlineStr">
        <is>
          <t>Exam Date</t>
        </is>
      </c>
      <c r="C1" s="15" t="inlineStr">
        <is>
          <t>Weight %</t>
        </is>
      </c>
      <c r="D1" s="15" t="inlineStr">
        <is>
          <t>Status</t>
        </is>
      </c>
      <c r="E1" s="15" t="inlineStr">
        <is>
          <t>Days Left</t>
        </is>
      </c>
    </row>
    <row r="2">
      <c r="A2" s="16" t="inlineStr">
        <is>
          <t>Advanced Calculus</t>
        </is>
      </c>
      <c r="B2" s="17" t="n">
        <v>46188</v>
      </c>
      <c r="C2" s="18" t="n">
        <v>30</v>
      </c>
      <c r="D2" s="19">
        <f>IF(E2&gt;14,"On Track",IF(E2&gt;7,"Urgent","Critical"))</f>
        <v/>
      </c>
      <c r="E2" s="20">
        <f>B2-TODAY()</f>
        <v/>
      </c>
    </row>
    <row r="3">
      <c r="A3" s="16" t="inlineStr">
        <is>
          <t>Organic Chemistry</t>
        </is>
      </c>
      <c r="B3" s="17" t="n">
        <v>46170</v>
      </c>
      <c r="C3" s="18" t="n">
        <v>25</v>
      </c>
      <c r="D3" s="19">
        <f>IF(E3&gt;14,"On Track",IF(E3&gt;7,"Urgent","Critical"))</f>
        <v/>
      </c>
      <c r="E3" s="20">
        <f>B3-TODAY()</f>
        <v/>
      </c>
    </row>
    <row r="4">
      <c r="A4" s="16" t="inlineStr">
        <is>
          <t>Cognitive Psychology</t>
        </is>
      </c>
      <c r="B4" s="17" t="n">
        <v>46175</v>
      </c>
      <c r="C4" s="18" t="n">
        <v>20</v>
      </c>
      <c r="D4" s="19">
        <f>IF(E4&gt;14,"On Track",IF(E4&gt;7,"Urgent","Critical"))</f>
        <v/>
      </c>
      <c r="E4" s="20">
        <f>B4-TODAY()</f>
        <v/>
      </c>
    </row>
    <row r="5">
      <c r="A5" s="16" t="inlineStr">
        <is>
          <t>Research Methods</t>
        </is>
      </c>
      <c r="B5" s="17" t="n">
        <v>46183</v>
      </c>
      <c r="C5" s="18" t="n">
        <v>25</v>
      </c>
      <c r="D5" s="19">
        <f>IF(E5&gt;14,"On Track",IF(E5&gt;7,"Urgent","Critical"))</f>
        <v/>
      </c>
      <c r="E5" s="20">
        <f>B5-TODAY()</f>
        <v/>
      </c>
    </row>
    <row r="6">
      <c r="A6" s="16" t="n"/>
      <c r="B6" s="17" t="n"/>
      <c r="C6" s="18" t="n"/>
      <c r="D6" s="19">
        <f>IF(A6="","",IF(E6&gt;14,"On Track",IF(E6&gt;7,"Urgent","Critical")))</f>
        <v/>
      </c>
      <c r="E6" s="20">
        <f>IF(A6="","",B6-TODAY())</f>
        <v/>
      </c>
    </row>
    <row r="7">
      <c r="A7" s="16" t="n"/>
      <c r="B7" s="17" t="n"/>
      <c r="C7" s="18" t="n"/>
      <c r="D7" s="19">
        <f>IF(A7="","",IF(E7&gt;14,"On Track",IF(E7&gt;7,"Urgent","Critical")))</f>
        <v/>
      </c>
      <c r="E7" s="20">
        <f>IF(A7="","",B7-TODAY())</f>
        <v/>
      </c>
    </row>
    <row r="8">
      <c r="A8" s="16" t="n"/>
      <c r="B8" s="17" t="n"/>
      <c r="C8" s="18" t="n"/>
      <c r="D8" s="19">
        <f>IF(A8="","",IF(E8&gt;14,"On Track",IF(E8&gt;7,"Urgent","Critical")))</f>
        <v/>
      </c>
      <c r="E8" s="20">
        <f>IF(A8="","",B8-TODAY())</f>
        <v/>
      </c>
    </row>
    <row r="9">
      <c r="A9" s="16" t="n"/>
      <c r="B9" s="17" t="n"/>
      <c r="C9" s="18" t="n"/>
      <c r="D9" s="19">
        <f>IF(A9="","",IF(E9&gt;14,"On Track",IF(E9&gt;7,"Urgent","Critical")))</f>
        <v/>
      </c>
      <c r="E9" s="20">
        <f>IF(A9="","",B9-TODAY())</f>
        <v/>
      </c>
    </row>
    <row r="10">
      <c r="A10" s="16" t="n"/>
      <c r="B10" s="17" t="n"/>
      <c r="C10" s="18" t="n"/>
      <c r="D10" s="19">
        <f>IF(A10="","",IF(E10&gt;14,"On Track",IF(E10&gt;7,"Urgent","Critical")))</f>
        <v/>
      </c>
      <c r="E10" s="20">
        <f>IF(A10="","",B10-TODAY())</f>
        <v/>
      </c>
    </row>
    <row r="11">
      <c r="A11" s="16" t="n"/>
      <c r="B11" s="17" t="n"/>
      <c r="C11" s="18" t="n"/>
      <c r="D11" s="19">
        <f>IF(A11="","",IF(E11&gt;14,"On Track",IF(E11&gt;7,"Urgent","Critical")))</f>
        <v/>
      </c>
      <c r="E11" s="20">
        <f>IF(A11="","",B11-TODAY())</f>
        <v/>
      </c>
    </row>
    <row r="12">
      <c r="A12" s="16" t="n"/>
      <c r="B12" s="17" t="n"/>
      <c r="C12" s="18" t="n"/>
      <c r="D12" s="19">
        <f>IF(A12="","",IF(E12&gt;14,"On Track",IF(E12&gt;7,"Urgent","Critical")))</f>
        <v/>
      </c>
      <c r="E12" s="20">
        <f>IF(A12="","",B12-TODAY())</f>
        <v/>
      </c>
    </row>
    <row r="13">
      <c r="A13" s="16" t="n"/>
      <c r="B13" s="17" t="n"/>
      <c r="C13" s="18" t="n"/>
      <c r="D13" s="19">
        <f>IF(A13="","",IF(E13&gt;14,"On Track",IF(E13&gt;7,"Urgent","Critical")))</f>
        <v/>
      </c>
      <c r="E13" s="20">
        <f>IF(A13="","",B13-TODAY())</f>
        <v/>
      </c>
    </row>
    <row r="14">
      <c r="A14" s="16" t="n"/>
      <c r="B14" s="17" t="n"/>
      <c r="C14" s="18" t="n"/>
      <c r="D14" s="19">
        <f>IF(A14="","",IF(E14&gt;14,"On Track",IF(E14&gt;7,"Urgent","Critical")))</f>
        <v/>
      </c>
      <c r="E14" s="20">
        <f>IF(A14="","",B14-TODAY())</f>
        <v/>
      </c>
    </row>
    <row r="15">
      <c r="A15" s="16" t="n"/>
      <c r="B15" s="17" t="n"/>
      <c r="C15" s="18" t="n"/>
      <c r="D15" s="19">
        <f>IF(A15="","",IF(E15&gt;14,"On Track",IF(E15&gt;7,"Urgent","Critical")))</f>
        <v/>
      </c>
      <c r="E15" s="20">
        <f>IF(A15="","",B15-TODAY())</f>
        <v/>
      </c>
    </row>
    <row r="16">
      <c r="A16" s="16" t="n"/>
      <c r="B16" s="17" t="n"/>
      <c r="C16" s="18" t="n"/>
      <c r="D16" s="19">
        <f>IF(A16="","",IF(E16&gt;14,"On Track",IF(E16&gt;7,"Urgent","Critical")))</f>
        <v/>
      </c>
      <c r="E16" s="20">
        <f>IF(A16="","",B16-TODAY())</f>
        <v/>
      </c>
    </row>
    <row r="17">
      <c r="A17" s="16" t="n"/>
      <c r="B17" s="17" t="n"/>
      <c r="C17" s="18" t="n"/>
      <c r="D17" s="19">
        <f>IF(A17="","",IF(E17&gt;14,"On Track",IF(E17&gt;7,"Urgent","Critical")))</f>
        <v/>
      </c>
      <c r="E17" s="20">
        <f>IF(A17="","",B17-TODAY())</f>
        <v/>
      </c>
    </row>
  </sheetData>
  <conditionalFormatting sqref="C2:C17">
    <cfRule type="dataBar" priority="1">
      <dataBar>
        <cfvo type="num" val="0"/>
        <cfvo type="num" val="1"/>
        <color rgb="005FB38F"/>
      </dataBar>
    </cfRule>
  </conditionalFormatting>
  <dataValidations count="1">
    <dataValidation sqref="D2:D17" showDropDown="0" showInputMessage="0" showErrorMessage="0" allowBlank="1" type="list">
      <formula1>"Pending,In Progress,Completed"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40" customWidth="1" min="3" max="3"/>
    <col width="16" customWidth="1" min="4" max="4"/>
    <col width="15" customWidth="1" min="5" max="5"/>
  </cols>
  <sheetData>
    <row r="1" ht="32" customHeight="1">
      <c r="A1" s="15" t="inlineStr">
        <is>
          <t>Week Start</t>
        </is>
      </c>
      <c r="B1" s="15" t="inlineStr">
        <is>
          <t>Subject</t>
        </is>
      </c>
      <c r="C1" s="15" t="inlineStr">
        <is>
          <t>Priority</t>
        </is>
      </c>
      <c r="D1" s="15" t="inlineStr">
        <is>
          <t>Hours Planned</t>
        </is>
      </c>
      <c r="E1" s="15" t="inlineStr">
        <is>
          <t>Hours Actual</t>
        </is>
      </c>
    </row>
    <row r="2">
      <c r="A2" s="17" t="n">
        <v>46122</v>
      </c>
      <c r="B2" s="16" t="inlineStr">
        <is>
          <t>Advanced Calculus</t>
        </is>
      </c>
      <c r="C2" s="19">
        <f>VLOOKUP(B2,Exams!A2:E100,3,FALSE)</f>
        <v/>
      </c>
      <c r="D2" s="21" t="n">
        <v>8</v>
      </c>
      <c r="E2" s="21" t="inlineStr"/>
    </row>
    <row r="3">
      <c r="A3" s="17" t="n">
        <v>46122</v>
      </c>
      <c r="B3" s="16" t="inlineStr">
        <is>
          <t>Organic Chemistry</t>
        </is>
      </c>
      <c r="C3" s="19">
        <f>VLOOKUP(B3,Exams!A2:E100,3,FALSE)</f>
        <v/>
      </c>
      <c r="D3" s="21" t="n">
        <v>6</v>
      </c>
      <c r="E3" s="21" t="inlineStr"/>
    </row>
    <row r="4">
      <c r="A4" s="17" t="n">
        <v>46129</v>
      </c>
      <c r="B4" s="16" t="inlineStr">
        <is>
          <t>Cognitive Psychology</t>
        </is>
      </c>
      <c r="C4" s="19">
        <f>VLOOKUP(B4,Exams!A2:E100,3,FALSE)</f>
        <v/>
      </c>
      <c r="D4" s="21" t="n">
        <v>5</v>
      </c>
      <c r="E4" s="21" t="inlineStr"/>
    </row>
    <row r="5">
      <c r="A5" s="17" t="n">
        <v>46129</v>
      </c>
      <c r="B5" s="16" t="inlineStr">
        <is>
          <t>Research Methods</t>
        </is>
      </c>
      <c r="C5" s="19">
        <f>VLOOKUP(B5,Exams!A2:E100,3,FALSE)</f>
        <v/>
      </c>
      <c r="D5" s="21" t="n">
        <v>4</v>
      </c>
      <c r="E5" s="21" t="inlineStr"/>
    </row>
    <row r="6">
      <c r="A6" s="17" t="n"/>
      <c r="B6" s="16" t="n"/>
      <c r="C6" s="19">
        <f>IF(A6="","",VLOOKUP(B6,Exams!A2:E100,3,FALSE))</f>
        <v/>
      </c>
      <c r="D6" s="21" t="n"/>
      <c r="E6" s="21" t="n"/>
    </row>
    <row r="7">
      <c r="A7" s="17" t="n"/>
      <c r="B7" s="16" t="n"/>
      <c r="C7" s="19">
        <f>IF(A7="","",VLOOKUP(B7,Exams!A2:E100,3,FALSE))</f>
        <v/>
      </c>
      <c r="D7" s="21" t="n"/>
      <c r="E7" s="21" t="n"/>
    </row>
    <row r="8">
      <c r="A8" s="17" t="n"/>
      <c r="B8" s="16" t="n"/>
      <c r="C8" s="19">
        <f>IF(A8="","",VLOOKUP(B8,Exams!A2:E100,3,FALSE))</f>
        <v/>
      </c>
      <c r="D8" s="21" t="n"/>
      <c r="E8" s="21" t="n"/>
    </row>
    <row r="9">
      <c r="A9" s="17" t="n"/>
      <c r="B9" s="16" t="n"/>
      <c r="C9" s="19">
        <f>IF(A9="","",VLOOKUP(B9,Exams!A2:E100,3,FALSE))</f>
        <v/>
      </c>
      <c r="D9" s="21" t="n"/>
      <c r="E9" s="21" t="n"/>
    </row>
    <row r="10">
      <c r="A10" s="17" t="n"/>
      <c r="B10" s="16" t="n"/>
      <c r="C10" s="19">
        <f>IF(A10="","",VLOOKUP(B10,Exams!A2:E100,3,FALSE))</f>
        <v/>
      </c>
      <c r="D10" s="21" t="n"/>
      <c r="E10" s="21" t="n"/>
    </row>
    <row r="11">
      <c r="A11" s="17" t="n"/>
      <c r="B11" s="16" t="n"/>
      <c r="C11" s="19">
        <f>IF(A11="","",VLOOKUP(B11,Exams!A2:E100,3,FALSE))</f>
        <v/>
      </c>
      <c r="D11" s="21" t="n"/>
      <c r="E11" s="21" t="n"/>
    </row>
    <row r="12">
      <c r="A12" s="17" t="n"/>
      <c r="B12" s="16" t="n"/>
      <c r="C12" s="19">
        <f>IF(A12="","",VLOOKUP(B12,Exams!A2:E100,3,FALSE))</f>
        <v/>
      </c>
      <c r="D12" s="21" t="n"/>
      <c r="E12" s="21" t="n"/>
    </row>
    <row r="13">
      <c r="A13" s="17" t="n"/>
      <c r="B13" s="16" t="n"/>
      <c r="C13" s="19">
        <f>IF(A13="","",VLOOKUP(B13,Exams!A2:E100,3,FALSE))</f>
        <v/>
      </c>
      <c r="D13" s="21" t="n"/>
      <c r="E13" s="21" t="n"/>
    </row>
    <row r="14">
      <c r="A14" s="17" t="n"/>
      <c r="B14" s="16" t="n"/>
      <c r="C14" s="19">
        <f>IF(A14="","",VLOOKUP(B14,Exams!A2:E100,3,FALSE))</f>
        <v/>
      </c>
      <c r="D14" s="21" t="n"/>
      <c r="E14" s="21" t="n"/>
    </row>
    <row r="15">
      <c r="A15" s="17" t="n"/>
      <c r="B15" s="16" t="n"/>
      <c r="C15" s="19">
        <f>IF(A15="","",VLOOKUP(B15,Exams!A2:E100,3,FALSE))</f>
        <v/>
      </c>
      <c r="D15" s="21" t="n"/>
      <c r="E15" s="21" t="n"/>
    </row>
    <row r="16">
      <c r="A16" s="17" t="n"/>
      <c r="B16" s="16" t="n"/>
      <c r="C16" s="19">
        <f>IF(A16="","",VLOOKUP(B16,Exams!A2:E100,3,FALSE))</f>
        <v/>
      </c>
      <c r="D16" s="21" t="n"/>
      <c r="E16" s="21" t="n"/>
    </row>
    <row r="17">
      <c r="A17" s="17" t="n"/>
      <c r="B17" s="16" t="n"/>
      <c r="C17" s="19">
        <f>IF(A17="","",VLOOKUP(B17,Exams!A2:E100,3,FALSE))</f>
        <v/>
      </c>
      <c r="D17" s="21" t="n"/>
      <c r="E17" s="21" t="n"/>
    </row>
    <row r="18">
      <c r="A18" s="17" t="n"/>
      <c r="B18" s="16" t="n"/>
      <c r="C18" s="19">
        <f>IF(A18="","",VLOOKUP(B18,Exams!A2:E100,3,FALSE))</f>
        <v/>
      </c>
      <c r="D18" s="21" t="n"/>
      <c r="E18" s="21" t="n"/>
    </row>
    <row r="19">
      <c r="A19" s="17" t="n"/>
      <c r="B19" s="16" t="n"/>
      <c r="C19" s="19">
        <f>IF(A19="","",VLOOKUP(B19,Exams!A2:E100,3,FALSE))</f>
        <v/>
      </c>
      <c r="D19" s="21" t="n"/>
      <c r="E19" s="21" t="n"/>
    </row>
    <row r="20">
      <c r="A20" s="17" t="n"/>
      <c r="B20" s="16" t="n"/>
      <c r="C20" s="19">
        <f>IF(A20="","",VLOOKUP(B20,Exams!A2:E100,3,FALSE))</f>
        <v/>
      </c>
      <c r="D20" s="21" t="n"/>
      <c r="E20" s="21" t="n"/>
    </row>
    <row r="21">
      <c r="A21" s="17" t="n"/>
      <c r="B21" s="16" t="n"/>
      <c r="C21" s="19">
        <f>IF(A21="","",VLOOKUP(B21,Exams!A2:E100,3,FALSE))</f>
        <v/>
      </c>
      <c r="D21" s="21" t="n"/>
      <c r="E21" s="21" t="n"/>
    </row>
    <row r="22">
      <c r="A22" s="17" t="n"/>
      <c r="B22" s="16" t="n"/>
      <c r="C22" s="19">
        <f>IF(A22="","",VLOOKUP(B22,Exams!A2:E100,3,FALSE))</f>
        <v/>
      </c>
      <c r="D22" s="21" t="n"/>
      <c r="E22" s="21" t="n"/>
    </row>
    <row r="23">
      <c r="A23" s="17" t="n"/>
      <c r="B23" s="16" t="n"/>
      <c r="C23" s="19">
        <f>IF(A23="","",VLOOKUP(B23,Exams!A2:E100,3,FALSE))</f>
        <v/>
      </c>
      <c r="D23" s="21" t="n"/>
      <c r="E23" s="21" t="n"/>
    </row>
    <row r="24">
      <c r="A24" s="17" t="n"/>
      <c r="B24" s="16" t="n"/>
      <c r="C24" s="19">
        <f>IF(A24="","",VLOOKUP(B24,Exams!A2:E100,3,FALSE))</f>
        <v/>
      </c>
      <c r="D24" s="21" t="n"/>
      <c r="E24" s="21" t="n"/>
    </row>
    <row r="25">
      <c r="A25" s="17" t="n"/>
      <c r="B25" s="16" t="n"/>
      <c r="C25" s="19">
        <f>IF(A25="","",VLOOKUP(B25,Exams!A2:E100,3,FALSE))</f>
        <v/>
      </c>
      <c r="D25" s="21" t="n"/>
      <c r="E25" s="21" t="n"/>
    </row>
  </sheetData>
  <dataValidations count="1">
    <dataValidation sqref="C2:C25" showDropDown="0" showInputMessage="0" showErrorMessage="0" allowBlank="1" type="list">
      <formula1>"High,Medium,Low"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Exam Countdown &amp; Study Planner for Students</dc:title>
  <dcterms:created xsi:type="dcterms:W3CDTF">2026-10-14T01:24:04Z</dcterms:created>
  <dcterms:modified xsi:type="dcterms:W3CDTF">2026-10-14T01:24:04Z</dcterms:modified>
</cp:coreProperties>
</file>