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 Tracker" sheetId="3" state="visible" r:id="rId3"/>
    <sheet name="Budget Plann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 Planner'!C1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 Planner'!$A$2:$A$8</f>
            </numRef>
          </cat>
          <val>
            <numRef>
              <f>'Budget Planner'!$C$2:$C$8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_Tracker_2860" displayName="T_Expense_Tracker_2860" ref="A1:E69" headerRowCount="1">
  <autoFilter ref="A1:E69"/>
  <tableColumns count="5">
    <tableColumn id="1" name="Date"/>
    <tableColumn id="2" name="Category"/>
    <tableColumn id="3" name="Description"/>
    <tableColumn id="4" name="Amount (EUR)"/>
    <tableColumn id="5" name="Payment Method"/>
  </tableColumns>
  <tableStyleInfo name="TableStyleMedium7" showRowStripes="1"/>
</table>
</file>

<file path=xl/tables/table2.xml><?xml version="1.0" encoding="utf-8"?>
<table xmlns="http://schemas.openxmlformats.org/spreadsheetml/2006/main" id="2" name="T_Budget_Planner_3763" displayName="T_Budget_Planner_3763" ref="A1:E13" headerRowCount="1">
  <autoFilter ref="A1:E13"/>
  <tableColumns count="5">
    <tableColumn id="1" name="Category"/>
    <tableColumn id="2" name="Planned"/>
    <tableColumn id="3" name="Spent"/>
    <tableColumn id="4" name="Remaining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 Tracker'!A1" TargetMode="External" Id="rId2" /><Relationship Type="http://schemas.openxmlformats.org/officeDocument/2006/relationships/hyperlink" Target="#'Budget Planner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Black Forest Travel Budget Planner &amp; Expense Tracker for Families</t>
        </is>
      </c>
    </row>
    <row r="3" ht="45" customHeight="1">
      <c r="C3" s="2" t="inlineStr">
        <is>
          <t>A comprehensive Excel solution to effortlessly plan and track all expenses for your perfect family vacation in the Black Forest, ensuring you stay on budget while making unforgettable memories.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your total vacation budget</t>
        </is>
      </c>
    </row>
    <row r="7" ht="18" customHeight="1">
      <c r="B7" s="4" t="inlineStr">
        <is>
          <t>2.</t>
        </is>
      </c>
      <c r="C7" s="5" t="inlineStr">
        <is>
          <t>Track expenses by category as you travel</t>
        </is>
      </c>
    </row>
    <row r="8" ht="18" customHeight="1">
      <c r="B8" s="4" t="inlineStr">
        <is>
          <t>3.</t>
        </is>
      </c>
      <c r="C8" s="5" t="inlineStr">
        <is>
          <t>Monitor spending against your budget limits</t>
        </is>
      </c>
    </row>
    <row r="9" ht="18" customHeight="1">
      <c r="B9" s="4" t="inlineStr">
        <is>
          <t>4.</t>
        </is>
      </c>
      <c r="C9" s="5" t="inlineStr">
        <is>
          <t>Optimize remaining funds for activities</t>
        </is>
      </c>
    </row>
    <row r="10" ht="18" customHeight="1">
      <c r="B10" s="4" t="inlineStr">
        <is>
          <t>5.</t>
        </is>
      </c>
      <c r="C10" s="5" t="inlineStr">
        <is>
          <t>Analyze spending patterns for future trips</t>
        </is>
      </c>
    </row>
    <row r="11" ht="18" customHeight="1">
      <c r="B11" s="4" t="inlineStr">
        <is>
          <t>6.</t>
        </is>
      </c>
      <c r="C11" s="5" t="inlineStr">
        <is>
          <t>Keep all travel documents digitally organized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Expense Tracker</t>
        </is>
      </c>
    </row>
    <row r="18">
      <c r="C18" s="7" t="inlineStr">
        <is>
          <t>→ Budget Planner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Black Forest Travel Budget Planner &amp; Expense Tracke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SUM('Budget Planner'!B2:B8)</f>
        <v/>
      </c>
    </row>
    <row r="6" ht="24" customHeight="1">
      <c r="B6" s="11" t="inlineStr">
        <is>
          <t>Total Spent</t>
        </is>
      </c>
      <c r="C6" s="12">
        <f>SUM('Expense Tracker'!D2:D300)</f>
        <v/>
      </c>
    </row>
    <row r="7" ht="24" customHeight="1">
      <c r="B7" s="11" t="inlineStr">
        <is>
          <t>Remaining Funds</t>
        </is>
      </c>
      <c r="C7" s="12">
        <f>SUM('Budget Planner'!D2:D8)</f>
        <v/>
      </c>
    </row>
    <row r="8" ht="24" customHeight="1">
      <c r="B8" s="11" t="inlineStr">
        <is>
          <t>Most Expensive Day</t>
        </is>
      </c>
      <c r="C8" s="13">
        <f>TEXT(INDEX('Expense Tracker'!A2:A300,MATCH(MAX(SUMIF('Expense Tracker'!A2:A300,'Expense Tracker'!A2:A300,'Expense Tracker'!D2:D300)),SUMIF('Expense Tracker'!A2:A300,'Expense Tracker'!A2:A300,'Expense Tracker'!D2:D300),0)),"yyyy-mm-dd")</f>
        <v/>
      </c>
    </row>
    <row r="9" ht="24" customHeight="1">
      <c r="B9" s="11" t="inlineStr">
        <is>
          <t>Top Expense Category</t>
        </is>
      </c>
      <c r="C9" s="13">
        <f>INDEX('Expense Tracker'!B2:B300,MODE(MATCH('Expense Tracker'!B2:B300,'Expense Tracker'!B2:B300,0)))</f>
        <v/>
      </c>
    </row>
    <row r="10" ht="24" customHeight="1">
      <c r="B10" s="11" t="inlineStr">
        <is>
          <t>Average Daily Spend</t>
        </is>
      </c>
      <c r="C10" s="12">
        <f>AVERAGE(SUMIF('Expense Tracker'!A2:A300,UNIQUE('Expense Tracker'!A2:A300),'Expense Tracker'!D2:D300))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1" customWidth="1" min="3" max="3"/>
    <col width="15" customWidth="1" min="4" max="4"/>
    <col width="17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 (EUR)</t>
        </is>
      </c>
      <c r="E1" s="14" t="inlineStr">
        <is>
          <t>Payment Method</t>
        </is>
      </c>
    </row>
    <row r="2">
      <c r="A2" s="15" t="n">
        <v>46188</v>
      </c>
      <c r="B2" s="16" t="inlineStr">
        <is>
          <t>Accommodation</t>
        </is>
      </c>
      <c r="C2" s="16" t="inlineStr">
        <is>
          <t>Hotel Feldberg</t>
        </is>
      </c>
      <c r="D2" s="17" t="n">
        <v>120</v>
      </c>
      <c r="E2" s="16" t="inlineStr">
        <is>
          <t>Credit Card</t>
        </is>
      </c>
    </row>
    <row r="3">
      <c r="A3" s="15" t="n">
        <v>46189</v>
      </c>
      <c r="B3" s="16" t="inlineStr">
        <is>
          <t>Transport</t>
        </is>
      </c>
      <c r="C3" s="16" t="inlineStr">
        <is>
          <t>Train Triberg to Freiburg</t>
        </is>
      </c>
      <c r="D3" s="17" t="n">
        <v>24.5</v>
      </c>
      <c r="E3" s="16" t="inlineStr">
        <is>
          <t>Cash</t>
        </is>
      </c>
    </row>
    <row r="4">
      <c r="A4" s="15" t="n">
        <v>46189</v>
      </c>
      <c r="B4" s="16" t="inlineStr">
        <is>
          <t>Food</t>
        </is>
      </c>
      <c r="C4" s="16" t="inlineStr">
        <is>
          <t>Lunch at Gutach</t>
        </is>
      </c>
      <c r="D4" s="17" t="n">
        <v>35.8</v>
      </c>
      <c r="E4" s="16" t="inlineStr">
        <is>
          <t>Debit Card</t>
        </is>
      </c>
    </row>
    <row r="5">
      <c r="A5" s="15" t="n">
        <v>46190</v>
      </c>
      <c r="B5" s="16" t="inlineStr">
        <is>
          <t>Activities</t>
        </is>
      </c>
      <c r="C5" s="16" t="inlineStr">
        <is>
          <t>Titisee boat rental</t>
        </is>
      </c>
      <c r="D5" s="17" t="n">
        <v>40</v>
      </c>
      <c r="E5" s="16" t="inlineStr">
        <is>
          <t>Cash</t>
        </is>
      </c>
    </row>
    <row r="6">
      <c r="A6" s="15" t="n">
        <v>46190</v>
      </c>
      <c r="B6" s="16" t="inlineStr">
        <is>
          <t>Souvenirs</t>
        </is>
      </c>
      <c r="C6" s="16" t="inlineStr">
        <is>
          <t>Cuckoo clock</t>
        </is>
      </c>
      <c r="D6" s="17" t="n">
        <v>89.90000000000001</v>
      </c>
      <c r="E6" s="16" t="inlineStr">
        <is>
          <t>Credit Card</t>
        </is>
      </c>
    </row>
    <row r="7">
      <c r="A7" s="15" t="n">
        <v>46191</v>
      </c>
      <c r="B7" s="16" t="inlineStr">
        <is>
          <t>Transport</t>
        </is>
      </c>
      <c r="C7" s="16" t="inlineStr">
        <is>
          <t>Car rental extension</t>
        </is>
      </c>
      <c r="D7" s="17" t="n">
        <v>65</v>
      </c>
      <c r="E7" s="16" t="inlineStr">
        <is>
          <t>Credit Card</t>
        </is>
      </c>
    </row>
    <row r="8">
      <c r="A8" s="15" t="n">
        <v>46191</v>
      </c>
      <c r="B8" s="16" t="inlineStr">
        <is>
          <t>Food</t>
        </is>
      </c>
      <c r="C8" s="16" t="inlineStr">
        <is>
          <t>Dinner at Hausach</t>
        </is>
      </c>
      <c r="D8" s="17" t="n">
        <v>48.6</v>
      </c>
      <c r="E8" s="16" t="inlineStr">
        <is>
          <t>Debit Card</t>
        </is>
      </c>
    </row>
    <row r="9">
      <c r="A9" s="15" t="n">
        <v>46192</v>
      </c>
      <c r="B9" s="16" t="inlineStr">
        <is>
          <t>Activities</t>
        </is>
      </c>
      <c r="C9" s="16" t="inlineStr">
        <is>
          <t>Black Forest Open Air Museum</t>
        </is>
      </c>
      <c r="D9" s="17" t="n">
        <v>28</v>
      </c>
      <c r="E9" s="16" t="inlineStr">
        <is>
          <t>Cash</t>
        </is>
      </c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</sheetData>
  <conditionalFormatting sqref="D2:D69">
    <cfRule type="cellIs" priority="1" operator="lessThan" dxfId="0">
      <formula>0</formula>
    </cfRule>
  </conditionalFormatting>
  <dataValidations count="2">
    <dataValidation sqref="B2:B69" showDropDown="0" showInputMessage="0" showErrorMessage="0" allowBlank="1" type="list">
      <formula1>"Accommodation,Transport,Food,Activities,Souvenirs,Emergency,Other"</formula1>
    </dataValidation>
    <dataValidation sqref="E2:E69" showDropDown="0" showInputMessage="0" showErrorMessage="0" allowBlank="1" type="list">
      <formula1>"Cash,Credit Card,Debit Card,Travel Card,Other"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5" customWidth="1" min="4" max="4"/>
    <col width="40" customWidth="1" min="5" max="5"/>
  </cols>
  <sheetData>
    <row r="1" ht="32" customHeight="1">
      <c r="A1" s="14" t="inlineStr">
        <is>
          <t>Category</t>
        </is>
      </c>
      <c r="B1" s="14" t="inlineStr">
        <is>
          <t>Planned</t>
        </is>
      </c>
      <c r="C1" s="14" t="inlineStr">
        <is>
          <t>Spent</t>
        </is>
      </c>
      <c r="D1" s="14" t="inlineStr">
        <is>
          <t>Remaining</t>
        </is>
      </c>
      <c r="E1" s="14" t="inlineStr">
        <is>
          <t>Status</t>
        </is>
      </c>
    </row>
    <row r="2">
      <c r="A2" s="16" t="inlineStr">
        <is>
          <t>Accommodation</t>
        </is>
      </c>
      <c r="B2" s="17" t="n">
        <v>600</v>
      </c>
      <c r="C2" s="17" t="n">
        <v>120</v>
      </c>
      <c r="D2" s="18">
        <f>B2-C2</f>
        <v/>
      </c>
      <c r="E2" s="19">
        <f>IF(D2/B2&lt;0.2,"Alert",IF(D2/B2&lt;0.4,"Warning","On Track"))</f>
        <v/>
      </c>
    </row>
    <row r="3">
      <c r="A3" s="16" t="inlineStr">
        <is>
          <t>Transport</t>
        </is>
      </c>
      <c r="B3" s="17" t="n">
        <v>300</v>
      </c>
      <c r="C3" s="17" t="n">
        <v>89.5</v>
      </c>
      <c r="D3" s="18">
        <f>B3-C3</f>
        <v/>
      </c>
      <c r="E3" s="19">
        <f>IF(D3/B3&lt;0.2,"Alert",IF(D3/B3&lt;0.4,"Warning","On Track"))</f>
        <v/>
      </c>
    </row>
    <row r="4">
      <c r="A4" s="16" t="inlineStr">
        <is>
          <t>Food</t>
        </is>
      </c>
      <c r="B4" s="17" t="n">
        <v>350</v>
      </c>
      <c r="C4" s="17" t="n">
        <v>84.40000000000001</v>
      </c>
      <c r="D4" s="18">
        <f>B4-C4</f>
        <v/>
      </c>
      <c r="E4" s="19">
        <f>IF(D4/B4&lt;0.2,"Alert",IF(D4/B4&lt;0.4,"Warning","On Track"))</f>
        <v/>
      </c>
    </row>
    <row r="5">
      <c r="A5" s="16" t="inlineStr">
        <is>
          <t>Activities</t>
        </is>
      </c>
      <c r="B5" s="17" t="n">
        <v>250</v>
      </c>
      <c r="C5" s="17" t="n">
        <v>68</v>
      </c>
      <c r="D5" s="18">
        <f>B5-C5</f>
        <v/>
      </c>
      <c r="E5" s="19">
        <f>IF(D5/B5&lt;0.2,"Alert",IF(D5/B5&lt;0.4,"Warning","On Track"))</f>
        <v/>
      </c>
    </row>
    <row r="6">
      <c r="A6" s="16" t="inlineStr">
        <is>
          <t>Souvenirs</t>
        </is>
      </c>
      <c r="B6" s="17" t="n">
        <v>150</v>
      </c>
      <c r="C6" s="17" t="n">
        <v>89.90000000000001</v>
      </c>
      <c r="D6" s="18">
        <f>B6-C6</f>
        <v/>
      </c>
      <c r="E6" s="19">
        <f>IF(D6/B6&lt;0.2,"Alert",IF(D6/B6&lt;0.4,"Warning","On Track"))</f>
        <v/>
      </c>
    </row>
    <row r="7">
      <c r="A7" s="16" t="inlineStr">
        <is>
          <t>Emergency</t>
        </is>
      </c>
      <c r="B7" s="17" t="n">
        <v>200</v>
      </c>
      <c r="C7" s="17" t="n">
        <v>0</v>
      </c>
      <c r="D7" s="18">
        <f>B7-C7</f>
        <v/>
      </c>
      <c r="E7" s="19">
        <f>IF(D7/B7&lt;0.2,"Alert",IF(D7/B7&lt;0.4,"Warning","On Track"))</f>
        <v/>
      </c>
    </row>
    <row r="8">
      <c r="A8" s="16" t="inlineStr">
        <is>
          <t>Other</t>
        </is>
      </c>
      <c r="B8" s="17" t="n">
        <v>150</v>
      </c>
      <c r="C8" s="17" t="n">
        <v>0</v>
      </c>
      <c r="D8" s="18">
        <f>B8-C8</f>
        <v/>
      </c>
      <c r="E8" s="19">
        <f>IF(D8/B8&lt;0.2,"Alert",IF(D8/B8&lt;0.4,"Warning","On Track"))</f>
        <v/>
      </c>
    </row>
    <row r="9">
      <c r="A9" s="16" t="n"/>
      <c r="B9" s="17" t="n"/>
      <c r="C9" s="17" t="n"/>
      <c r="D9" s="18">
        <f>IF(A9="","",B9-C9)</f>
        <v/>
      </c>
      <c r="E9" s="19">
        <f>IF(A9="","",IF(D9/B9&lt;0.2,"Alert",IF(D9/B9&lt;0.4,"Warning","On Track")))</f>
        <v/>
      </c>
    </row>
    <row r="10">
      <c r="A10" s="16" t="n"/>
      <c r="B10" s="17" t="n"/>
      <c r="C10" s="17" t="n"/>
      <c r="D10" s="18">
        <f>IF(A10="","",B10-C10)</f>
        <v/>
      </c>
      <c r="E10" s="19">
        <f>IF(A10="","",IF(D10/B10&lt;0.2,"Alert",IF(D10/B10&lt;0.4,"Warning","On Track")))</f>
        <v/>
      </c>
    </row>
    <row r="11">
      <c r="A11" s="16" t="n"/>
      <c r="B11" s="17" t="n"/>
      <c r="C11" s="17" t="n"/>
      <c r="D11" s="18">
        <f>IF(A11="","",B11-C11)</f>
        <v/>
      </c>
      <c r="E11" s="19">
        <f>IF(A11="","",IF(D11/B11&lt;0.2,"Alert",IF(D11/B11&lt;0.4,"Warning","On Track")))</f>
        <v/>
      </c>
    </row>
    <row r="12">
      <c r="A12" s="16" t="n"/>
      <c r="B12" s="17" t="n"/>
      <c r="C12" s="17" t="n"/>
      <c r="D12" s="18">
        <f>IF(A12="","",B12-C12)</f>
        <v/>
      </c>
      <c r="E12" s="19">
        <f>IF(A12="","",IF(D12/B12&lt;0.2,"Alert",IF(D12/B12&lt;0.4,"Warning","On Track")))</f>
        <v/>
      </c>
    </row>
    <row r="13">
      <c r="A13" s="16" t="n"/>
      <c r="B13" s="17" t="n"/>
      <c r="C13" s="17" t="n"/>
      <c r="D13" s="18">
        <f>IF(A13="","",B13-C13)</f>
        <v/>
      </c>
      <c r="E13" s="19">
        <f>IF(A13="","",IF(D13/B13&lt;0.2,"Alert",IF(D13/B13&lt;0.4,"Warning","On Track")))</f>
        <v/>
      </c>
    </row>
  </sheetData>
  <conditionalFormatting sqref="B2:B13">
    <cfRule type="cellIs" priority="1" operator="lessThan" dxfId="0">
      <formula>0</formula>
    </cfRule>
  </conditionalFormatting>
  <conditionalFormatting sqref="C2:C13">
    <cfRule type="cellIs" priority="2" operator="lessThan" dxfId="0">
      <formula>0</formula>
    </cfRule>
  </conditionalFormatting>
  <conditionalFormatting sqref="D2:D1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Black Forest Travel Budget Planner &amp; Expense Tracker for Families</dc:title>
  <dcterms:created xsi:type="dcterms:W3CDTF">2026-10-15T11:35:35Z</dcterms:created>
  <dcterms:modified xsi:type="dcterms:W3CDTF">2026-10-15T11:35:35Z</dcterms:modified>
</cp:coreProperties>
</file>