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Ausgaben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'Budget'!$A$2:$A$9</f>
            </numRef>
          </cat>
          <val>
            <numRef>
              <f>'Budget'!$C$2:$C$9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Ausgaben_2168" displayName="T_Ausgaben_2168" ref="A1:F69" headerRowCount="1">
  <autoFilter ref="A1:F69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Budget_3301" displayName="T_Budget_3301" ref="A1:D29" headerRowCount="1">
  <autoFilter ref="A1:D29"/>
  <tableColumns count="4">
    <tableColumn id="1" name="Kategorie"/>
    <tableColumn id="2" name="Budget"/>
    <tableColumn id="3" name="Ausgaben"/>
    <tableColumn id="4" name="Verbleiben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Ausgaben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Hochzeits-Budget-Tracker &amp; Ausgabenplaner</t>
        </is>
      </c>
    </row>
    <row r="3" ht="45" customHeight="1">
      <c r="C3" s="2" t="inlineStr">
        <is>
          <t>Behalten Sie alle Hochzeitsausgaben im Blick und planen Sie Ihr Budget effizient mit dieser professionellen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Laden Sie die Vorlage herunter und öffnen Sie sie in Excel.</t>
        </is>
      </c>
    </row>
    <row r="7" ht="18" customHeight="1">
      <c r="B7" s="4" t="inlineStr">
        <is>
          <t>2.</t>
        </is>
      </c>
      <c r="C7" s="5" t="inlineStr">
        <is>
          <t>Tragen Sie Ihre Hochzeitsausgaben in das Blatt 'Ausgaben' ein.</t>
        </is>
      </c>
    </row>
    <row r="8" ht="18" customHeight="1">
      <c r="B8" s="4" t="inlineStr">
        <is>
          <t>3.</t>
        </is>
      </c>
      <c r="C8" s="5" t="inlineStr">
        <is>
          <t>Nutzen Sie die Dropdown-Menüs zur Kategorisierung.</t>
        </is>
      </c>
    </row>
    <row r="9" ht="18" customHeight="1">
      <c r="B9" s="4" t="inlineStr">
        <is>
          <t>4.</t>
        </is>
      </c>
      <c r="C9" s="5" t="inlineStr">
        <is>
          <t>Überprüfen Sie die automatisch berechneten Summen und KPIs.</t>
        </is>
      </c>
    </row>
    <row r="10" ht="18" customHeight="1">
      <c r="B10" s="4" t="inlineStr">
        <is>
          <t>5.</t>
        </is>
      </c>
      <c r="C10" s="5" t="inlineStr">
        <is>
          <t>Passen Sie die Vorlage bei Bedarf an Ihre Bedürfnisse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Ausgaben</t>
        </is>
      </c>
    </row>
    <row r="17">
      <c r="C17" s="7" t="inlineStr">
        <is>
          <t>→ Budget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Hochzeits-Budget-Tracker &amp; Ausgabenplaner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Gesamtsumme Ausgaben</t>
        </is>
      </c>
      <c r="C5" s="12">
        <f>SUM('Ausgaben'!F2:F300)</f>
        <v/>
      </c>
    </row>
    <row r="6" ht="24" customHeight="1">
      <c r="B6" s="11" t="inlineStr">
        <is>
          <t>Verbleibendes Budget</t>
        </is>
      </c>
      <c r="C6" s="12">
        <f>SUM('Budget'!D2:D300)</f>
        <v/>
      </c>
    </row>
    <row r="7" ht="24" customHeight="1">
      <c r="B7" s="11" t="inlineStr">
        <is>
          <t>Anzahl Kategorien</t>
        </is>
      </c>
      <c r="C7" s="13">
        <f>COUNTA('Budget'!A2:A300)</f>
        <v/>
      </c>
    </row>
    <row r="8" ht="24" customHeight="1">
      <c r="B8" s="11" t="inlineStr">
        <is>
          <t>Durchschnittliche Ausgaben pro Kategorie</t>
        </is>
      </c>
      <c r="C8" s="12">
        <f>AVERAGE('Budget'!C2:C300)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46096</v>
      </c>
      <c r="B2" s="16" t="inlineStr">
        <is>
          <t>Location</t>
        </is>
      </c>
      <c r="C2" s="16" t="inlineStr">
        <is>
          <t>Hochzeitslocation</t>
        </is>
      </c>
      <c r="D2" s="17" t="n">
        <v>1</v>
      </c>
      <c r="E2" s="18" t="n">
        <v>1500</v>
      </c>
      <c r="F2" s="19">
        <f>D2*E2</f>
        <v/>
      </c>
    </row>
    <row r="3">
      <c r="A3" s="15" t="n">
        <v>46101</v>
      </c>
      <c r="B3" s="16" t="inlineStr">
        <is>
          <t>Catering</t>
        </is>
      </c>
      <c r="C3" s="16" t="inlineStr">
        <is>
          <t>Buffet für 50 Gäste</t>
        </is>
      </c>
      <c r="D3" s="17" t="n">
        <v>50</v>
      </c>
      <c r="E3" s="18" t="n">
        <v>25</v>
      </c>
      <c r="F3" s="19">
        <f>D3*E3</f>
        <v/>
      </c>
    </row>
    <row r="4">
      <c r="A4" s="15" t="n">
        <v>46106</v>
      </c>
      <c r="B4" s="16" t="inlineStr">
        <is>
          <t>Deko</t>
        </is>
      </c>
      <c r="C4" s="16" t="inlineStr">
        <is>
          <t>Blumenarrangements</t>
        </is>
      </c>
      <c r="D4" s="17" t="n">
        <v>10</v>
      </c>
      <c r="E4" s="18" t="n">
        <v>50</v>
      </c>
      <c r="F4" s="19">
        <f>D4*E4</f>
        <v/>
      </c>
    </row>
    <row r="5">
      <c r="A5" s="15" t="n">
        <v>46113</v>
      </c>
      <c r="B5" s="16" t="inlineStr">
        <is>
          <t>Musik</t>
        </is>
      </c>
      <c r="C5" s="16" t="inlineStr">
        <is>
          <t>Live-Band</t>
        </is>
      </c>
      <c r="D5" s="17" t="n">
        <v>1</v>
      </c>
      <c r="E5" s="18" t="n">
        <v>800</v>
      </c>
      <c r="F5" s="19">
        <f>D5*E5</f>
        <v/>
      </c>
    </row>
    <row r="6">
      <c r="A6" s="15" t="n">
        <v>46117</v>
      </c>
      <c r="B6" s="16" t="inlineStr">
        <is>
          <t>Fotografie</t>
        </is>
      </c>
      <c r="C6" s="16" t="inlineStr">
        <is>
          <t>Fotograf für 8 Stunden</t>
        </is>
      </c>
      <c r="D6" s="17" t="n">
        <v>1</v>
      </c>
      <c r="E6" s="18" t="n">
        <v>1200</v>
      </c>
      <c r="F6" s="19">
        <f>D6*E6</f>
        <v/>
      </c>
    </row>
    <row r="7">
      <c r="A7" s="15" t="n">
        <v>46122</v>
      </c>
      <c r="B7" s="16" t="inlineStr">
        <is>
          <t>Kleidung</t>
        </is>
      </c>
      <c r="C7" s="16" t="inlineStr">
        <is>
          <t>Brautkleid</t>
        </is>
      </c>
      <c r="D7" s="17" t="n">
        <v>1</v>
      </c>
      <c r="E7" s="18" t="n">
        <v>1500</v>
      </c>
      <c r="F7" s="19">
        <f>D7*E7</f>
        <v/>
      </c>
    </row>
    <row r="8">
      <c r="A8" s="15" t="n">
        <v>46127</v>
      </c>
      <c r="B8" s="16" t="inlineStr">
        <is>
          <t>Einladungen</t>
        </is>
      </c>
      <c r="C8" s="16" t="inlineStr">
        <is>
          <t>Hochzeitskarten</t>
        </is>
      </c>
      <c r="D8" s="17" t="n">
        <v>100</v>
      </c>
      <c r="E8" s="18" t="n">
        <v>2.5</v>
      </c>
      <c r="F8" s="19">
        <f>D8*E8</f>
        <v/>
      </c>
    </row>
    <row r="9">
      <c r="A9" s="15" t="n">
        <v>46132</v>
      </c>
      <c r="B9" s="16" t="inlineStr">
        <is>
          <t>Sonstiges</t>
        </is>
      </c>
      <c r="C9" s="16" t="inlineStr">
        <is>
          <t>Geschenke für Trauzeugen</t>
        </is>
      </c>
      <c r="D9" s="17" t="n">
        <v>2</v>
      </c>
      <c r="E9" s="18" t="n">
        <v>50</v>
      </c>
      <c r="F9" s="19">
        <f>D9*E9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"Location,Catering,Deko,Musik,Fotografie,Kleidung,Einladungen,Sonstiges"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Kategorie</t>
        </is>
      </c>
      <c r="B1" s="14" t="inlineStr">
        <is>
          <t>Budget</t>
        </is>
      </c>
      <c r="C1" s="14" t="inlineStr">
        <is>
          <t>Ausgaben</t>
        </is>
      </c>
      <c r="D1" s="14" t="inlineStr">
        <is>
          <t>Verbleibend</t>
        </is>
      </c>
    </row>
    <row r="2">
      <c r="A2" s="16" t="inlineStr">
        <is>
          <t>Location</t>
        </is>
      </c>
      <c r="B2" s="18" t="n">
        <v>2000</v>
      </c>
      <c r="C2" s="18" t="n">
        <v>1500</v>
      </c>
      <c r="D2" s="19">
        <f>B2-C2</f>
        <v/>
      </c>
    </row>
    <row r="3">
      <c r="A3" s="16" t="inlineStr">
        <is>
          <t>Catering</t>
        </is>
      </c>
      <c r="B3" s="18" t="n">
        <v>1500</v>
      </c>
      <c r="C3" s="18" t="n">
        <v>1250</v>
      </c>
      <c r="D3" s="19">
        <f>B3-C3</f>
        <v/>
      </c>
    </row>
    <row r="4">
      <c r="A4" s="16" t="inlineStr">
        <is>
          <t>Deko</t>
        </is>
      </c>
      <c r="B4" s="18" t="n">
        <v>800</v>
      </c>
      <c r="C4" s="18" t="n">
        <v>500</v>
      </c>
      <c r="D4" s="19">
        <f>B4-C4</f>
        <v/>
      </c>
    </row>
    <row r="5">
      <c r="A5" s="16" t="inlineStr">
        <is>
          <t>Musik</t>
        </is>
      </c>
      <c r="B5" s="18" t="n">
        <v>1000</v>
      </c>
      <c r="C5" s="18" t="n">
        <v>800</v>
      </c>
      <c r="D5" s="19">
        <f>B5-C5</f>
        <v/>
      </c>
    </row>
    <row r="6">
      <c r="A6" s="16" t="inlineStr">
        <is>
          <t>Fotografie</t>
        </is>
      </c>
      <c r="B6" s="18" t="n">
        <v>1500</v>
      </c>
      <c r="C6" s="18" t="n">
        <v>1200</v>
      </c>
      <c r="D6" s="19">
        <f>B6-C6</f>
        <v/>
      </c>
    </row>
    <row r="7">
      <c r="A7" s="16" t="inlineStr">
        <is>
          <t>Kleidung</t>
        </is>
      </c>
      <c r="B7" s="18" t="n">
        <v>2000</v>
      </c>
      <c r="C7" s="18" t="n">
        <v>1500</v>
      </c>
      <c r="D7" s="19">
        <f>B7-C7</f>
        <v/>
      </c>
    </row>
    <row r="8">
      <c r="A8" s="16" t="inlineStr">
        <is>
          <t>Einladungen</t>
        </is>
      </c>
      <c r="B8" s="18" t="n">
        <v>500</v>
      </c>
      <c r="C8" s="18" t="n">
        <v>250</v>
      </c>
      <c r="D8" s="19">
        <f>B8-C8</f>
        <v/>
      </c>
    </row>
    <row r="9">
      <c r="A9" s="16" t="inlineStr">
        <is>
          <t>Sonstiges</t>
        </is>
      </c>
      <c r="B9" s="18" t="n">
        <v>500</v>
      </c>
      <c r="C9" s="18" t="n">
        <v>100</v>
      </c>
      <c r="D9" s="19">
        <f>B9-C9</f>
        <v/>
      </c>
    </row>
    <row r="10">
      <c r="A10" s="16" t="n"/>
      <c r="B10" s="18" t="n"/>
      <c r="C10" s="18" t="n"/>
      <c r="D10" s="19">
        <f>IF(A10="","",B10-C10)</f>
        <v/>
      </c>
    </row>
    <row r="11">
      <c r="A11" s="16" t="n"/>
      <c r="B11" s="18" t="n"/>
      <c r="C11" s="18" t="n"/>
      <c r="D11" s="19">
        <f>IF(A11="","",B11-C11)</f>
        <v/>
      </c>
    </row>
    <row r="12">
      <c r="A12" s="16" t="n"/>
      <c r="B12" s="18" t="n"/>
      <c r="C12" s="18" t="n"/>
      <c r="D12" s="19">
        <f>IF(A12="","",B12-C12)</f>
        <v/>
      </c>
    </row>
    <row r="13">
      <c r="A13" s="16" t="n"/>
      <c r="B13" s="18" t="n"/>
      <c r="C13" s="18" t="n"/>
      <c r="D13" s="19">
        <f>IF(A13="","",B13-C13)</f>
        <v/>
      </c>
    </row>
    <row r="14">
      <c r="A14" s="16" t="n"/>
      <c r="B14" s="18" t="n"/>
      <c r="C14" s="18" t="n"/>
      <c r="D14" s="19">
        <f>IF(A14="","",B14-C14)</f>
        <v/>
      </c>
    </row>
    <row r="15">
      <c r="A15" s="16" t="n"/>
      <c r="B15" s="18" t="n"/>
      <c r="C15" s="18" t="n"/>
      <c r="D15" s="19">
        <f>IF(A15="","",B15-C15)</f>
        <v/>
      </c>
    </row>
    <row r="16">
      <c r="A16" s="16" t="n"/>
      <c r="B16" s="18" t="n"/>
      <c r="C16" s="18" t="n"/>
      <c r="D16" s="19">
        <f>IF(A16="","",B16-C16)</f>
        <v/>
      </c>
    </row>
    <row r="17">
      <c r="A17" s="16" t="n"/>
      <c r="B17" s="18" t="n"/>
      <c r="C17" s="18" t="n"/>
      <c r="D17" s="19">
        <f>IF(A17="","",B17-C17)</f>
        <v/>
      </c>
    </row>
    <row r="18">
      <c r="A18" s="16" t="n"/>
      <c r="B18" s="18" t="n"/>
      <c r="C18" s="18" t="n"/>
      <c r="D18" s="19">
        <f>IF(A18="","",B18-C18)</f>
        <v/>
      </c>
    </row>
    <row r="19">
      <c r="A19" s="16" t="n"/>
      <c r="B19" s="18" t="n"/>
      <c r="C19" s="18" t="n"/>
      <c r="D19" s="19">
        <f>IF(A19="","",B19-C19)</f>
        <v/>
      </c>
    </row>
    <row r="20">
      <c r="A20" s="16" t="n"/>
      <c r="B20" s="18" t="n"/>
      <c r="C20" s="18" t="n"/>
      <c r="D20" s="19">
        <f>IF(A20="","",B20-C20)</f>
        <v/>
      </c>
    </row>
    <row r="21">
      <c r="A21" s="16" t="n"/>
      <c r="B21" s="18" t="n"/>
      <c r="C21" s="18" t="n"/>
      <c r="D21" s="19">
        <f>IF(A21="","",B21-C21)</f>
        <v/>
      </c>
    </row>
    <row r="22">
      <c r="A22" s="16" t="n"/>
      <c r="B22" s="18" t="n"/>
      <c r="C22" s="18" t="n"/>
      <c r="D22" s="19">
        <f>IF(A22="","",B22-C22)</f>
        <v/>
      </c>
    </row>
    <row r="23">
      <c r="A23" s="16" t="n"/>
      <c r="B23" s="18" t="n"/>
      <c r="C23" s="18" t="n"/>
      <c r="D23" s="19">
        <f>IF(A23="","",B23-C23)</f>
        <v/>
      </c>
    </row>
    <row r="24">
      <c r="A24" s="16" t="n"/>
      <c r="B24" s="18" t="n"/>
      <c r="C24" s="18" t="n"/>
      <c r="D24" s="19">
        <f>IF(A24="","",B24-C24)</f>
        <v/>
      </c>
    </row>
    <row r="25">
      <c r="A25" s="16" t="n"/>
      <c r="B25" s="18" t="n"/>
      <c r="C25" s="18" t="n"/>
      <c r="D25" s="19">
        <f>IF(A25="","",B25-C25)</f>
        <v/>
      </c>
    </row>
    <row r="26">
      <c r="A26" s="16" t="n"/>
      <c r="B26" s="18" t="n"/>
      <c r="C26" s="18" t="n"/>
      <c r="D26" s="19">
        <f>IF(A26="","",B26-C26)</f>
        <v/>
      </c>
    </row>
    <row r="27">
      <c r="A27" s="16" t="n"/>
      <c r="B27" s="18" t="n"/>
      <c r="C27" s="18" t="n"/>
      <c r="D27" s="19">
        <f>IF(A27="","",B27-C27)</f>
        <v/>
      </c>
    </row>
    <row r="28">
      <c r="A28" s="16" t="n"/>
      <c r="B28" s="18" t="n"/>
      <c r="C28" s="18" t="n"/>
      <c r="D28" s="19">
        <f>IF(A28="","",B28-C28)</f>
        <v/>
      </c>
    </row>
    <row r="29">
      <c r="A29" s="16" t="n"/>
      <c r="B29" s="18" t="n"/>
      <c r="C29" s="18" t="n"/>
      <c r="D29" s="19">
        <f>IF(A29="","",B29-C29)</f>
        <v/>
      </c>
    </row>
  </sheetData>
  <conditionalFormatting sqref="B2:B29">
    <cfRule type="cellIs" priority="1" operator="lessThan" dxfId="0">
      <formula>0</formula>
    </cfRule>
  </conditionalFormatting>
  <conditionalFormatting sqref="C2:C29">
    <cfRule type="cellIs" priority="2" operator="lessThan" dxfId="0">
      <formula>0</formula>
    </cfRule>
  </conditionalFormatting>
  <conditionalFormatting sqref="D2:D29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Hochzeits-Budget-Tracker &amp; Ausgabenplaner</dc:title>
  <dcterms:created xsi:type="dcterms:W3CDTF">2026-10-20T04:59:22Z</dcterms:created>
  <dcterms:modified xsi:type="dcterms:W3CDTF">2026-10-20T04:59:22Z</dcterms:modified>
</cp:coreProperties>
</file>