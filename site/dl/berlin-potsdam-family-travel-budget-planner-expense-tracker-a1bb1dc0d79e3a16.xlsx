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ExchangeRates" sheetId="4" state="visible" r:id="rId4"/>
    <sheet name="Itine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855" displayName="T_Budget_2855" ref="A1:E65" headerRowCount="1">
  <autoFilter ref="A1:E65"/>
  <tableColumns count="5">
    <tableColumn id="1" name="Date"/>
    <tableColumn id="2" name="Category"/>
    <tableColumn id="3" name="Amount"/>
    <tableColumn id="4" name="Currency"/>
    <tableColumn id="5" name="Conversion to EUR"/>
  </tableColumns>
  <tableStyleInfo name="TableStyleMedium7" showRowStripes="1"/>
</table>
</file>

<file path=xl/tables/table2.xml><?xml version="1.0" encoding="utf-8"?>
<table xmlns="http://schemas.openxmlformats.org/spreadsheetml/2006/main" id="2" name="T_ExchangeRates_3969" displayName="T_ExchangeRates_3969" ref="A1:B14" headerRowCount="1">
  <autoFilter ref="A1:B14"/>
  <tableColumns count="2">
    <tableColumn id="1" name="Currency"/>
    <tableColumn id="2" name="Rate"/>
  </tableColumns>
  <tableStyleInfo name="TableStyleMedium7" showRowStripes="1"/>
</table>
</file>

<file path=xl/tables/table3.xml><?xml version="1.0" encoding="utf-8"?>
<table xmlns="http://schemas.openxmlformats.org/spreadsheetml/2006/main" id="3" name="T_Itinerary_4542" displayName="T_Itinerary_4542" ref="A1:E25" headerRowCount="1">
  <autoFilter ref="A1:E25"/>
  <tableColumns count="5">
    <tableColumn id="1" name="Date"/>
    <tableColumn id="2" name="Time"/>
    <tableColumn id="3" name="Activity"/>
    <tableColumn id="4" name="Location"/>
    <tableColumn id="5" name="Estimated Co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ExchangeRates'!A1" TargetMode="External" Id="rId3" /><Relationship Type="http://schemas.openxmlformats.org/officeDocument/2006/relationships/hyperlink" Target="#'Itinerary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Family Travel Budget Planner &amp; Expense Tracker</t>
        </is>
      </c>
    </row>
    <row r="3" ht="45" customHeight="1">
      <c r="C3" s="2" t="inlineStr">
        <is>
          <t>Effortlessly manage your family travel budget and expenses with this professional Excel template, designed for stress-free planning and tracking.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budget goals.</t>
        </is>
      </c>
    </row>
    <row r="7" ht="30" customHeight="1">
      <c r="B7" s="4" t="inlineStr">
        <is>
          <t>2.</t>
        </is>
      </c>
      <c r="C7" s="5" t="inlineStr">
        <is>
          <t>Track daily expenses with categories like Accommodation, Food, Transport, and Activities.</t>
        </is>
      </c>
    </row>
    <row r="8" ht="18" customHeight="1">
      <c r="B8" s="4" t="inlineStr">
        <is>
          <t>3.</t>
        </is>
      </c>
      <c r="C8" s="5" t="inlineStr">
        <is>
          <t>Monitor your remaining budget and adjust plans accordingly.</t>
        </is>
      </c>
    </row>
    <row r="9" ht="18" customHeight="1">
      <c r="B9" s="4" t="inlineStr">
        <is>
          <t>4.</t>
        </is>
      </c>
      <c r="C9" s="5" t="inlineStr">
        <is>
          <t>Use the itinerary sheet to schedule daily activities and sightseeing.</t>
        </is>
      </c>
    </row>
    <row r="10" ht="18" customHeight="1">
      <c r="B10" s="4" t="inlineStr">
        <is>
          <t>5.</t>
        </is>
      </c>
      <c r="C10" s="5" t="inlineStr">
        <is>
          <t>Review the KPI dashboard for a quick overview of your spending and savings.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ExchangeRates</t>
        </is>
      </c>
    </row>
    <row r="18">
      <c r="C18" s="7" t="inlineStr">
        <is>
          <t>→ Itinerary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Berlin &amp; Potsdam Family Travel Budget Planner &amp; Expense Trac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SUM('Budget'!E2:E300)</f>
        <v/>
      </c>
    </row>
    <row r="6" ht="24" customHeight="1">
      <c r="B6" s="11" t="inlineStr">
        <is>
          <t>Daily Average Spend</t>
        </is>
      </c>
      <c r="C6" s="12">
        <f>AVERAGE('Budget'!C2:C300)</f>
        <v/>
      </c>
    </row>
    <row r="7" ht="24" customHeight="1">
      <c r="B7" s="11" t="inlineStr">
        <is>
          <t>Number of Transactions</t>
        </is>
      </c>
      <c r="C7" s="13">
        <f>COUNTA('Budget'!A2:A300)</f>
        <v/>
      </c>
    </row>
    <row r="8" ht="24" customHeight="1">
      <c r="B8" s="11" t="inlineStr">
        <is>
          <t>Top Spending Category</t>
        </is>
      </c>
      <c r="C8" s="14">
        <f>INDEX('Budget'!B2:B300,MATCH(MAX('Budget'!C2:C300),'Budget'!C2:C300,0))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Amount</t>
        </is>
      </c>
      <c r="D1" s="15" t="inlineStr">
        <is>
          <t>Currency</t>
        </is>
      </c>
      <c r="E1" s="15" t="inlineStr">
        <is>
          <t>Conversion to EUR</t>
        </is>
      </c>
    </row>
    <row r="2">
      <c r="A2" s="16" t="n">
        <v>46037</v>
      </c>
      <c r="B2" s="17" t="inlineStr">
        <is>
          <t>Accommodation</t>
        </is>
      </c>
      <c r="C2" s="18" t="n">
        <v>150</v>
      </c>
      <c r="D2" s="17" t="inlineStr">
        <is>
          <t>EUR</t>
        </is>
      </c>
      <c r="E2" s="19">
        <f>IF(D2="EUR",C2,C2*VLOOKUP(D2,'ExchangeRates'!A2:B10,2,FALSE))</f>
        <v/>
      </c>
    </row>
    <row r="3">
      <c r="A3" s="16" t="n">
        <v>46038</v>
      </c>
      <c r="B3" s="17" t="inlineStr">
        <is>
          <t>Food</t>
        </is>
      </c>
      <c r="C3" s="18" t="n">
        <v>50</v>
      </c>
      <c r="D3" s="17" t="inlineStr">
        <is>
          <t>EUR</t>
        </is>
      </c>
      <c r="E3" s="19">
        <f>IF(D3="EUR",C3,C3*VLOOKUP(D3,'ExchangeRates'!A2:B10,2,FALSE))</f>
        <v/>
      </c>
    </row>
    <row r="4">
      <c r="A4" s="16" t="n">
        <v>46039</v>
      </c>
      <c r="B4" s="17" t="inlineStr">
        <is>
          <t>Transport</t>
        </is>
      </c>
      <c r="C4" s="18" t="n">
        <v>20</v>
      </c>
      <c r="D4" s="17" t="inlineStr">
        <is>
          <t>EUR</t>
        </is>
      </c>
      <c r="E4" s="19">
        <f>IF(D4="EUR",C4,C4*VLOOKUP(D4,'ExchangeRates'!A2:B10,2,FALSE))</f>
        <v/>
      </c>
    </row>
    <row r="5">
      <c r="A5" s="16" t="n">
        <v>46040</v>
      </c>
      <c r="B5" s="17" t="inlineStr">
        <is>
          <t>Activities</t>
        </is>
      </c>
      <c r="C5" s="18" t="n">
        <v>30</v>
      </c>
      <c r="D5" s="17" t="inlineStr">
        <is>
          <t>EUR</t>
        </is>
      </c>
      <c r="E5" s="19">
        <f>IF(D5="EUR",C5,C5*VLOOKUP(D5,'ExchangeRates'!A2:B10,2,FALSE))</f>
        <v/>
      </c>
    </row>
    <row r="6">
      <c r="A6" s="16" t="n"/>
      <c r="B6" s="17" t="n"/>
      <c r="C6" s="18" t="n"/>
      <c r="D6" s="17" t="n"/>
      <c r="E6" s="19">
        <f>IF(A6="","",IF(D6="EUR",C6,C6*VLOOKUP(D6,'ExchangeRates'!A2:B10,2,FALSE)))</f>
        <v/>
      </c>
    </row>
    <row r="7">
      <c r="A7" s="16" t="n"/>
      <c r="B7" s="17" t="n"/>
      <c r="C7" s="18" t="n"/>
      <c r="D7" s="17" t="n"/>
      <c r="E7" s="19">
        <f>IF(A7="","",IF(D7="EUR",C7,C7*VLOOKUP(D7,'ExchangeRates'!A2:B10,2,FALSE)))</f>
        <v/>
      </c>
    </row>
    <row r="8">
      <c r="A8" s="16" t="n"/>
      <c r="B8" s="17" t="n"/>
      <c r="C8" s="18" t="n"/>
      <c r="D8" s="17" t="n"/>
      <c r="E8" s="19">
        <f>IF(A8="","",IF(D8="EUR",C8,C8*VLOOKUP(D8,'ExchangeRates'!A2:B10,2,FALSE)))</f>
        <v/>
      </c>
    </row>
    <row r="9">
      <c r="A9" s="16" t="n"/>
      <c r="B9" s="17" t="n"/>
      <c r="C9" s="18" t="n"/>
      <c r="D9" s="17" t="n"/>
      <c r="E9" s="19">
        <f>IF(A9="","",IF(D9="EUR",C9,C9*VLOOKUP(D9,'ExchangeRates'!A2:B10,2,FALSE)))</f>
        <v/>
      </c>
    </row>
    <row r="10">
      <c r="A10" s="16" t="n"/>
      <c r="B10" s="17" t="n"/>
      <c r="C10" s="18" t="n"/>
      <c r="D10" s="17" t="n"/>
      <c r="E10" s="19">
        <f>IF(A10="","",IF(D10="EUR",C10,C10*VLOOKUP(D10,'ExchangeRates'!A2:B10,2,FALSE)))</f>
        <v/>
      </c>
    </row>
    <row r="11">
      <c r="A11" s="16" t="n"/>
      <c r="B11" s="17" t="n"/>
      <c r="C11" s="18" t="n"/>
      <c r="D11" s="17" t="n"/>
      <c r="E11" s="19">
        <f>IF(A11="","",IF(D11="EUR",C11,C11*VLOOKUP(D11,'ExchangeRates'!A2:B10,2,FALSE)))</f>
        <v/>
      </c>
    </row>
    <row r="12">
      <c r="A12" s="16" t="n"/>
      <c r="B12" s="17" t="n"/>
      <c r="C12" s="18" t="n"/>
      <c r="D12" s="17" t="n"/>
      <c r="E12" s="19">
        <f>IF(A12="","",IF(D12="EUR",C12,C12*VLOOKUP(D12,'ExchangeRates'!A2:B10,2,FALSE)))</f>
        <v/>
      </c>
    </row>
    <row r="13">
      <c r="A13" s="16" t="n"/>
      <c r="B13" s="17" t="n"/>
      <c r="C13" s="18" t="n"/>
      <c r="D13" s="17" t="n"/>
      <c r="E13" s="19">
        <f>IF(A13="","",IF(D13="EUR",C13,C13*VLOOKUP(D13,'ExchangeRates'!A2:B10,2,FALSE)))</f>
        <v/>
      </c>
    </row>
    <row r="14">
      <c r="A14" s="16" t="n"/>
      <c r="B14" s="17" t="n"/>
      <c r="C14" s="18" t="n"/>
      <c r="D14" s="17" t="n"/>
      <c r="E14" s="19">
        <f>IF(A14="","",IF(D14="EUR",C14,C14*VLOOKUP(D14,'ExchangeRates'!A2:B10,2,FALSE)))</f>
        <v/>
      </c>
    </row>
    <row r="15">
      <c r="A15" s="16" t="n"/>
      <c r="B15" s="17" t="n"/>
      <c r="C15" s="18" t="n"/>
      <c r="D15" s="17" t="n"/>
      <c r="E15" s="19">
        <f>IF(A15="","",IF(D15="EUR",C15,C15*VLOOKUP(D15,'ExchangeRates'!A2:B10,2,FALSE)))</f>
        <v/>
      </c>
    </row>
    <row r="16">
      <c r="A16" s="16" t="n"/>
      <c r="B16" s="17" t="n"/>
      <c r="C16" s="18" t="n"/>
      <c r="D16" s="17" t="n"/>
      <c r="E16" s="19">
        <f>IF(A16="","",IF(D16="EUR",C16,C16*VLOOKUP(D16,'ExchangeRates'!A2:B10,2,FALSE)))</f>
        <v/>
      </c>
    </row>
    <row r="17">
      <c r="A17" s="16" t="n"/>
      <c r="B17" s="17" t="n"/>
      <c r="C17" s="18" t="n"/>
      <c r="D17" s="17" t="n"/>
      <c r="E17" s="19">
        <f>IF(A17="","",IF(D17="EUR",C17,C17*VLOOKUP(D17,'ExchangeRates'!A2:B10,2,FALSE)))</f>
        <v/>
      </c>
    </row>
    <row r="18">
      <c r="A18" s="16" t="n"/>
      <c r="B18" s="17" t="n"/>
      <c r="C18" s="18" t="n"/>
      <c r="D18" s="17" t="n"/>
      <c r="E18" s="19">
        <f>IF(A18="","",IF(D18="EUR",C18,C18*VLOOKUP(D18,'ExchangeRates'!A2:B10,2,FALSE)))</f>
        <v/>
      </c>
    </row>
    <row r="19">
      <c r="A19" s="16" t="n"/>
      <c r="B19" s="17" t="n"/>
      <c r="C19" s="18" t="n"/>
      <c r="D19" s="17" t="n"/>
      <c r="E19" s="19">
        <f>IF(A19="","",IF(D19="EUR",C19,C19*VLOOKUP(D19,'ExchangeRates'!A2:B10,2,FALSE)))</f>
        <v/>
      </c>
    </row>
    <row r="20">
      <c r="A20" s="16" t="n"/>
      <c r="B20" s="17" t="n"/>
      <c r="C20" s="18" t="n"/>
      <c r="D20" s="17" t="n"/>
      <c r="E20" s="19">
        <f>IF(A20="","",IF(D20="EUR",C20,C20*VLOOKUP(D20,'ExchangeRates'!A2:B10,2,FALSE)))</f>
        <v/>
      </c>
    </row>
    <row r="21">
      <c r="A21" s="16" t="n"/>
      <c r="B21" s="17" t="n"/>
      <c r="C21" s="18" t="n"/>
      <c r="D21" s="17" t="n"/>
      <c r="E21" s="19">
        <f>IF(A21="","",IF(D21="EUR",C21,C21*VLOOKUP(D21,'ExchangeRates'!A2:B10,2,FALSE)))</f>
        <v/>
      </c>
    </row>
    <row r="22">
      <c r="A22" s="16" t="n"/>
      <c r="B22" s="17" t="n"/>
      <c r="C22" s="18" t="n"/>
      <c r="D22" s="17" t="n"/>
      <c r="E22" s="19">
        <f>IF(A22="","",IF(D22="EUR",C22,C22*VLOOKUP(D22,'ExchangeRates'!A2:B10,2,FALSE)))</f>
        <v/>
      </c>
    </row>
    <row r="23">
      <c r="A23" s="16" t="n"/>
      <c r="B23" s="17" t="n"/>
      <c r="C23" s="18" t="n"/>
      <c r="D23" s="17" t="n"/>
      <c r="E23" s="19">
        <f>IF(A23="","",IF(D23="EUR",C23,C23*VLOOKUP(D23,'ExchangeRates'!A2:B10,2,FALSE)))</f>
        <v/>
      </c>
    </row>
    <row r="24">
      <c r="A24" s="16" t="n"/>
      <c r="B24" s="17" t="n"/>
      <c r="C24" s="18" t="n"/>
      <c r="D24" s="17" t="n"/>
      <c r="E24" s="19">
        <f>IF(A24="","",IF(D24="EUR",C24,C24*VLOOKUP(D24,'ExchangeRates'!A2:B10,2,FALSE)))</f>
        <v/>
      </c>
    </row>
    <row r="25">
      <c r="A25" s="16" t="n"/>
      <c r="B25" s="17" t="n"/>
      <c r="C25" s="18" t="n"/>
      <c r="D25" s="17" t="n"/>
      <c r="E25" s="19">
        <f>IF(A25="","",IF(D25="EUR",C25,C25*VLOOKUP(D25,'ExchangeRates'!A2:B10,2,FALSE)))</f>
        <v/>
      </c>
    </row>
    <row r="26">
      <c r="A26" s="16" t="n"/>
      <c r="B26" s="17" t="n"/>
      <c r="C26" s="18" t="n"/>
      <c r="D26" s="17" t="n"/>
      <c r="E26" s="19">
        <f>IF(A26="","",IF(D26="EUR",C26,C26*VLOOKUP(D26,'ExchangeRates'!A2:B10,2,FALSE)))</f>
        <v/>
      </c>
    </row>
    <row r="27">
      <c r="A27" s="16" t="n"/>
      <c r="B27" s="17" t="n"/>
      <c r="C27" s="18" t="n"/>
      <c r="D27" s="17" t="n"/>
      <c r="E27" s="19">
        <f>IF(A27="","",IF(D27="EUR",C27,C27*VLOOKUP(D27,'ExchangeRates'!A2:B10,2,FALSE)))</f>
        <v/>
      </c>
    </row>
    <row r="28">
      <c r="A28" s="16" t="n"/>
      <c r="B28" s="17" t="n"/>
      <c r="C28" s="18" t="n"/>
      <c r="D28" s="17" t="n"/>
      <c r="E28" s="19">
        <f>IF(A28="","",IF(D28="EUR",C28,C28*VLOOKUP(D28,'ExchangeRates'!A2:B10,2,FALSE)))</f>
        <v/>
      </c>
    </row>
    <row r="29">
      <c r="A29" s="16" t="n"/>
      <c r="B29" s="17" t="n"/>
      <c r="C29" s="18" t="n"/>
      <c r="D29" s="17" t="n"/>
      <c r="E29" s="19">
        <f>IF(A29="","",IF(D29="EUR",C29,C29*VLOOKUP(D29,'ExchangeRates'!A2:B10,2,FALSE)))</f>
        <v/>
      </c>
    </row>
    <row r="30">
      <c r="A30" s="16" t="n"/>
      <c r="B30" s="17" t="n"/>
      <c r="C30" s="18" t="n"/>
      <c r="D30" s="17" t="n"/>
      <c r="E30" s="19">
        <f>IF(A30="","",IF(D30="EUR",C30,C30*VLOOKUP(D30,'ExchangeRates'!A2:B10,2,FALSE)))</f>
        <v/>
      </c>
    </row>
    <row r="31">
      <c r="A31" s="16" t="n"/>
      <c r="B31" s="17" t="n"/>
      <c r="C31" s="18" t="n"/>
      <c r="D31" s="17" t="n"/>
      <c r="E31" s="19">
        <f>IF(A31="","",IF(D31="EUR",C31,C31*VLOOKUP(D31,'ExchangeRates'!A2:B10,2,FALSE)))</f>
        <v/>
      </c>
    </row>
    <row r="32">
      <c r="A32" s="16" t="n"/>
      <c r="B32" s="17" t="n"/>
      <c r="C32" s="18" t="n"/>
      <c r="D32" s="17" t="n"/>
      <c r="E32" s="19">
        <f>IF(A32="","",IF(D32="EUR",C32,C32*VLOOKUP(D32,'ExchangeRates'!A2:B10,2,FALSE)))</f>
        <v/>
      </c>
    </row>
    <row r="33">
      <c r="A33" s="16" t="n"/>
      <c r="B33" s="17" t="n"/>
      <c r="C33" s="18" t="n"/>
      <c r="D33" s="17" t="n"/>
      <c r="E33" s="19">
        <f>IF(A33="","",IF(D33="EUR",C33,C33*VLOOKUP(D33,'ExchangeRates'!A2:B10,2,FALSE)))</f>
        <v/>
      </c>
    </row>
    <row r="34">
      <c r="A34" s="16" t="n"/>
      <c r="B34" s="17" t="n"/>
      <c r="C34" s="18" t="n"/>
      <c r="D34" s="17" t="n"/>
      <c r="E34" s="19">
        <f>IF(A34="","",IF(D34="EUR",C34,C34*VLOOKUP(D34,'ExchangeRates'!A2:B10,2,FALSE)))</f>
        <v/>
      </c>
    </row>
    <row r="35">
      <c r="A35" s="16" t="n"/>
      <c r="B35" s="17" t="n"/>
      <c r="C35" s="18" t="n"/>
      <c r="D35" s="17" t="n"/>
      <c r="E35" s="19">
        <f>IF(A35="","",IF(D35="EUR",C35,C35*VLOOKUP(D35,'ExchangeRates'!A2:B10,2,FALSE)))</f>
        <v/>
      </c>
    </row>
    <row r="36">
      <c r="A36" s="16" t="n"/>
      <c r="B36" s="17" t="n"/>
      <c r="C36" s="18" t="n"/>
      <c r="D36" s="17" t="n"/>
      <c r="E36" s="19">
        <f>IF(A36="","",IF(D36="EUR",C36,C36*VLOOKUP(D36,'ExchangeRates'!A2:B10,2,FALSE)))</f>
        <v/>
      </c>
    </row>
    <row r="37">
      <c r="A37" s="16" t="n"/>
      <c r="B37" s="17" t="n"/>
      <c r="C37" s="18" t="n"/>
      <c r="D37" s="17" t="n"/>
      <c r="E37" s="19">
        <f>IF(A37="","",IF(D37="EUR",C37,C37*VLOOKUP(D37,'ExchangeRates'!A2:B10,2,FALSE)))</f>
        <v/>
      </c>
    </row>
    <row r="38">
      <c r="A38" s="16" t="n"/>
      <c r="B38" s="17" t="n"/>
      <c r="C38" s="18" t="n"/>
      <c r="D38" s="17" t="n"/>
      <c r="E38" s="19">
        <f>IF(A38="","",IF(D38="EUR",C38,C38*VLOOKUP(D38,'ExchangeRates'!A2:B10,2,FALSE)))</f>
        <v/>
      </c>
    </row>
    <row r="39">
      <c r="A39" s="16" t="n"/>
      <c r="B39" s="17" t="n"/>
      <c r="C39" s="18" t="n"/>
      <c r="D39" s="17" t="n"/>
      <c r="E39" s="19">
        <f>IF(A39="","",IF(D39="EUR",C39,C39*VLOOKUP(D39,'ExchangeRates'!A2:B10,2,FALSE)))</f>
        <v/>
      </c>
    </row>
    <row r="40">
      <c r="A40" s="16" t="n"/>
      <c r="B40" s="17" t="n"/>
      <c r="C40" s="18" t="n"/>
      <c r="D40" s="17" t="n"/>
      <c r="E40" s="19">
        <f>IF(A40="","",IF(D40="EUR",C40,C40*VLOOKUP(D40,'ExchangeRates'!A2:B10,2,FALSE)))</f>
        <v/>
      </c>
    </row>
    <row r="41">
      <c r="A41" s="16" t="n"/>
      <c r="B41" s="17" t="n"/>
      <c r="C41" s="18" t="n"/>
      <c r="D41" s="17" t="n"/>
      <c r="E41" s="19">
        <f>IF(A41="","",IF(D41="EUR",C41,C41*VLOOKUP(D41,'ExchangeRates'!A2:B10,2,FALSE)))</f>
        <v/>
      </c>
    </row>
    <row r="42">
      <c r="A42" s="16" t="n"/>
      <c r="B42" s="17" t="n"/>
      <c r="C42" s="18" t="n"/>
      <c r="D42" s="17" t="n"/>
      <c r="E42" s="19">
        <f>IF(A42="","",IF(D42="EUR",C42,C42*VLOOKUP(D42,'ExchangeRates'!A2:B10,2,FALSE)))</f>
        <v/>
      </c>
    </row>
    <row r="43">
      <c r="A43" s="16" t="n"/>
      <c r="B43" s="17" t="n"/>
      <c r="C43" s="18" t="n"/>
      <c r="D43" s="17" t="n"/>
      <c r="E43" s="19">
        <f>IF(A43="","",IF(D43="EUR",C43,C43*VLOOKUP(D43,'ExchangeRates'!A2:B10,2,FALSE)))</f>
        <v/>
      </c>
    </row>
    <row r="44">
      <c r="A44" s="16" t="n"/>
      <c r="B44" s="17" t="n"/>
      <c r="C44" s="18" t="n"/>
      <c r="D44" s="17" t="n"/>
      <c r="E44" s="19">
        <f>IF(A44="","",IF(D44="EUR",C44,C44*VLOOKUP(D44,'ExchangeRates'!A2:B10,2,FALSE)))</f>
        <v/>
      </c>
    </row>
    <row r="45">
      <c r="A45" s="16" t="n"/>
      <c r="B45" s="17" t="n"/>
      <c r="C45" s="18" t="n"/>
      <c r="D45" s="17" t="n"/>
      <c r="E45" s="19">
        <f>IF(A45="","",IF(D45="EUR",C45,C45*VLOOKUP(D45,'ExchangeRates'!A2:B10,2,FALSE)))</f>
        <v/>
      </c>
    </row>
    <row r="46">
      <c r="A46" s="16" t="n"/>
      <c r="B46" s="17" t="n"/>
      <c r="C46" s="18" t="n"/>
      <c r="D46" s="17" t="n"/>
      <c r="E46" s="19">
        <f>IF(A46="","",IF(D46="EUR",C46,C46*VLOOKUP(D46,'ExchangeRates'!A2:B10,2,FALSE)))</f>
        <v/>
      </c>
    </row>
    <row r="47">
      <c r="A47" s="16" t="n"/>
      <c r="B47" s="17" t="n"/>
      <c r="C47" s="18" t="n"/>
      <c r="D47" s="17" t="n"/>
      <c r="E47" s="19">
        <f>IF(A47="","",IF(D47="EUR",C47,C47*VLOOKUP(D47,'ExchangeRates'!A2:B10,2,FALSE)))</f>
        <v/>
      </c>
    </row>
    <row r="48">
      <c r="A48" s="16" t="n"/>
      <c r="B48" s="17" t="n"/>
      <c r="C48" s="18" t="n"/>
      <c r="D48" s="17" t="n"/>
      <c r="E48" s="19">
        <f>IF(A48="","",IF(D48="EUR",C48,C48*VLOOKUP(D48,'ExchangeRates'!A2:B10,2,FALSE)))</f>
        <v/>
      </c>
    </row>
    <row r="49">
      <c r="A49" s="16" t="n"/>
      <c r="B49" s="17" t="n"/>
      <c r="C49" s="18" t="n"/>
      <c r="D49" s="17" t="n"/>
      <c r="E49" s="19">
        <f>IF(A49="","",IF(D49="EUR",C49,C49*VLOOKUP(D49,'ExchangeRates'!A2:B10,2,FALSE)))</f>
        <v/>
      </c>
    </row>
    <row r="50">
      <c r="A50" s="16" t="n"/>
      <c r="B50" s="17" t="n"/>
      <c r="C50" s="18" t="n"/>
      <c r="D50" s="17" t="n"/>
      <c r="E50" s="19">
        <f>IF(A50="","",IF(D50="EUR",C50,C50*VLOOKUP(D50,'ExchangeRates'!A2:B10,2,FALSE)))</f>
        <v/>
      </c>
    </row>
    <row r="51">
      <c r="A51" s="16" t="n"/>
      <c r="B51" s="17" t="n"/>
      <c r="C51" s="18" t="n"/>
      <c r="D51" s="17" t="n"/>
      <c r="E51" s="19">
        <f>IF(A51="","",IF(D51="EUR",C51,C51*VLOOKUP(D51,'ExchangeRates'!A2:B10,2,FALSE)))</f>
        <v/>
      </c>
    </row>
    <row r="52">
      <c r="A52" s="16" t="n"/>
      <c r="B52" s="17" t="n"/>
      <c r="C52" s="18" t="n"/>
      <c r="D52" s="17" t="n"/>
      <c r="E52" s="19">
        <f>IF(A52="","",IF(D52="EUR",C52,C52*VLOOKUP(D52,'ExchangeRates'!A2:B10,2,FALSE)))</f>
        <v/>
      </c>
    </row>
    <row r="53">
      <c r="A53" s="16" t="n"/>
      <c r="B53" s="17" t="n"/>
      <c r="C53" s="18" t="n"/>
      <c r="D53" s="17" t="n"/>
      <c r="E53" s="19">
        <f>IF(A53="","",IF(D53="EUR",C53,C53*VLOOKUP(D53,'ExchangeRates'!A2:B10,2,FALSE)))</f>
        <v/>
      </c>
    </row>
    <row r="54">
      <c r="A54" s="16" t="n"/>
      <c r="B54" s="17" t="n"/>
      <c r="C54" s="18" t="n"/>
      <c r="D54" s="17" t="n"/>
      <c r="E54" s="19">
        <f>IF(A54="","",IF(D54="EUR",C54,C54*VLOOKUP(D54,'ExchangeRates'!A2:B10,2,FALSE)))</f>
        <v/>
      </c>
    </row>
    <row r="55">
      <c r="A55" s="16" t="n"/>
      <c r="B55" s="17" t="n"/>
      <c r="C55" s="18" t="n"/>
      <c r="D55" s="17" t="n"/>
      <c r="E55" s="19">
        <f>IF(A55="","",IF(D55="EUR",C55,C55*VLOOKUP(D55,'ExchangeRates'!A2:B10,2,FALSE)))</f>
        <v/>
      </c>
    </row>
    <row r="56">
      <c r="A56" s="16" t="n"/>
      <c r="B56" s="17" t="n"/>
      <c r="C56" s="18" t="n"/>
      <c r="D56" s="17" t="n"/>
      <c r="E56" s="19">
        <f>IF(A56="","",IF(D56="EUR",C56,C56*VLOOKUP(D56,'ExchangeRates'!A2:B10,2,FALSE)))</f>
        <v/>
      </c>
    </row>
    <row r="57">
      <c r="A57" s="16" t="n"/>
      <c r="B57" s="17" t="n"/>
      <c r="C57" s="18" t="n"/>
      <c r="D57" s="17" t="n"/>
      <c r="E57" s="19">
        <f>IF(A57="","",IF(D57="EUR",C57,C57*VLOOKUP(D57,'ExchangeRates'!A2:B10,2,FALSE)))</f>
        <v/>
      </c>
    </row>
    <row r="58">
      <c r="A58" s="16" t="n"/>
      <c r="B58" s="17" t="n"/>
      <c r="C58" s="18" t="n"/>
      <c r="D58" s="17" t="n"/>
      <c r="E58" s="19">
        <f>IF(A58="","",IF(D58="EUR",C58,C58*VLOOKUP(D58,'ExchangeRates'!A2:B10,2,FALSE)))</f>
        <v/>
      </c>
    </row>
    <row r="59">
      <c r="A59" s="16" t="n"/>
      <c r="B59" s="17" t="n"/>
      <c r="C59" s="18" t="n"/>
      <c r="D59" s="17" t="n"/>
      <c r="E59" s="19">
        <f>IF(A59="","",IF(D59="EUR",C59,C59*VLOOKUP(D59,'ExchangeRates'!A2:B10,2,FALSE)))</f>
        <v/>
      </c>
    </row>
    <row r="60">
      <c r="A60" s="16" t="n"/>
      <c r="B60" s="17" t="n"/>
      <c r="C60" s="18" t="n"/>
      <c r="D60" s="17" t="n"/>
      <c r="E60" s="19">
        <f>IF(A60="","",IF(D60="EUR",C60,C60*VLOOKUP(D60,'ExchangeRates'!A2:B10,2,FALSE)))</f>
        <v/>
      </c>
    </row>
    <row r="61">
      <c r="A61" s="16" t="n"/>
      <c r="B61" s="17" t="n"/>
      <c r="C61" s="18" t="n"/>
      <c r="D61" s="17" t="n"/>
      <c r="E61" s="19">
        <f>IF(A61="","",IF(D61="EUR",C61,C61*VLOOKUP(D61,'ExchangeRates'!A2:B10,2,FALSE)))</f>
        <v/>
      </c>
    </row>
    <row r="62">
      <c r="A62" s="16" t="n"/>
      <c r="B62" s="17" t="n"/>
      <c r="C62" s="18" t="n"/>
      <c r="D62" s="17" t="n"/>
      <c r="E62" s="19">
        <f>IF(A62="","",IF(D62="EUR",C62,C62*VLOOKUP(D62,'ExchangeRates'!A2:B10,2,FALSE)))</f>
        <v/>
      </c>
    </row>
    <row r="63">
      <c r="A63" s="16" t="n"/>
      <c r="B63" s="17" t="n"/>
      <c r="C63" s="18" t="n"/>
      <c r="D63" s="17" t="n"/>
      <c r="E63" s="19">
        <f>IF(A63="","",IF(D63="EUR",C63,C63*VLOOKUP(D63,'ExchangeRates'!A2:B10,2,FALSE)))</f>
        <v/>
      </c>
    </row>
    <row r="64">
      <c r="A64" s="16" t="n"/>
      <c r="B64" s="17" t="n"/>
      <c r="C64" s="18" t="n"/>
      <c r="D64" s="17" t="n"/>
      <c r="E64" s="19">
        <f>IF(A64="","",IF(D64="EUR",C64,C64*VLOOKUP(D64,'ExchangeRates'!A2:B10,2,FALSE)))</f>
        <v/>
      </c>
    </row>
    <row r="65">
      <c r="A65" s="16" t="n"/>
      <c r="B65" s="17" t="n"/>
      <c r="C65" s="18" t="n"/>
      <c r="D65" s="17" t="n"/>
      <c r="E65" s="19">
        <f>IF(A65="","",IF(D65="EUR",C65,C65*VLOOKUP(D65,'ExchangeRates'!A2:B10,2,FALSE)))</f>
        <v/>
      </c>
    </row>
  </sheetData>
  <conditionalFormatting sqref="C2:C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"Accommodation,Food,Transport,Activities,Other"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Currency</t>
        </is>
      </c>
      <c r="B1" s="15" t="inlineStr">
        <is>
          <t>Rate</t>
        </is>
      </c>
    </row>
    <row r="2">
      <c r="A2" s="17" t="inlineStr">
        <is>
          <t>USD</t>
        </is>
      </c>
      <c r="B2" s="18" t="n">
        <v>0.92</v>
      </c>
    </row>
    <row r="3">
      <c r="A3" s="17" t="inlineStr">
        <is>
          <t>GBP</t>
        </is>
      </c>
      <c r="B3" s="18" t="n">
        <v>1.15</v>
      </c>
    </row>
    <row r="4">
      <c r="A4" s="17" t="inlineStr">
        <is>
          <t>CHF</t>
        </is>
      </c>
      <c r="B4" s="18" t="n">
        <v>0.95</v>
      </c>
    </row>
    <row r="5">
      <c r="A5" s="17" t="n"/>
      <c r="B5" s="18" t="n"/>
    </row>
    <row r="6">
      <c r="A6" s="17" t="n"/>
      <c r="B6" s="18" t="n"/>
    </row>
    <row r="7">
      <c r="A7" s="17" t="n"/>
      <c r="B7" s="18" t="n"/>
    </row>
    <row r="8">
      <c r="A8" s="17" t="n"/>
      <c r="B8" s="18" t="n"/>
    </row>
    <row r="9">
      <c r="A9" s="17" t="n"/>
      <c r="B9" s="18" t="n"/>
    </row>
    <row r="10">
      <c r="A10" s="17" t="n"/>
      <c r="B10" s="18" t="n"/>
    </row>
    <row r="11">
      <c r="A11" s="17" t="n"/>
      <c r="B11" s="18" t="n"/>
    </row>
    <row r="12">
      <c r="A12" s="17" t="n"/>
      <c r="B12" s="18" t="n"/>
    </row>
    <row r="13">
      <c r="A13" s="17" t="n"/>
      <c r="B13" s="18" t="n"/>
    </row>
    <row r="14">
      <c r="A14" s="17" t="n"/>
      <c r="B14" s="18" t="n"/>
    </row>
  </sheetData>
  <conditionalFormatting sqref="B2:B1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  <col width="17" customWidth="1" min="5" max="5"/>
  </cols>
  <sheetData>
    <row r="1" ht="32" customHeight="1">
      <c r="A1" s="15" t="inlineStr">
        <is>
          <t>Date</t>
        </is>
      </c>
      <c r="B1" s="15" t="inlineStr">
        <is>
          <t>Time</t>
        </is>
      </c>
      <c r="C1" s="15" t="inlineStr">
        <is>
          <t>Activity</t>
        </is>
      </c>
      <c r="D1" s="15" t="inlineStr">
        <is>
          <t>Location</t>
        </is>
      </c>
      <c r="E1" s="15" t="inlineStr">
        <is>
          <t>Estimated Cost</t>
        </is>
      </c>
    </row>
    <row r="2">
      <c r="A2" s="16" t="n">
        <v>46037</v>
      </c>
      <c r="B2" s="17" t="inlineStr">
        <is>
          <t>10:00</t>
        </is>
      </c>
      <c r="C2" s="17" t="inlineStr">
        <is>
          <t>Brandenburg Gate</t>
        </is>
      </c>
      <c r="D2" s="17" t="inlineStr">
        <is>
          <t>Berlin</t>
        </is>
      </c>
      <c r="E2" s="20" t="n">
        <v>0</v>
      </c>
    </row>
    <row r="3">
      <c r="A3" s="16" t="n">
        <v>46037</v>
      </c>
      <c r="B3" s="17" t="inlineStr">
        <is>
          <t>14:00</t>
        </is>
      </c>
      <c r="C3" s="17" t="inlineStr">
        <is>
          <t>Lunch</t>
        </is>
      </c>
      <c r="D3" s="17" t="inlineStr">
        <is>
          <t>Berlin</t>
        </is>
      </c>
      <c r="E3" s="20" t="n">
        <v>20</v>
      </c>
    </row>
    <row r="4">
      <c r="A4" s="16" t="n">
        <v>46038</v>
      </c>
      <c r="B4" s="17" t="inlineStr">
        <is>
          <t>09:00</t>
        </is>
      </c>
      <c r="C4" s="17" t="inlineStr">
        <is>
          <t>Potsdam Palace</t>
        </is>
      </c>
      <c r="D4" s="17" t="inlineStr">
        <is>
          <t>Potsdam</t>
        </is>
      </c>
      <c r="E4" s="20" t="n">
        <v>10</v>
      </c>
    </row>
    <row r="5">
      <c r="A5" s="16" t="n">
        <v>46038</v>
      </c>
      <c r="B5" s="17" t="inlineStr">
        <is>
          <t>12:00</t>
        </is>
      </c>
      <c r="C5" s="17" t="inlineStr">
        <is>
          <t>Lunch</t>
        </is>
      </c>
      <c r="D5" s="17" t="inlineStr">
        <is>
          <t>Potsdam</t>
        </is>
      </c>
      <c r="E5" s="20" t="n">
        <v>15</v>
      </c>
    </row>
    <row r="6">
      <c r="A6" s="16" t="n"/>
      <c r="B6" s="17" t="n"/>
      <c r="C6" s="17" t="n"/>
      <c r="D6" s="17" t="n"/>
      <c r="E6" s="20" t="n"/>
    </row>
    <row r="7">
      <c r="A7" s="16" t="n"/>
      <c r="B7" s="17" t="n"/>
      <c r="C7" s="17" t="n"/>
      <c r="D7" s="17" t="n"/>
      <c r="E7" s="20" t="n"/>
    </row>
    <row r="8">
      <c r="A8" s="16" t="n"/>
      <c r="B8" s="17" t="n"/>
      <c r="C8" s="17" t="n"/>
      <c r="D8" s="17" t="n"/>
      <c r="E8" s="20" t="n"/>
    </row>
    <row r="9">
      <c r="A9" s="16" t="n"/>
      <c r="B9" s="17" t="n"/>
      <c r="C9" s="17" t="n"/>
      <c r="D9" s="17" t="n"/>
      <c r="E9" s="20" t="n"/>
    </row>
    <row r="10">
      <c r="A10" s="16" t="n"/>
      <c r="B10" s="17" t="n"/>
      <c r="C10" s="17" t="n"/>
      <c r="D10" s="17" t="n"/>
      <c r="E10" s="20" t="n"/>
    </row>
    <row r="11">
      <c r="A11" s="16" t="n"/>
      <c r="B11" s="17" t="n"/>
      <c r="C11" s="17" t="n"/>
      <c r="D11" s="17" t="n"/>
      <c r="E11" s="20" t="n"/>
    </row>
    <row r="12">
      <c r="A12" s="16" t="n"/>
      <c r="B12" s="17" t="n"/>
      <c r="C12" s="17" t="n"/>
      <c r="D12" s="17" t="n"/>
      <c r="E12" s="20" t="n"/>
    </row>
    <row r="13">
      <c r="A13" s="16" t="n"/>
      <c r="B13" s="17" t="n"/>
      <c r="C13" s="17" t="n"/>
      <c r="D13" s="17" t="n"/>
      <c r="E13" s="20" t="n"/>
    </row>
    <row r="14">
      <c r="A14" s="16" t="n"/>
      <c r="B14" s="17" t="n"/>
      <c r="C14" s="17" t="n"/>
      <c r="D14" s="17" t="n"/>
      <c r="E14" s="20" t="n"/>
    </row>
    <row r="15">
      <c r="A15" s="16" t="n"/>
      <c r="B15" s="17" t="n"/>
      <c r="C15" s="17" t="n"/>
      <c r="D15" s="17" t="n"/>
      <c r="E15" s="20" t="n"/>
    </row>
    <row r="16">
      <c r="A16" s="16" t="n"/>
      <c r="B16" s="17" t="n"/>
      <c r="C16" s="17" t="n"/>
      <c r="D16" s="17" t="n"/>
      <c r="E16" s="20" t="n"/>
    </row>
    <row r="17">
      <c r="A17" s="16" t="n"/>
      <c r="B17" s="17" t="n"/>
      <c r="C17" s="17" t="n"/>
      <c r="D17" s="17" t="n"/>
      <c r="E17" s="20" t="n"/>
    </row>
    <row r="18">
      <c r="A18" s="16" t="n"/>
      <c r="B18" s="17" t="n"/>
      <c r="C18" s="17" t="n"/>
      <c r="D18" s="17" t="n"/>
      <c r="E18" s="20" t="n"/>
    </row>
    <row r="19">
      <c r="A19" s="16" t="n"/>
      <c r="B19" s="17" t="n"/>
      <c r="C19" s="17" t="n"/>
      <c r="D19" s="17" t="n"/>
      <c r="E19" s="20" t="n"/>
    </row>
    <row r="20">
      <c r="A20" s="16" t="n"/>
      <c r="B20" s="17" t="n"/>
      <c r="C20" s="17" t="n"/>
      <c r="D20" s="17" t="n"/>
      <c r="E20" s="20" t="n"/>
    </row>
    <row r="21">
      <c r="A21" s="16" t="n"/>
      <c r="B21" s="17" t="n"/>
      <c r="C21" s="17" t="n"/>
      <c r="D21" s="17" t="n"/>
      <c r="E21" s="20" t="n"/>
    </row>
    <row r="22">
      <c r="A22" s="16" t="n"/>
      <c r="B22" s="17" t="n"/>
      <c r="C22" s="17" t="n"/>
      <c r="D22" s="17" t="n"/>
      <c r="E22" s="20" t="n"/>
    </row>
    <row r="23">
      <c r="A23" s="16" t="n"/>
      <c r="B23" s="17" t="n"/>
      <c r="C23" s="17" t="n"/>
      <c r="D23" s="17" t="n"/>
      <c r="E23" s="20" t="n"/>
    </row>
    <row r="24">
      <c r="A24" s="16" t="n"/>
      <c r="B24" s="17" t="n"/>
      <c r="C24" s="17" t="n"/>
      <c r="D24" s="17" t="n"/>
      <c r="E24" s="20" t="n"/>
    </row>
    <row r="25">
      <c r="A25" s="16" t="n"/>
      <c r="B25" s="17" t="n"/>
      <c r="C25" s="17" t="n"/>
      <c r="D25" s="17" t="n"/>
      <c r="E25" s="20" t="n"/>
    </row>
  </sheetData>
  <conditionalFormatting sqref="E2:E2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Family Travel Budget Planner &amp; Expense Tracker</dc:title>
  <dcterms:created xsi:type="dcterms:W3CDTF">2026-10-21T18:52:07Z</dcterms:created>
  <dcterms:modified xsi:type="dcterms:W3CDTF">2026-10-21T18:52:07Z</dcterms:modified>
</cp:coreProperties>
</file>