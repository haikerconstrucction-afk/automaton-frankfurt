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Budget" sheetId="4" state="visible" r:id="rId4"/>
    <sheet name="Dé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'Dépenses'!$B$2:$B$3</f>
            </numRef>
          </cat>
          <val>
            <numRef>
              <f>'Dépenses'!$D$2:$D$3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644" displayName="T_Itin_raire_2644" ref="A1:E63" headerRowCount="1">
  <autoFilter ref="A1:E63"/>
  <tableColumns count="5">
    <tableColumn id="1" name="Date"/>
    <tableColumn id="2" name="Destination"/>
    <tableColumn id="3" name="Type"/>
    <tableColumn id="4" name="Heure"/>
    <tableColumn id="5" name="Note"/>
  </tableColumns>
  <tableStyleInfo name="TableStyleMedium7" showRowStripes="1"/>
</table>
</file>

<file path=xl/tables/table2.xml><?xml version="1.0" encoding="utf-8"?>
<table xmlns="http://schemas.openxmlformats.org/spreadsheetml/2006/main" id="2" name="T_Budget_3460" displayName="T_Budget_3460" ref="A1:C33" headerRowCount="1">
  <autoFilter ref="A1:C33"/>
  <tableColumns count="3">
    <tableColumn id="1" name="Catégorie"/>
    <tableColumn id="2" name="Prévu"/>
    <tableColumn id="3" name="Réel"/>
  </tableColumns>
  <tableStyleInfo name="TableStyleMedium7" showRowStripes="1"/>
</table>
</file>

<file path=xl/tables/table3.xml><?xml version="1.0" encoding="utf-8"?>
<table xmlns="http://schemas.openxmlformats.org/spreadsheetml/2006/main" id="3" name="T_D_penses_4770" displayName="T_D_penses_4770" ref="A1:D63" headerRowCount="1">
  <autoFilter ref="A1:D63"/>
  <tableColumns count="4">
    <tableColumn id="1" name="Date"/>
    <tableColumn id="2" name="Catégorie"/>
    <tableColumn id="3" name="Détail"/>
    <tableColumn id="4" name="Monta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D&#233;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de Voyage pour Berlin et Potsdam : Suivi des Dépenses &amp; Itinéraire</t>
        </is>
      </c>
    </row>
    <row r="3" ht="45" customHeight="1">
      <c r="C3" s="2" t="inlineStr">
        <is>
          <t>Organisez votre voyage à Berlin et Potsdam en toute sérénité avec ce planificateur de budget et itinéraire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vos principales destinations dans l'onglet Itinéraire.</t>
        </is>
      </c>
    </row>
    <row r="7" ht="18" customHeight="1">
      <c r="B7" s="4" t="inlineStr">
        <is>
          <t>2.</t>
        </is>
      </c>
      <c r="C7" s="5" t="inlineStr">
        <is>
          <t>Estimez vos dépenses dans l'onglet Budget.</t>
        </is>
      </c>
    </row>
    <row r="8" ht="18" customHeight="1">
      <c r="B8" s="4" t="inlineStr">
        <is>
          <t>3.</t>
        </is>
      </c>
      <c r="C8" s="5" t="inlineStr">
        <is>
          <t>Suivez vos dépenses réelles dans l'onglet Dépenses.</t>
        </is>
      </c>
    </row>
    <row r="9" ht="18" customHeight="1">
      <c r="B9" s="4" t="inlineStr">
        <is>
          <t>4.</t>
        </is>
      </c>
      <c r="C9" s="5" t="inlineStr">
        <is>
          <t>Visualiser les graphiques pour mieux comprendre vos dépenses.</t>
        </is>
      </c>
    </row>
    <row r="10" ht="18" customHeight="1">
      <c r="B10" s="4" t="inlineStr">
        <is>
          <t>5.</t>
        </is>
      </c>
      <c r="C10" s="5" t="inlineStr">
        <is>
          <t>Optimisez votre itinéraire en fonction de votre budget.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Itinéraire</t>
        </is>
      </c>
    </row>
    <row r="17">
      <c r="C17" s="7" t="inlineStr">
        <is>
          <t>→ Budget</t>
        </is>
      </c>
    </row>
    <row r="18">
      <c r="C18" s="7" t="inlineStr">
        <is>
          <t>→ Dépenses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de Voyage pour Berlin et Potsdam : S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 Utilisé</t>
        </is>
      </c>
      <c r="C5" s="12">
        <f>SUM(Dépenses!D2:D300)</f>
        <v/>
      </c>
    </row>
    <row r="6" ht="24" customHeight="1">
      <c r="B6" s="11" t="inlineStr">
        <is>
          <t>Budget Restant</t>
        </is>
      </c>
      <c r="C6" s="12">
        <f>SUM(Budget!B2:B300)-SUM(Budget!C2:C300)</f>
        <v/>
      </c>
    </row>
    <row r="7" ht="24" customHeight="1">
      <c r="B7" s="11" t="inlineStr">
        <is>
          <t>Nombre de Dépenses</t>
        </is>
      </c>
      <c r="C7" s="13">
        <f>COUNTA(Dépenses!A2:A300)</f>
        <v/>
      </c>
    </row>
    <row r="8" ht="24" customHeight="1">
      <c r="B8" s="11" t="inlineStr">
        <is>
          <t>Nombre de Destinations</t>
        </is>
      </c>
      <c r="C8" s="13">
        <f>COUNTA(Itinéraire!A2:A300)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Type</t>
        </is>
      </c>
      <c r="D1" s="14" t="inlineStr">
        <is>
          <t>Heure</t>
        </is>
      </c>
      <c r="E1" s="14" t="inlineStr">
        <is>
          <t>Note</t>
        </is>
      </c>
    </row>
    <row r="2">
      <c r="A2" s="15" t="n">
        <v>46096</v>
      </c>
      <c r="B2" s="16" t="inlineStr">
        <is>
          <t>Porte de Brandebourg</t>
        </is>
      </c>
      <c r="C2" s="16" t="inlineStr">
        <is>
          <t>Visite</t>
        </is>
      </c>
      <c r="D2" s="16" t="inlineStr">
        <is>
          <t>10:00</t>
        </is>
      </c>
      <c r="E2" s="16" t="inlineStr"/>
    </row>
    <row r="3">
      <c r="A3" s="15" t="n">
        <v>46096</v>
      </c>
      <c r="B3" s="16" t="inlineStr">
        <is>
          <t>Musée de Pergame</t>
        </is>
      </c>
      <c r="C3" s="16" t="inlineStr">
        <is>
          <t>Visite</t>
        </is>
      </c>
      <c r="D3" s="16" t="inlineStr">
        <is>
          <t>14:00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dataValidations count="1">
    <dataValidation sqref="C2:C63" showDropDown="0" showInputMessage="0" showErrorMessage="0" allowBlank="1" type="list">
      <formula1>"Visite,Repas,Transport,Logement"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 ht="32" customHeight="1">
      <c r="A1" s="14" t="inlineStr">
        <is>
          <t>Catégorie</t>
        </is>
      </c>
      <c r="B1" s="14" t="inlineStr">
        <is>
          <t>Prévu</t>
        </is>
      </c>
      <c r="C1" s="14" t="inlineStr">
        <is>
          <t>Réel</t>
        </is>
      </c>
    </row>
    <row r="2">
      <c r="A2" s="16" t="inlineStr">
        <is>
          <t>Transport</t>
        </is>
      </c>
      <c r="B2" s="17" t="n">
        <v>150</v>
      </c>
      <c r="C2" s="18">
        <f>SUMIF(Dépenses!B:B,A2,Dépenses!D:D)</f>
        <v/>
      </c>
    </row>
    <row r="3">
      <c r="A3" s="16" t="inlineStr">
        <is>
          <t>Repas</t>
        </is>
      </c>
      <c r="B3" s="17" t="n">
        <v>200</v>
      </c>
      <c r="C3" s="18">
        <f>SUMIF(Dépenses!B:B,A3,Dépenses!D:D)</f>
        <v/>
      </c>
    </row>
    <row r="4">
      <c r="A4" s="16" t="n"/>
      <c r="B4" s="17" t="n"/>
      <c r="C4" s="18">
        <f>IF(A4="","",SUMIF(Dépenses!B:B,A4,Dépenses!D:D))</f>
        <v/>
      </c>
    </row>
    <row r="5">
      <c r="A5" s="16" t="n"/>
      <c r="B5" s="17" t="n"/>
      <c r="C5" s="18">
        <f>IF(A5="","",SUMIF(Dépenses!B:B,A5,Dépenses!D:D))</f>
        <v/>
      </c>
    </row>
    <row r="6">
      <c r="A6" s="16" t="n"/>
      <c r="B6" s="17" t="n"/>
      <c r="C6" s="18">
        <f>IF(A6="","",SUMIF(Dépenses!B:B,A6,Dépenses!D:D))</f>
        <v/>
      </c>
    </row>
    <row r="7">
      <c r="A7" s="16" t="n"/>
      <c r="B7" s="17" t="n"/>
      <c r="C7" s="18">
        <f>IF(A7="","",SUMIF(Dépenses!B:B,A7,Dépenses!D:D))</f>
        <v/>
      </c>
    </row>
    <row r="8">
      <c r="A8" s="16" t="n"/>
      <c r="B8" s="17" t="n"/>
      <c r="C8" s="18">
        <f>IF(A8="","",SUMIF(Dépenses!B:B,A8,Dépenses!D:D))</f>
        <v/>
      </c>
    </row>
    <row r="9">
      <c r="A9" s="16" t="n"/>
      <c r="B9" s="17" t="n"/>
      <c r="C9" s="18">
        <f>IF(A9="","",SUMIF(Dépenses!B:B,A9,Dépenses!D:D))</f>
        <v/>
      </c>
    </row>
    <row r="10">
      <c r="A10" s="16" t="n"/>
      <c r="B10" s="17" t="n"/>
      <c r="C10" s="18">
        <f>IF(A10="","",SUMIF(Dépenses!B:B,A10,Dépenses!D:D))</f>
        <v/>
      </c>
    </row>
    <row r="11">
      <c r="A11" s="16" t="n"/>
      <c r="B11" s="17" t="n"/>
      <c r="C11" s="18">
        <f>IF(A11="","",SUMIF(Dépenses!B:B,A11,Dépenses!D:D))</f>
        <v/>
      </c>
    </row>
    <row r="12">
      <c r="A12" s="16" t="n"/>
      <c r="B12" s="17" t="n"/>
      <c r="C12" s="18">
        <f>IF(A12="","",SUMIF(Dépenses!B:B,A12,Dépenses!D:D))</f>
        <v/>
      </c>
    </row>
    <row r="13">
      <c r="A13" s="16" t="n"/>
      <c r="B13" s="17" t="n"/>
      <c r="C13" s="18">
        <f>IF(A13="","",SUMIF(Dépenses!B:B,A13,Dépenses!D:D))</f>
        <v/>
      </c>
    </row>
    <row r="14">
      <c r="A14" s="16" t="n"/>
      <c r="B14" s="17" t="n"/>
      <c r="C14" s="18">
        <f>IF(A14="","",SUMIF(Dépenses!B:B,A14,Dépenses!D:D))</f>
        <v/>
      </c>
    </row>
    <row r="15">
      <c r="A15" s="16" t="n"/>
      <c r="B15" s="17" t="n"/>
      <c r="C15" s="18">
        <f>IF(A15="","",SUMIF(Dépenses!B:B,A15,Dépenses!D:D))</f>
        <v/>
      </c>
    </row>
    <row r="16">
      <c r="A16" s="16" t="n"/>
      <c r="B16" s="17" t="n"/>
      <c r="C16" s="18">
        <f>IF(A16="","",SUMIF(Dépenses!B:B,A16,Dépenses!D:D))</f>
        <v/>
      </c>
    </row>
    <row r="17">
      <c r="A17" s="16" t="n"/>
      <c r="B17" s="17" t="n"/>
      <c r="C17" s="18">
        <f>IF(A17="","",SUMIF(Dépenses!B:B,A17,Dépenses!D:D))</f>
        <v/>
      </c>
    </row>
    <row r="18">
      <c r="A18" s="16" t="n"/>
      <c r="B18" s="17" t="n"/>
      <c r="C18" s="18">
        <f>IF(A18="","",SUMIF(Dépenses!B:B,A18,Dépenses!D:D))</f>
        <v/>
      </c>
    </row>
    <row r="19">
      <c r="A19" s="16" t="n"/>
      <c r="B19" s="17" t="n"/>
      <c r="C19" s="18">
        <f>IF(A19="","",SUMIF(Dépenses!B:B,A19,Dépenses!D:D))</f>
        <v/>
      </c>
    </row>
    <row r="20">
      <c r="A20" s="16" t="n"/>
      <c r="B20" s="17" t="n"/>
      <c r="C20" s="18">
        <f>IF(A20="","",SUMIF(Dépenses!B:B,A20,Dépenses!D:D))</f>
        <v/>
      </c>
    </row>
    <row r="21">
      <c r="A21" s="16" t="n"/>
      <c r="B21" s="17" t="n"/>
      <c r="C21" s="18">
        <f>IF(A21="","",SUMIF(Dépenses!B:B,A21,Dépenses!D:D))</f>
        <v/>
      </c>
    </row>
    <row r="22">
      <c r="A22" s="16" t="n"/>
      <c r="B22" s="17" t="n"/>
      <c r="C22" s="18">
        <f>IF(A22="","",SUMIF(Dépenses!B:B,A22,Dépenses!D:D))</f>
        <v/>
      </c>
    </row>
    <row r="23">
      <c r="A23" s="16" t="n"/>
      <c r="B23" s="17" t="n"/>
      <c r="C23" s="18">
        <f>IF(A23="","",SUMIF(Dépenses!B:B,A23,Dépenses!D:D))</f>
        <v/>
      </c>
    </row>
    <row r="24">
      <c r="A24" s="16" t="n"/>
      <c r="B24" s="17" t="n"/>
      <c r="C24" s="18">
        <f>IF(A24="","",SUMIF(Dépenses!B:B,A24,Dépenses!D:D))</f>
        <v/>
      </c>
    </row>
    <row r="25">
      <c r="A25" s="16" t="n"/>
      <c r="B25" s="17" t="n"/>
      <c r="C25" s="18">
        <f>IF(A25="","",SUMIF(Dépenses!B:B,A25,Dépenses!D:D))</f>
        <v/>
      </c>
    </row>
    <row r="26">
      <c r="A26" s="16" t="n"/>
      <c r="B26" s="17" t="n"/>
      <c r="C26" s="18">
        <f>IF(A26="","",SUMIF(Dépenses!B:B,A26,Dépenses!D:D))</f>
        <v/>
      </c>
    </row>
    <row r="27">
      <c r="A27" s="16" t="n"/>
      <c r="B27" s="17" t="n"/>
      <c r="C27" s="18">
        <f>IF(A27="","",SUMIF(Dépenses!B:B,A27,Dépenses!D:D))</f>
        <v/>
      </c>
    </row>
    <row r="28">
      <c r="A28" s="16" t="n"/>
      <c r="B28" s="17" t="n"/>
      <c r="C28" s="18">
        <f>IF(A28="","",SUMIF(Dépenses!B:B,A28,Dépenses!D:D))</f>
        <v/>
      </c>
    </row>
    <row r="29">
      <c r="A29" s="16" t="n"/>
      <c r="B29" s="17" t="n"/>
      <c r="C29" s="18">
        <f>IF(A29="","",SUMIF(Dépenses!B:B,A29,Dépenses!D:D))</f>
        <v/>
      </c>
    </row>
    <row r="30">
      <c r="A30" s="16" t="n"/>
      <c r="B30" s="17" t="n"/>
      <c r="C30" s="18">
        <f>IF(A30="","",SUMIF(Dépenses!B:B,A30,Dépenses!D:D))</f>
        <v/>
      </c>
    </row>
    <row r="31">
      <c r="A31" s="16" t="n"/>
      <c r="B31" s="17" t="n"/>
      <c r="C31" s="18">
        <f>IF(A31="","",SUMIF(Dépenses!B:B,A31,Dépenses!D:D))</f>
        <v/>
      </c>
    </row>
    <row r="32">
      <c r="A32" s="16" t="n"/>
      <c r="B32" s="17" t="n"/>
      <c r="C32" s="18">
        <f>IF(A32="","",SUMIF(Dépenses!B:B,A32,Dépenses!D:D))</f>
        <v/>
      </c>
    </row>
    <row r="33">
      <c r="A33" s="16" t="n"/>
      <c r="B33" s="17" t="n"/>
      <c r="C33" s="18">
        <f>IF(A33="","",SUMIF(Dépenses!B:B,A33,Dépenses!D:D))</f>
        <v/>
      </c>
    </row>
  </sheetData>
  <conditionalFormatting sqref="B2:B33">
    <cfRule type="cellIs" priority="1" operator="lessThan" dxfId="0">
      <formula>0</formula>
    </cfRule>
  </conditionalFormatting>
  <conditionalFormatting sqref="C2:C33">
    <cfRule type="cellIs" priority="2" operator="lessThan" dxfId="0">
      <formula>0</formula>
    </cfRule>
  </conditionalFormatting>
  <dataValidations count="1">
    <dataValidation sqref="A2:A33" showDropDown="0" showInputMessage="0" showErrorMessage="0" allowBlank="1" type="list">
      <formula1>"Transport,Repas,Logement,Visite"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Détail</t>
        </is>
      </c>
      <c r="D1" s="14" t="inlineStr">
        <is>
          <t>Montant</t>
        </is>
      </c>
    </row>
    <row r="2">
      <c r="A2" s="15" t="n">
        <v>46096</v>
      </c>
      <c r="B2" s="16" t="inlineStr">
        <is>
          <t>Transport</t>
        </is>
      </c>
      <c r="C2" s="16" t="inlineStr">
        <is>
          <t>Taxi</t>
        </is>
      </c>
      <c r="D2" s="17" t="n">
        <v>25</v>
      </c>
    </row>
    <row r="3">
      <c r="A3" s="15" t="n">
        <v>46096</v>
      </c>
      <c r="B3" s="16" t="inlineStr">
        <is>
          <t>Repas</t>
        </is>
      </c>
      <c r="C3" s="16" t="inlineStr">
        <is>
          <t>Déjeuner</t>
        </is>
      </c>
      <c r="D3" s="17" t="n">
        <v>30</v>
      </c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"Transport,Repas,Logement,Visite"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de Voyage pour Berlin et Potsdam : Suivi des Dépenses &amp; Itinéraire</dc:title>
  <dcterms:created xsi:type="dcterms:W3CDTF">2026-10-04T19:45:16Z</dcterms:created>
  <dcterms:modified xsi:type="dcterms:W3CDTF">2026-10-04T19:45:16Z</dcterms:modified>
</cp:coreProperties>
</file>