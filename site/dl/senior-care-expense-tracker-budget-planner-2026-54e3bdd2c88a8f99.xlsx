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onthly Expenses" sheetId="3" state="visible" r:id="rId3"/>
    <sheet name="BudgetPlan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Care 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'Monthly 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'Monthly Expenses'!$B$2:$B$9</f>
            </numRef>
          </cat>
          <val>
            <numRef>
              <f>'Monthly Expenses'!$F$2:$F$9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onthly_Expenses_2719" displayName="T_Monthly_Expenses_2719" ref="A1:F69" headerRowCount="1">
  <autoFilter ref="A1:F69"/>
  <tableColumns count="6">
    <tableColumn id="1" name="Date"/>
    <tableColumn id="2" name="Category"/>
    <tableColumn id="3" name="Description"/>
    <tableColumn id="4" name="Quantity"/>
    <tableColumn id="5" name="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BudgetPlanner_3440" displayName="T_BudgetPlanner_3440" ref="A1:D13" headerRowCount="1">
  <autoFilter ref="A1:D13"/>
  <tableColumns count="4">
    <tableColumn id="1" name="Category"/>
    <tableColumn id="2" name="Budget Limit"/>
    <tableColumn id="3" name="Actual Spend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onthly Expenses'!A1" TargetMode="External" Id="rId2" /><Relationship Type="http://schemas.openxmlformats.org/officeDocument/2006/relationships/hyperlink" Target="#'BudgetPlann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Budget Planner for Families and Organizations</t>
        </is>
      </c>
    </row>
    <row r="3" ht="45" customHeight="1">
      <c r="C3" s="2" t="inlineStr">
        <is>
          <t>Comprehensive tool to track all care-related expenses with automated calculations and visual reports. Perfect for managing medications, care services, and supplies in one place.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recurring expenses (medications, supplies)</t>
        </is>
      </c>
    </row>
    <row r="7" ht="18" customHeight="1">
      <c r="B7" s="4" t="inlineStr">
        <is>
          <t>2.</t>
        </is>
      </c>
      <c r="C7" s="5" t="inlineStr">
        <is>
          <t>Record care services with dates and costs</t>
        </is>
      </c>
    </row>
    <row r="8" ht="18" customHeight="1">
      <c r="B8" s="4" t="inlineStr">
        <is>
          <t>3.</t>
        </is>
      </c>
      <c r="C8" s="5" t="inlineStr">
        <is>
          <t>Set monthly budget limits</t>
        </is>
      </c>
    </row>
    <row r="9" ht="18" customHeight="1">
      <c r="B9" s="4" t="inlineStr">
        <is>
          <t>4.</t>
        </is>
      </c>
      <c r="C9" s="5" t="inlineStr">
        <is>
          <t>Track insurance reimbursements</t>
        </is>
      </c>
    </row>
    <row r="10" ht="18" customHeight="1">
      <c r="B10" s="4" t="inlineStr">
        <is>
          <t>5.</t>
        </is>
      </c>
      <c r="C10" s="5" t="inlineStr">
        <is>
          <t>Review dashboard for spending insights</t>
        </is>
      </c>
    </row>
    <row r="11" ht="18" customHeight="1">
      <c r="B11" s="4" t="inlineStr">
        <is>
          <t>6.</t>
        </is>
      </c>
      <c r="C11" s="5" t="inlineStr">
        <is>
          <t>Adjust budget as needed</t>
        </is>
      </c>
    </row>
    <row r="12" ht="18" customHeight="1">
      <c r="B12" s="4" t="inlineStr">
        <is>
          <t>7.</t>
        </is>
      </c>
      <c r="C12" s="5" t="inlineStr">
        <is>
          <t>Export reports for financial planning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Monthly Expenses</t>
        </is>
      </c>
    </row>
    <row r="19">
      <c r="C19" s="7" t="inlineStr">
        <is>
          <t>→ BudgetPlanner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Tracker &amp; Budget Planner for Families an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Spend</t>
        </is>
      </c>
      <c r="C5" s="12">
        <f>SUM('Monthly Expenses'!F2:F300)</f>
        <v/>
      </c>
    </row>
    <row r="6" ht="24" customHeight="1">
      <c r="B6" s="11" t="inlineStr">
        <is>
          <t>Care Service Cost</t>
        </is>
      </c>
      <c r="C6" s="12">
        <f>SUMIF('Monthly Expenses'!B2:B300,"Care Service",'Monthly Expenses'!F2:F300)</f>
        <v/>
      </c>
    </row>
    <row r="7" ht="24" customHeight="1">
      <c r="B7" s="11" t="inlineStr">
        <is>
          <t>Medication Cost</t>
        </is>
      </c>
      <c r="C7" s="12">
        <f>SUMIF('Monthly Expenses'!B2:B300,"Medication",'Monthly Expenses'!F2:F300)</f>
        <v/>
      </c>
    </row>
    <row r="8" ht="24" customHeight="1">
      <c r="B8" s="11" t="inlineStr">
        <is>
          <t>Budget Remaining</t>
        </is>
      </c>
      <c r="C8" s="12">
        <f>SUM('BudgetPlanner'!D2:D12)</f>
        <v/>
      </c>
    </row>
    <row r="9" ht="24" customHeight="1">
      <c r="B9" s="11" t="inlineStr">
        <is>
          <t>Avg Daily Cost</t>
        </is>
      </c>
      <c r="C9" s="12">
        <f>AVERAGE('Monthly Expenses'!F2:F300)</f>
        <v/>
      </c>
    </row>
    <row r="10" ht="24" customHeight="1">
      <c r="B10" s="11" t="inlineStr">
        <is>
          <t>Entries Count</t>
        </is>
      </c>
      <c r="C10" s="13">
        <f>COUNTA('Monthly Expenses'!A2:A300)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Quantity</t>
        </is>
      </c>
      <c r="E1" s="14" t="inlineStr">
        <is>
          <t>Price</t>
        </is>
      </c>
      <c r="F1" s="14" t="inlineStr">
        <is>
          <t>Total</t>
        </is>
      </c>
    </row>
    <row r="2">
      <c r="A2" s="15" t="n">
        <v>46027</v>
      </c>
      <c r="B2" s="16" t="inlineStr">
        <is>
          <t>Medication</t>
        </is>
      </c>
      <c r="C2" s="16" t="inlineStr">
        <is>
          <t>Blood pressure pills</t>
        </is>
      </c>
      <c r="D2" s="17" t="n">
        <v>1</v>
      </c>
      <c r="E2" s="18" t="n">
        <v>45.8</v>
      </c>
      <c r="F2" s="19">
        <f>D2*E2</f>
        <v/>
      </c>
    </row>
    <row r="3">
      <c r="A3" s="15" t="n">
        <v>46032</v>
      </c>
      <c r="B3" s="16" t="inlineStr">
        <is>
          <t>Care Service</t>
        </is>
      </c>
      <c r="C3" s="16" t="inlineStr">
        <is>
          <t>Home nurse visit</t>
        </is>
      </c>
      <c r="D3" s="17" t="n">
        <v>3</v>
      </c>
      <c r="E3" s="18" t="n">
        <v>25</v>
      </c>
      <c r="F3" s="19">
        <f>D3*E3</f>
        <v/>
      </c>
    </row>
    <row r="4">
      <c r="A4" s="15" t="n">
        <v>46037</v>
      </c>
      <c r="B4" s="16" t="inlineStr">
        <is>
          <t>Supplies</t>
        </is>
      </c>
      <c r="C4" s="16" t="inlineStr">
        <is>
          <t>Adult diapers</t>
        </is>
      </c>
      <c r="D4" s="17" t="n">
        <v>5</v>
      </c>
      <c r="E4" s="18" t="n">
        <v>12.99</v>
      </c>
      <c r="F4" s="19">
        <f>D4*E4</f>
        <v/>
      </c>
    </row>
    <row r="5">
      <c r="A5" s="15" t="n">
        <v>46042</v>
      </c>
      <c r="B5" s="16" t="inlineStr">
        <is>
          <t>Equipment</t>
        </is>
      </c>
      <c r="C5" s="16" t="inlineStr">
        <is>
          <t>Walk rent</t>
        </is>
      </c>
      <c r="D5" s="17" t="n">
        <v>2</v>
      </c>
      <c r="E5" s="18" t="n">
        <v>15</v>
      </c>
      <c r="F5" s="19">
        <f>D5*E5</f>
        <v/>
      </c>
    </row>
    <row r="6">
      <c r="A6" s="15" t="n">
        <v>46047</v>
      </c>
      <c r="B6" s="16" t="inlineStr">
        <is>
          <t>Transport</t>
        </is>
      </c>
      <c r="C6" s="16" t="inlineStr">
        <is>
          <t>Hospital visit</t>
        </is>
      </c>
      <c r="D6" s="17" t="n">
        <v>1</v>
      </c>
      <c r="E6" s="18" t="n">
        <v>35</v>
      </c>
      <c r="F6" s="19">
        <f>D6*E6</f>
        <v/>
      </c>
    </row>
    <row r="7">
      <c r="A7" s="15" t="n">
        <v>46054</v>
      </c>
      <c r="B7" s="16" t="inlineStr">
        <is>
          <t>Medication</t>
        </is>
      </c>
      <c r="C7" s="16" t="inlineStr">
        <is>
          <t>Diabetes supplies</t>
        </is>
      </c>
      <c r="D7" s="17" t="n">
        <v>2</v>
      </c>
      <c r="E7" s="18" t="n">
        <v>32.5</v>
      </c>
      <c r="F7" s="19">
        <f>D7*E7</f>
        <v/>
      </c>
    </row>
    <row r="8">
      <c r="A8" s="15" t="n">
        <v>46058</v>
      </c>
      <c r="B8" s="16" t="inlineStr">
        <is>
          <t>Care Service</t>
        </is>
      </c>
      <c r="C8" s="16" t="inlineStr">
        <is>
          <t>Physical therapy</t>
        </is>
      </c>
      <c r="D8" s="17" t="n">
        <v>2</v>
      </c>
      <c r="E8" s="18" t="n">
        <v>40</v>
      </c>
      <c r="F8" s="19">
        <f>D8*E8</f>
        <v/>
      </c>
    </row>
    <row r="9">
      <c r="A9" s="15" t="n">
        <v>46063</v>
      </c>
      <c r="B9" s="16" t="inlineStr">
        <is>
          <t>Supplies</t>
        </is>
      </c>
      <c r="C9" s="16" t="inlineStr">
        <is>
          <t>Medical gloves</t>
        </is>
      </c>
      <c r="D9" s="17" t="n">
        <v>1</v>
      </c>
      <c r="E9" s="18" t="n">
        <v>8.99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"Medication,Care Service,Supplies,Equipment,Transport,Other"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</cols>
  <sheetData>
    <row r="1" ht="32" customHeight="1">
      <c r="A1" s="14" t="inlineStr">
        <is>
          <t>Category</t>
        </is>
      </c>
      <c r="B1" s="14" t="inlineStr">
        <is>
          <t>Budget Limit</t>
        </is>
      </c>
      <c r="C1" s="14" t="inlineStr">
        <is>
          <t>Actual Spend</t>
        </is>
      </c>
      <c r="D1" s="14" t="inlineStr">
        <is>
          <t>Remaining</t>
        </is>
      </c>
    </row>
    <row r="2">
      <c r="A2" s="16" t="n"/>
      <c r="B2" s="18" t="n"/>
      <c r="C2" s="18" t="n"/>
      <c r="D2" s="18" t="n"/>
    </row>
    <row r="3">
      <c r="A3" s="16" t="n"/>
      <c r="B3" s="18" t="n"/>
      <c r="C3" s="18" t="n"/>
      <c r="D3" s="18" t="n"/>
    </row>
    <row r="4">
      <c r="A4" s="16" t="n"/>
      <c r="B4" s="18" t="n"/>
      <c r="C4" s="18" t="n"/>
      <c r="D4" s="18" t="n"/>
    </row>
    <row r="5">
      <c r="A5" s="16" t="n"/>
      <c r="B5" s="18" t="n"/>
      <c r="C5" s="18" t="n"/>
      <c r="D5" s="18" t="n"/>
    </row>
    <row r="6">
      <c r="A6" s="16" t="n"/>
      <c r="B6" s="18" t="n"/>
      <c r="C6" s="18" t="n"/>
      <c r="D6" s="18" t="n"/>
    </row>
    <row r="7">
      <c r="A7" s="16" t="n"/>
      <c r="B7" s="18" t="n"/>
      <c r="C7" s="18" t="n"/>
      <c r="D7" s="18" t="n"/>
    </row>
    <row r="8">
      <c r="A8" s="16" t="n"/>
      <c r="B8" s="18" t="n"/>
      <c r="C8" s="18" t="n"/>
      <c r="D8" s="18" t="n"/>
    </row>
    <row r="9">
      <c r="A9" s="16" t="n"/>
      <c r="B9" s="18" t="n"/>
      <c r="C9" s="18" t="n"/>
      <c r="D9" s="18" t="n"/>
    </row>
    <row r="10">
      <c r="A10" s="16" t="n"/>
      <c r="B10" s="18" t="n"/>
      <c r="C10" s="18" t="n"/>
      <c r="D10" s="18" t="n"/>
    </row>
    <row r="11">
      <c r="A11" s="16" t="n"/>
      <c r="B11" s="18" t="n"/>
      <c r="C11" s="18" t="n"/>
      <c r="D11" s="18" t="n"/>
    </row>
    <row r="12">
      <c r="A12" s="16" t="n"/>
      <c r="B12" s="18" t="n"/>
      <c r="C12" s="18" t="n"/>
      <c r="D12" s="18" t="n"/>
    </row>
    <row r="13">
      <c r="A13" s="16" t="n"/>
      <c r="B13" s="18" t="n"/>
      <c r="C13" s="18" t="n"/>
      <c r="D13" s="18" t="n"/>
    </row>
  </sheetData>
  <conditionalFormatting sqref="B2:B13">
    <cfRule type="cellIs" priority="1" operator="lessThan" dxfId="0">
      <formula>0</formula>
    </cfRule>
  </conditionalFormatting>
  <conditionalFormatting sqref="C2:C13">
    <cfRule type="cellIs" priority="2" operator="lessThan" dxfId="0">
      <formula>0</formula>
    </cfRule>
  </conditionalFormatting>
  <conditionalFormatting sqref="D2:D1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Budget Planner for Families and Organizations</dc:title>
  <dcterms:created xsi:type="dcterms:W3CDTF">2026-10-17T07:02:45Z</dcterms:created>
  <dcterms:modified xsi:type="dcterms:W3CDTF">2026-10-17T07:02:45Z</dcterms:modified>
</cp:coreProperties>
</file>